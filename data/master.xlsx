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TOTAL- LP , UP, 5&amp;6 &amp; PGC" sheetId="1" state="visible" r:id="rId1"/>
    <sheet name="QIC_ Actual_LP" sheetId="2" state="visible" r:id="rId2"/>
    <sheet name="QIC_Contractual_ LP" sheetId="3" state="visible" r:id="rId3"/>
    <sheet name="QIC_ Actual_UP" sheetId="4" state="visible" r:id="rId4"/>
    <sheet name="QIC_Contractual_ UP" sheetId="5" state="visible" r:id="rId5"/>
    <sheet name="QIC_ Actual_5&amp;6" sheetId="6" state="visible" r:id="rId6"/>
    <sheet name="QIC_Contractual_ 5&amp;6" sheetId="7" state="visible" r:id="rId7"/>
    <sheet name="QIC_ Actual_PGC" sheetId="8" state="visible" r:id="rId8"/>
    <sheet name="QIC_Contractual_ PGC" sheetId="9" state="visible" r:id="rId9"/>
    <sheet name="Key Notes- Do not delete" sheetId="10" state="hidden" r:id="rId10"/>
  </sheets>
  <externalReferences>
    <externalReference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'TOTAL- LP , UP, 5&amp;6 &amp; PGC'!TMH*[0]!ulcost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'TOTAL- LP , UP, 5&amp;6 &amp; PGC'!QTY*[0]!UMH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'TOTAL- LP , UP, 5&amp;6 &amp; PGC'!TMH*[0]!ulcost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Actual_LP'!$A$1:$P$632</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'QIC_ Actual_UP'!TMH*'QIC_ Actual_UP'!ulcost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IF('QIC_ Actual_UP'!USC_MV_Cable=Bitumen,#REF!,IF('QIC_ Actual_UP'!USC_MV_Cable=1,#REF!*VLOOKUP(#REF!,CumulativePercentCompletion,5),#REF!/VLOOKUP(#REF!,CumulativePercentCompletion,5)))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_FilterDatabase" localSheetId="3" hidden="1">'QIC_ Actual_UP'!$A$160:$T$399</definedName>
    <definedName name="_xlnm.Print_Titles" localSheetId="3">'QIC_ Actual_UP'!$1:$3</definedName>
    <definedName name="_xlnm.Print_Area" localSheetId="3">'QIC_ Actual_UP'!$A$1:$Q$620</definedName>
    <definedName name="\0" localSheetId="4">#REF!</definedName>
    <definedName name="\00" localSheetId="4">#REF!</definedName>
    <definedName name="_________SHT2" localSheetId="4">'QIC_Contractual_ UP'!TMH*'QIC_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IF('QIC_Contractual_ UP'!USC_MV_Cable=Bitumen,#REF!,IF('QIC_Contractual_ UP'!USC_MV_Cable=1,#REF!*VLOOKUP(#REF!,CumulativePercentCompletion,5),#REF!/VLOOKUP(#REF!,CumulativePercentCompletion,5)))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'QIC_ Actual_5&amp;6'!TMH*[0]!ulcost</definedName>
    <definedName name="ATF" localSheetId="5">'QIC_ Actual_5&amp;6'!QTY*[0]!UMH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'QIC_ Actual_5&amp;6'!TMH*[0]!ulcost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Actual_5&amp;6'!$A$1:$P$110</definedName>
  </definedNames>
  <calcPr calcId="191029" fullCalcOnLoad="1"/>
</workbook>
</file>

<file path=xl/styles.xml><?xml version="1.0" encoding="utf-8"?>
<styleSheet xmlns="http://schemas.openxmlformats.org/spreadsheetml/2006/main">
  <numFmts count="6">
    <numFmt numFmtId="164" formatCode="[$-409]d\-mmm\-yy;@"/>
    <numFmt numFmtId="165" formatCode="mm/dd/yy;@"/>
    <numFmt numFmtId="166" formatCode="[$-4009]d\ mmmm\ yyyy;@"/>
    <numFmt numFmtId="167" formatCode="_(* #,##0.00_);_(* \(#,##0.00\);_(* \-??_);_(@_)"/>
    <numFmt numFmtId="168" formatCode="0.0%"/>
    <numFmt numFmtId="169" formatCode="[$-409]dd\-mmm\-yy;@"/>
  </numFmts>
  <fonts count="62">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FFFFFF"/>
      <sz val="16"/>
    </font>
    <font>
      <name val="Calibri"/>
      <family val="2"/>
      <b val="1"/>
      <color rgb="FFFFFFFF"/>
      <sz val="12"/>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Calibri"/>
      <family val="2"/>
      <b val="1"/>
      <color rgb="FFFFFFFF"/>
      <sz val="11"/>
    </font>
    <font>
      <name val="Aptos Narrow"/>
      <family val="2"/>
      <b val="1"/>
      <color theme="1"/>
      <sz val="14"/>
    </font>
    <font>
      <name val="Aptos Narrow"/>
      <family val="2"/>
      <color theme="1"/>
      <sz val="11"/>
    </font>
    <font>
      <name val="Aptos"/>
      <color rgb="FF000000"/>
      <sz val="10"/>
    </font>
  </fonts>
  <fills count="21">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right/>
      <top style="thin">
        <color theme="1" tint="0.499893185216834"/>
      </top>
      <bottom/>
      <diagonal/>
    </border>
    <border>
      <left/>
      <right style="thin">
        <color theme="1" tint="0.499893185216834"/>
      </right>
      <top style="thin">
        <color theme="1" tint="0.499893185216834"/>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607">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164" fontId="3"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164" fontId="2" fillId="2"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indent="1"/>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165" fontId="8" fillId="2" borderId="1" applyAlignment="1" applyProtection="1" pivotButton="0" quotePrefix="0" xfId="0">
      <alignment horizontal="center" vertical="center"/>
      <protection locked="0" hidden="0"/>
    </xf>
    <xf numFmtId="0" fontId="11" fillId="2" borderId="1" applyAlignment="1" applyProtection="1" pivotButton="0" quotePrefix="0" xfId="0">
      <alignment horizontal="left" vertical="center" indent="1"/>
      <protection locked="0" hidden="0"/>
    </xf>
    <xf numFmtId="166" fontId="11" fillId="2" borderId="2" applyAlignment="1" applyProtection="1" pivotButton="0" quotePrefix="0" xfId="0">
      <alignment horizontal="center" vertical="center"/>
      <protection locked="0" hidden="0"/>
    </xf>
    <xf numFmtId="166" fontId="11" fillId="2" borderId="3"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164"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164" fontId="11" fillId="2" borderId="1" applyAlignment="1" applyProtection="1" pivotButton="0" quotePrefix="0" xfId="0">
      <alignment horizontal="center" vertical="center"/>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164" fontId="19" fillId="3" borderId="1" applyAlignment="1" applyProtection="1" pivotButton="0" quotePrefix="0" xfId="0">
      <alignment horizontal="center" vertical="center"/>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8" fillId="2" borderId="2" applyAlignment="1" pivotButton="0" quotePrefix="0" xfId="0">
      <alignment horizontal="center" vertical="center"/>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164"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8" fillId="2" borderId="2" applyAlignment="1" pivotButton="0" quotePrefix="0" xfId="0">
      <alignment horizontal="center" vertical="center" wrapText="1"/>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pivotButton="0" quotePrefix="0" xfId="0">
      <alignment horizontal="center" vertical="center"/>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164"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164"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9" fillId="2" borderId="2"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164"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164" fontId="3"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protection locked="0" hidden="0"/>
    </xf>
    <xf numFmtId="0" fontId="9" fillId="2" borderId="1" applyAlignment="1" applyProtection="1" pivotButton="0" quotePrefix="0" xfId="0">
      <alignment horizontal="center" vertical="center"/>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0" fontId="8" fillId="2" borderId="7"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167" fontId="0" fillId="0" borderId="0" pivotButton="0" quotePrefix="0" xfId="0"/>
    <xf numFmtId="0" fontId="0" fillId="0" borderId="0" applyAlignment="1" pivotButton="0" quotePrefix="0" xfId="0">
      <alignment horizontal="center" vertical="center"/>
    </xf>
    <xf numFmtId="0" fontId="24" fillId="0" borderId="0" applyAlignment="1" pivotButton="0" quotePrefix="0" xfId="0">
      <alignment horizontal="center"/>
    </xf>
    <xf numFmtId="167" fontId="25" fillId="8" borderId="17" applyAlignment="1" applyProtection="1" pivotButton="0" quotePrefix="0" xfId="0">
      <alignment horizontal="center" vertical="center" wrapText="1"/>
      <protection locked="0" hidden="0"/>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24" fillId="0" borderId="0" applyAlignment="1" pivotButton="0" quotePrefix="0" xfId="0">
      <alignment horizontal="center"/>
    </xf>
    <xf numFmtId="167" fontId="31" fillId="9" borderId="17" applyAlignment="1" applyProtection="1" pivotButton="0" quotePrefix="0" xfId="0">
      <alignmen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0" fillId="0" borderId="0" pivotButton="0" quotePrefix="0" xfId="0"/>
    <xf numFmtId="167" fontId="0" fillId="0" borderId="0" applyAlignment="1" pivotButton="0" quotePrefix="0" xfId="0">
      <alignment horizontal="center"/>
    </xf>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164" fontId="19"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8" fillId="4"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0" fontId="13" fillId="5" borderId="1" applyAlignment="1" applyProtection="1" pivotButton="0" quotePrefix="0" xfId="0">
      <alignment horizontal="center" vertical="center"/>
      <protection locked="0" hidden="0"/>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164"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9"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164"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32"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164" fontId="36" fillId="3" borderId="8" applyAlignment="1" applyProtection="1" pivotButton="0" quotePrefix="0" xfId="0">
      <alignment horizontal="center" vertical="center"/>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8" fillId="0" borderId="1" applyAlignment="1" pivotButton="0" quotePrefix="0" xfId="0">
      <alignment horizontal="center" vertical="center"/>
    </xf>
    <xf numFmtId="165" fontId="35" fillId="2" borderId="1" applyAlignment="1" applyProtection="1" pivotButton="0" quotePrefix="0" xfId="0">
      <alignment horizontal="center" vertical="center"/>
      <protection locked="0" hidden="0"/>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165" fontId="35" fillId="2" borderId="7" applyAlignment="1" applyProtection="1" pivotButton="0" quotePrefix="0" xfId="0">
      <alignment horizontal="center" vertical="center"/>
      <protection locked="0" hidden="0"/>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164" fontId="39"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8" fillId="0" borderId="8" applyAlignment="1" pivotButton="0" quotePrefix="0" xfId="0">
      <alignment horizontal="center" vertic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164" fontId="42" fillId="7" borderId="1" applyAlignment="1" applyProtection="1" pivotButton="0" quotePrefix="0" xfId="0">
      <alignment horizontal="center" vertical="center"/>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167" fontId="31" fillId="9" borderId="17" applyAlignment="1" pivotButton="0" quotePrefix="0" xfId="0">
      <alignment vertical="center" wrapText="1"/>
    </xf>
    <xf numFmtId="0" fontId="0" fillId="0" borderId="17" applyAlignment="1" pivotButton="0" quotePrefix="0" xfId="0">
      <alignment horizontal="center"/>
    </xf>
    <xf numFmtId="0" fontId="0" fillId="0" borderId="17" applyAlignment="1" pivotButton="0" quotePrefix="0" xfId="0">
      <alignment horizontal="left" indent="1"/>
    </xf>
    <xf numFmtId="167" fontId="25" fillId="6" borderId="17" applyAlignment="1" pivotButton="0" quotePrefix="0" xfId="0">
      <alignment vertical="center" wrapTex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164"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3"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7" fillId="0" borderId="1" applyAlignment="1" pivotButton="0" quotePrefix="0" xfId="0">
      <alignment horizontal="center"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4" applyAlignment="1" pivotButton="0" quotePrefix="0" xfId="0">
      <alignment horizontal="left" vertical="center" shrinkToFit="1"/>
    </xf>
    <xf numFmtId="0" fontId="49" fillId="12" borderId="24" applyAlignment="1" pivotButton="0" quotePrefix="0" xfId="0">
      <alignment horizontal="left" vertical="center"/>
    </xf>
    <xf numFmtId="0" fontId="49" fillId="12" borderId="24" applyAlignment="1" pivotButton="0" quotePrefix="0" xfId="0">
      <alignment horizontal="center" vertical="center"/>
    </xf>
    <xf numFmtId="49" fontId="50" fillId="12" borderId="24" applyAlignment="1" pivotButton="0" quotePrefix="0" xfId="0">
      <alignment horizontal="left" vertical="center" shrinkToFit="1"/>
    </xf>
    <xf numFmtId="0" fontId="38" fillId="0" borderId="0" pivotButton="0" quotePrefix="0" xfId="0"/>
    <xf numFmtId="0" fontId="52" fillId="13" borderId="1" pivotButton="0" quotePrefix="0" xfId="0"/>
    <xf numFmtId="0" fontId="52" fillId="13" borderId="3" pivotButton="0" quotePrefix="0" xfId="0"/>
    <xf numFmtId="0" fontId="38" fillId="15" borderId="8" applyAlignment="1" pivotButton="0" quotePrefix="0" xfId="0">
      <alignment horizontal="center" vertical="center"/>
    </xf>
    <xf numFmtId="0" fontId="38" fillId="15" borderId="4" applyAlignment="1" pivotButton="0" quotePrefix="0" xfId="0">
      <alignment horizontal="center" vertical="center"/>
    </xf>
    <xf numFmtId="0" fontId="38" fillId="0" borderId="4" applyAlignment="1" pivotButton="0" quotePrefix="0" xfId="0">
      <alignment horizontal="center" vertical="center"/>
    </xf>
    <xf numFmtId="0" fontId="54" fillId="0" borderId="25" applyAlignment="1" pivotButton="0" quotePrefix="0" xfId="0">
      <alignment horizontal="center" vertical="center"/>
    </xf>
    <xf numFmtId="0" fontId="54" fillId="0" borderId="4" applyAlignment="1" pivotButton="0" quotePrefix="0" xfId="0">
      <alignment horizontal="center" vertical="center"/>
    </xf>
    <xf numFmtId="0" fontId="54" fillId="16" borderId="26" applyAlignment="1" pivotButton="0" quotePrefix="0" xfId="0">
      <alignment horizontal="center" vertical="center"/>
    </xf>
    <xf numFmtId="0" fontId="22" fillId="0" borderId="4" applyAlignment="1" pivotButton="0" quotePrefix="0" xfId="0">
      <alignment horizontal="center" vertical="center"/>
    </xf>
    <xf numFmtId="0" fontId="22" fillId="15" borderId="4" applyAlignment="1" pivotButton="0" quotePrefix="0" xfId="0">
      <alignment horizontal="center" vertical="center"/>
    </xf>
    <xf numFmtId="0" fontId="38" fillId="17" borderId="4" applyAlignment="1" pivotButton="0" quotePrefix="0" xfId="0">
      <alignment horizontal="center" vertical="center"/>
    </xf>
    <xf numFmtId="0" fontId="55" fillId="0" borderId="4" applyAlignment="1" pivotButton="0" quotePrefix="0" xfId="0">
      <alignment horizontal="center" vertical="center"/>
    </xf>
    <xf numFmtId="0" fontId="38" fillId="18" borderId="4" applyAlignment="1" pivotButton="0" quotePrefix="0" xfId="0">
      <alignment horizontal="center" vertical="center"/>
    </xf>
    <xf numFmtId="0" fontId="54" fillId="0" borderId="27" applyAlignment="1" pivotButton="0" quotePrefix="0" xfId="0">
      <alignment horizontal="center" vertical="center"/>
    </xf>
    <xf numFmtId="0" fontId="54" fillId="0" borderId="28" applyAlignment="1" pivotButton="0" quotePrefix="0" xfId="0">
      <alignment horizontal="center" vertical="center"/>
    </xf>
    <xf numFmtId="0" fontId="54" fillId="16" borderId="29" applyAlignment="1" pivotButton="0" quotePrefix="0" xfId="0">
      <alignment horizontal="center" vertical="center"/>
    </xf>
    <xf numFmtId="0" fontId="57" fillId="0" borderId="29" applyAlignment="1" pivotButton="0" quotePrefix="0" xfId="0">
      <alignment horizontal="center" vertical="center"/>
    </xf>
    <xf numFmtId="0" fontId="38" fillId="19" borderId="4" applyAlignment="1" pivotButton="0" quotePrefix="0" xfId="0">
      <alignment horizontal="center" vertical="center"/>
    </xf>
    <xf numFmtId="0" fontId="38" fillId="20" borderId="4" applyAlignment="1" pivotButton="0" quotePrefix="0" xfId="0">
      <alignment horizontal="center" vertical="center"/>
    </xf>
    <xf numFmtId="0" fontId="54" fillId="20" borderId="4" applyAlignment="1" pivotButton="0" quotePrefix="0" xfId="0">
      <alignment horizontal="center" vertical="center"/>
    </xf>
    <xf numFmtId="0" fontId="58" fillId="20" borderId="4" applyAlignment="1" pivotButton="0" quotePrefix="0" xfId="0">
      <alignment horizontal="center" vertical="center"/>
    </xf>
    <xf numFmtId="0" fontId="53" fillId="20" borderId="4" applyAlignment="1" pivotButton="0" quotePrefix="0" xfId="0">
      <alignment horizontal="center" vertical="center"/>
    </xf>
    <xf numFmtId="0" fontId="58" fillId="15" borderId="4" applyAlignment="1" pivotButton="0" quotePrefix="0" xfId="0">
      <alignment horizontal="center" vertical="center"/>
    </xf>
    <xf numFmtId="0" fontId="56" fillId="0" borderId="0" applyAlignment="1" pivotButton="0" quotePrefix="0" xfId="0">
      <alignment horizontal="center" vertical="center"/>
    </xf>
    <xf numFmtId="0" fontId="57" fillId="0" borderId="0" applyAlignment="1" pivotButton="0" quotePrefix="0" xfId="0">
      <alignment horizontal="center" vertical="center"/>
    </xf>
    <xf numFmtId="0" fontId="50" fillId="12" borderId="24" applyAlignment="1" pivotButton="0" quotePrefix="0" xfId="0">
      <alignment horizontal="left" vertical="center" shrinkToFit="1"/>
    </xf>
    <xf numFmtId="164" fontId="47" fillId="0" borderId="2" applyAlignment="1" pivotButton="0" quotePrefix="1" xfId="0">
      <alignment horizontal="center" vertical="center"/>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164"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34" applyAlignment="1" applyProtection="1" pivotButton="0" quotePrefix="0" xfId="0">
      <alignment horizontal="center" vertical="center" wrapText="1"/>
      <protection locked="0" hidden="0"/>
    </xf>
    <xf numFmtId="167" fontId="26" fillId="8" borderId="34" applyAlignment="1" applyProtection="1" pivotButton="0" quotePrefix="0" xfId="0">
      <alignment vertical="center" wrapText="1"/>
      <protection locked="0" hidden="0"/>
    </xf>
    <xf numFmtId="0" fontId="29" fillId="0" borderId="33" applyAlignment="1" applyProtection="1" pivotButton="0" quotePrefix="0" xfId="0">
      <alignment horizontal="center"/>
      <protection locked="0" hidden="0"/>
    </xf>
    <xf numFmtId="14" fontId="28" fillId="0" borderId="33" applyAlignment="1" applyProtection="1" pivotButton="0" quotePrefix="0" xfId="0">
      <alignment horizontal="left"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1" applyAlignment="1" applyProtection="1" pivotButton="0" quotePrefix="0" xfId="0">
      <alignment horizontal="left" vertical="center" wrapText="1"/>
      <protection locked="0" hidden="0"/>
    </xf>
    <xf numFmtId="0" fontId="60"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164" fontId="47" fillId="0" borderId="1" applyAlignment="1" pivotButton="0" quotePrefix="0" xfId="0">
      <alignment horizontal="center" vertical="center"/>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4" applyAlignment="1" pivotButton="0" quotePrefix="0" xfId="0">
      <alignment horizontal="left" vertical="center"/>
    </xf>
    <xf numFmtId="1" fontId="50" fillId="0" borderId="24" applyAlignment="1" pivotButton="0" quotePrefix="0" xfId="0">
      <alignment horizontal="left" vertical="center" shrinkToFit="1"/>
    </xf>
    <xf numFmtId="0" fontId="49" fillId="0" borderId="24"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47" fillId="0" borderId="7" applyAlignment="1" pivotButton="0" quotePrefix="0" xfId="0">
      <alignment horizontal="center" vertical="center"/>
    </xf>
    <xf numFmtId="167" fontId="59" fillId="0" borderId="19" applyAlignment="1" pivotButton="0" quotePrefix="0" xfId="0">
      <alignment horizontal="center" vertical="center"/>
    </xf>
    <xf numFmtId="167" fontId="59" fillId="0" borderId="20" applyAlignment="1" pivotButton="0" quotePrefix="0" xfId="0">
      <alignment horizontal="center" vertical="center"/>
    </xf>
    <xf numFmtId="167" fontId="59" fillId="0" borderId="32" applyAlignment="1" pivotButton="0" quotePrefix="0" xfId="0">
      <alignment horizontal="center" vertical="center"/>
    </xf>
    <xf numFmtId="167" fontId="25" fillId="8" borderId="34" applyAlignment="1" applyProtection="1" pivotButton="0" quotePrefix="0" xfId="0">
      <alignment horizontal="center" vertical="center"/>
      <protection locked="0" hidden="0"/>
    </xf>
    <xf numFmtId="167" fontId="25" fillId="8" borderId="35" applyAlignment="1" applyProtection="1" pivotButton="0" quotePrefix="0" xfId="0">
      <alignment horizontal="center" vertical="center"/>
      <protection locked="0" hidden="0"/>
    </xf>
    <xf numFmtId="167" fontId="25" fillId="8" borderId="36" applyAlignment="1" applyProtection="1" pivotButton="0" quotePrefix="0" xfId="0">
      <alignment horizontal="center" vertical="center"/>
      <protection locked="0" hidden="0"/>
    </xf>
    <xf numFmtId="0" fontId="5" fillId="3" borderId="0"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protection locked="0" hidden="0"/>
    </xf>
    <xf numFmtId="166" fontId="8"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1" fontId="8" fillId="2" borderId="1" applyAlignment="1" pivotButton="0" quotePrefix="0" xfId="0">
      <alignment horizontal="center" vertical="center" wrapText="1"/>
    </xf>
    <xf numFmtId="0" fontId="8" fillId="2" borderId="10" applyAlignment="1" pivotButton="0" quotePrefix="0" xfId="0">
      <alignment horizontal="left" vertical="center" wrapText="1"/>
    </xf>
    <xf numFmtId="0" fontId="8" fillId="2" borderId="10" applyAlignment="1" pivotButton="0" quotePrefix="0" xfId="0">
      <alignment horizontal="center" vertical="center" wrapText="1"/>
    </xf>
    <xf numFmtId="0" fontId="8" fillId="2" borderId="10" applyAlignment="1" pivotButton="0" quotePrefix="0" xfId="0">
      <alignment horizontal="center" vertical="center"/>
    </xf>
    <xf numFmtId="0" fontId="8" fillId="2" borderId="2" applyAlignment="1" pivotButton="0" quotePrefix="0" xfId="0">
      <alignment horizontal="center" vertical="center" wrapText="1"/>
    </xf>
    <xf numFmtId="0" fontId="8" fillId="2" borderId="1" applyAlignment="1" pivotButton="0" quotePrefix="0" xfId="0">
      <alignment horizontal="left" vertical="center" wrapText="1"/>
    </xf>
    <xf numFmtId="0" fontId="10" fillId="2" borderId="1" applyAlignment="1" pivotButton="0" quotePrefix="0" xfId="0">
      <alignment horizontal="left" vertical="center" inden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1" applyAlignment="1" pivotButton="0" quotePrefix="0" xfId="0">
      <alignment horizontal="left" vertical="center" wrapText="1" indent="1"/>
    </xf>
    <xf numFmtId="0" fontId="10" fillId="2" borderId="1" applyAlignment="1" pivotButton="0" quotePrefix="0" xfId="0">
      <alignment horizontal="left" vertical="center" wrapText="1"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13" fillId="5" borderId="1" applyAlignment="1" applyProtection="1" pivotButton="0" quotePrefix="0" xfId="0">
      <alignment horizontal="left" vertical="center"/>
      <protection locked="0" hidden="0"/>
    </xf>
    <xf numFmtId="0" fontId="9" fillId="2" borderId="7" applyAlignment="1" applyProtection="1" pivotButton="0" quotePrefix="0" xfId="0">
      <alignment horizontal="center" vertical="center"/>
      <protection locked="0" hidden="0"/>
    </xf>
    <xf numFmtId="0" fontId="7" fillId="3" borderId="0" applyAlignment="1" applyProtection="1" pivotButton="0" quotePrefix="0" xfId="0">
      <alignment horizontal="center" vertical="center" wrapText="1"/>
      <protection locked="0" hidden="0"/>
    </xf>
    <xf numFmtId="0" fontId="10" fillId="0" borderId="1" applyAlignment="1" pivotButton="0" quotePrefix="0" xfId="0">
      <alignment horizontal="center" vertical="center" wrapText="1"/>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7" applyAlignment="1" pivotButton="0" quotePrefix="0" xfId="0">
      <alignment horizontal="center" vertical="center" wrapText="1"/>
    </xf>
    <xf numFmtId="0" fontId="22" fillId="2" borderId="8" applyAlignment="1" pivotButton="0" quotePrefix="0" xfId="0">
      <alignment horizontal="center" vertical="center" wrapText="1"/>
    </xf>
    <xf numFmtId="0" fontId="38" fillId="0" borderId="7" applyAlignment="1" pivotButton="0" quotePrefix="0" xfId="0">
      <alignment horizontal="center" vertical="center"/>
    </xf>
    <xf numFmtId="0" fontId="22" fillId="2" borderId="7" applyAlignment="1" pivotButton="0" quotePrefix="0" xfId="0">
      <alignment horizontal="center" vertical="center"/>
    </xf>
    <xf numFmtId="0" fontId="35" fillId="0" borderId="1" applyAlignment="1" pivotButton="0" quotePrefix="0" xfId="0">
      <alignment horizontal="center" vertical="center"/>
    </xf>
    <xf numFmtId="0" fontId="22" fillId="2" borderId="1" applyAlignment="1" pivotButton="0" quotePrefix="0" xfId="0">
      <alignment horizontal="center" vertical="center"/>
    </xf>
    <xf numFmtId="0" fontId="22" fillId="2" borderId="10" applyAlignment="1" pivotButton="0" quotePrefix="0" xfId="0">
      <alignment horizontal="center" vertical="center" wrapText="1"/>
    </xf>
    <xf numFmtId="0" fontId="10" fillId="0" borderId="7"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7" applyAlignment="1" pivotButton="0" quotePrefix="0" xfId="0">
      <alignment horizontal="center" vertical="center" wrapText="1"/>
    </xf>
    <xf numFmtId="0" fontId="10" fillId="0" borderId="8" applyAlignment="1" pivotButton="0" quotePrefix="0" xfId="0">
      <alignment horizontal="center" vertical="center" wrapText="1"/>
    </xf>
    <xf numFmtId="0" fontId="10" fillId="0" borderId="1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10" fillId="2" borderId="7" applyAlignment="1" pivotButton="0" quotePrefix="0" xfId="0">
      <alignment horizontal="center" vertical="center" wrapText="1"/>
    </xf>
    <xf numFmtId="0" fontId="10" fillId="2" borderId="10" applyAlignment="1" pivotButton="0" quotePrefix="0" xfId="0">
      <alignment horizontal="center" vertical="center" wrapText="1"/>
    </xf>
    <xf numFmtId="0" fontId="10" fillId="2" borderId="8" applyAlignment="1" pivotButton="0" quotePrefix="0" xfId="0">
      <alignment horizontal="center" vertical="center" wrapText="1"/>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47" fillId="0" borderId="7" applyAlignment="1" pivotButton="0" quotePrefix="0" xfId="0">
      <alignment horizontal="center" vertical="center"/>
    </xf>
    <xf numFmtId="0" fontId="47" fillId="0" borderId="10" applyAlignment="1" pivotButton="0" quotePrefix="0" xfId="0">
      <alignment horizontal="center" vertical="center"/>
    </xf>
    <xf numFmtId="0" fontId="47" fillId="0" borderId="8" applyAlignment="1" pivotButton="0" quotePrefix="0" xfId="0">
      <alignment horizontal="center" vertical="center"/>
    </xf>
    <xf numFmtId="0" fontId="8" fillId="2" borderId="7" applyAlignment="1" pivotButton="0" quotePrefix="0" xfId="0">
      <alignment horizontal="left" vertical="center" wrapText="1"/>
    </xf>
    <xf numFmtId="0" fontId="8" fillId="2" borderId="8" applyAlignment="1" pivotButton="0" quotePrefix="0" xfId="0">
      <alignment horizontal="left" vertical="center" wrapText="1"/>
    </xf>
    <xf numFmtId="0" fontId="8" fillId="2" borderId="7" applyAlignment="1" pivotButton="0" quotePrefix="0" xfId="0">
      <alignment horizontal="center" vertical="center" wrapText="1"/>
    </xf>
    <xf numFmtId="0" fontId="8" fillId="2" borderId="8" applyAlignment="1" pivotButton="0" quotePrefix="0" xfId="0">
      <alignment horizontal="center" vertical="center" wrapText="1"/>
    </xf>
    <xf numFmtId="0" fontId="45" fillId="10" borderId="19" applyAlignment="1" pivotButton="0" quotePrefix="0" xfId="0">
      <alignment horizontal="center" vertical="center"/>
    </xf>
    <xf numFmtId="0" fontId="45" fillId="10" borderId="20" applyAlignment="1" pivotButton="0" quotePrefix="0" xfId="0">
      <alignment horizontal="center" vertical="center"/>
    </xf>
    <xf numFmtId="0" fontId="45" fillId="10" borderId="21" applyAlignment="1" pivotButton="0" quotePrefix="0" xfId="0">
      <alignment horizontal="center" vertical="center"/>
    </xf>
    <xf numFmtId="0" fontId="45" fillId="10" borderId="22" applyAlignment="1" pivotButton="0" quotePrefix="0" xfId="0">
      <alignment horizontal="center" vertical="center"/>
    </xf>
    <xf numFmtId="0" fontId="51" fillId="13" borderId="30" applyAlignment="1" pivotButton="0" quotePrefix="0" xfId="0">
      <alignment horizontal="center"/>
    </xf>
    <xf numFmtId="0" fontId="53" fillId="14" borderId="19" applyAlignment="1" pivotButton="0" quotePrefix="0" xfId="0">
      <alignment horizontal="center" vertical="center"/>
    </xf>
    <xf numFmtId="0" fontId="53" fillId="14" borderId="20" applyAlignment="1" pivotButton="0" quotePrefix="0" xfId="0">
      <alignment horizontal="center" vertical="center"/>
    </xf>
    <xf numFmtId="0" fontId="53" fillId="14" borderId="32" applyAlignment="1" pivotButton="0" quotePrefix="0" xfId="0">
      <alignment horizontal="center" vertical="center"/>
    </xf>
    <xf numFmtId="0" fontId="56" fillId="0" borderId="19" applyAlignment="1" pivotButton="0" quotePrefix="0" xfId="0">
      <alignment horizontal="center" vertical="center"/>
    </xf>
    <xf numFmtId="0" fontId="56" fillId="0" borderId="20" applyAlignment="1" pivotButton="0" quotePrefix="0" xfId="0">
      <alignment horizontal="center" vertical="center"/>
    </xf>
    <xf numFmtId="0" fontId="38" fillId="0" borderId="31" pivotButton="0" quotePrefix="0" xfId="0"/>
    <xf numFmtId="0" fontId="61" fillId="15" borderId="24" applyAlignment="1" pivotButton="0" quotePrefix="0" xfId="0">
      <alignment horizontal="center" vertical="center"/>
    </xf>
    <xf numFmtId="0" fontId="9" fillId="2" borderId="8"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8" fillId="2" borderId="8" applyAlignment="1" applyProtection="1" pivotButton="0" quotePrefix="0" xfId="0">
      <alignment horizontal="center" vertical="center"/>
      <protection locked="0" hidden="0"/>
    </xf>
    <xf numFmtId="0" fontId="2" fillId="2" borderId="1" applyAlignment="1" applyProtection="1" pivotButton="0" quotePrefix="0" xfId="0">
      <alignment horizontal="center" vertical="center"/>
      <protection locked="0" hidden="0"/>
    </xf>
    <xf numFmtId="0" fontId="10" fillId="0" borderId="8" applyAlignment="1" applyProtection="1" pivotButton="0" quotePrefix="0" xfId="0">
      <alignment vertical="center"/>
      <protection locked="0" hidden="0"/>
    </xf>
    <xf numFmtId="0" fontId="23" fillId="2" borderId="7" applyAlignment="1" pivotButton="0" quotePrefix="0" xfId="0">
      <alignment horizontal="center" vertical="center"/>
    </xf>
    <xf numFmtId="0" fontId="23" fillId="2" borderId="8" applyAlignment="1" pivotButton="0" quotePrefix="0" xfId="0">
      <alignment horizontal="center" vertical="center"/>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35" fillId="0" borderId="7" applyAlignment="1" pivotButton="0" quotePrefix="0" xfId="0">
      <alignment horizontal="center" vertical="center"/>
    </xf>
    <xf numFmtId="0" fontId="35" fillId="0" borderId="8" applyAlignment="1" pivotButton="0" quotePrefix="0" xfId="0">
      <alignment horizontal="center" vertical="center"/>
    </xf>
    <xf numFmtId="0" fontId="23" fillId="2" borderId="10" applyAlignment="1" pivotButton="0" quotePrefix="0" xfId="0">
      <alignment horizontal="left" vertical="center"/>
    </xf>
    <xf numFmtId="0" fontId="61" fillId="15" borderId="0" applyAlignment="1" pivotButton="0" quotePrefix="0" xfId="0">
      <alignment horizontal="center" vertical="center"/>
    </xf>
    <xf numFmtId="0" fontId="23" fillId="2" borderId="10" applyAlignment="1" pivotButton="0" quotePrefix="0" xfId="0">
      <alignment horizontal="center" vertical="center"/>
    </xf>
    <xf numFmtId="0" fontId="23" fillId="2" borderId="10" applyAlignment="1" pivotButton="0" quotePrefix="0" xfId="0">
      <alignment horizontal="center" vertical="center"/>
    </xf>
    <xf numFmtId="0" fontId="61" fillId="15" borderId="37" applyAlignment="1" pivotButton="0" quotePrefix="0" xfId="0">
      <alignment horizontal="center" vertical="center"/>
    </xf>
    <xf numFmtId="0" fontId="61" fillId="15" borderId="1" applyAlignment="1" pivotButton="0" quotePrefix="0" xfId="0">
      <alignment horizontal="center" vertical="center"/>
    </xf>
    <xf numFmtId="0" fontId="38" fillId="0" borderId="8" applyAlignment="1" pivotButton="0" quotePrefix="0" xfId="0">
      <alignment horizontal="center" vertical="center"/>
    </xf>
    <xf numFmtId="0" fontId="38" fillId="0" borderId="10" applyAlignment="1" pivotButton="0" quotePrefix="0" xfId="0">
      <alignment horizontal="center" vertical="center"/>
    </xf>
    <xf numFmtId="0" fontId="47" fillId="0" borderId="1" applyAlignment="1" pivotButton="0" quotePrefix="0" xfId="0">
      <alignment horizontal="center" vertical="center"/>
    </xf>
    <xf numFmtId="164" fontId="47" fillId="0" borderId="7" applyAlignment="1" pivotButton="0" quotePrefix="0" xfId="0">
      <alignment horizontal="center" vertical="center"/>
    </xf>
    <xf numFmtId="0" fontId="23" fillId="2" borderId="10" applyAlignment="1" pivotButton="0" quotePrefix="0" xfId="0">
      <alignment horizontal="left" vertical="center"/>
    </xf>
    <xf numFmtId="0" fontId="10" fillId="0" borderId="7" applyAlignment="1" applyProtection="1" pivotButton="0" quotePrefix="0" xfId="0">
      <alignment horizontal="center" vertical="center"/>
      <protection locked="0" hidden="0"/>
    </xf>
    <xf numFmtId="165" fontId="8"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61" fillId="15" borderId="1" applyAlignment="1" pivotButton="0" quotePrefix="0" xfId="0">
      <alignment horizontal="left" vertical="center"/>
    </xf>
    <xf numFmtId="0" fontId="9" fillId="2" borderId="10" applyAlignment="1" applyProtection="1" pivotButton="0" quotePrefix="0" xfId="0">
      <alignment horizontal="center" vertical="center"/>
      <protection locked="0" hidden="0"/>
    </xf>
    <xf numFmtId="167" fontId="0" fillId="0" borderId="0" pivotButton="0" quotePrefix="0" xfId="0"/>
    <xf numFmtId="167" fontId="59" fillId="0" borderId="38" applyAlignment="1" pivotButton="0" quotePrefix="0" xfId="0">
      <alignment horizontal="center" vertical="center"/>
    </xf>
    <xf numFmtId="0" fontId="0" fillId="0" borderId="20" pivotButton="0" quotePrefix="0" xfId="0"/>
    <xf numFmtId="0" fontId="0" fillId="0" borderId="32" pivotButton="0" quotePrefix="0" xfId="0"/>
    <xf numFmtId="167" fontId="25" fillId="8" borderId="17" applyAlignment="1" applyProtection="1" pivotButton="0" quotePrefix="0" xfId="0">
      <alignment horizontal="center" vertical="center" wrapText="1"/>
      <protection locked="0" hidden="0"/>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8" borderId="17" applyAlignment="1" applyProtection="1" pivotButton="0" quotePrefix="0" xfId="0">
      <alignment horizontal="center"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4" fontId="3"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0" fillId="0" borderId="12" applyProtection="1" pivotButton="0" quotePrefix="0" xfId="0">
      <protection locked="0" hidden="0"/>
    </xf>
    <xf numFmtId="0" fontId="0" fillId="0" borderId="3" applyProtection="1" pivotButton="0" quotePrefix="0" xfId="0">
      <protection locked="0" hidden="0"/>
    </xf>
    <xf numFmtId="164" fontId="2" fillId="2" borderId="0"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165" fontId="8"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164"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wrapText="1"/>
      <protection locked="0" hidden="0"/>
    </xf>
    <xf numFmtId="164" fontId="11" fillId="2" borderId="1" applyAlignment="1" applyProtection="1" pivotButton="0" quotePrefix="0" xfId="0">
      <alignment horizontal="center" vertical="center"/>
      <protection locked="0" hidden="0"/>
    </xf>
    <xf numFmtId="164" fontId="19" fillId="3"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0" fillId="0" borderId="42" pivotButton="0" quotePrefix="0" xfId="0"/>
    <xf numFmtId="164" fontId="20" fillId="0" borderId="9" applyAlignment="1" applyProtection="1" pivotButton="0" quotePrefix="0" xfId="0">
      <alignment vertical="center" wrapText="1"/>
      <protection locked="0" hidden="0"/>
    </xf>
    <xf numFmtId="0" fontId="0" fillId="0" borderId="41" pivotButton="0" quotePrefix="0" xfId="0"/>
    <xf numFmtId="164" fontId="2" fillId="2" borderId="0"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164" fontId="2" fillId="2" borderId="12" applyAlignment="1" applyProtection="1" pivotButton="0" quotePrefix="0" xfId="0">
      <alignment vertical="center"/>
      <protection locked="0" hidden="0"/>
    </xf>
    <xf numFmtId="164" fontId="17" fillId="7" borderId="7" applyAlignment="1" applyProtection="1" pivotButton="0" quotePrefix="0" xfId="0">
      <alignment horizontal="center" vertical="center" wrapText="1"/>
      <protection locked="0" hidden="0"/>
    </xf>
    <xf numFmtId="164" fontId="3" fillId="2" borderId="15"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0" fillId="0" borderId="10" applyProtection="1" pivotButton="0" quotePrefix="0" xfId="0">
      <protection locked="0" hidden="0"/>
    </xf>
    <xf numFmtId="0" fontId="0" fillId="0" borderId="8" applyProtection="1" pivotButton="0" quotePrefix="0" xfId="0">
      <protection locked="0" hidden="0"/>
    </xf>
    <xf numFmtId="165" fontId="8" fillId="2" borderId="7" applyAlignment="1" applyProtection="1" pivotButton="0" quotePrefix="0" xfId="0">
      <alignment horizontal="center" vertical="center"/>
      <protection locked="0" hidden="0"/>
    </xf>
    <xf numFmtId="167" fontId="25" fillId="8" borderId="34"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4"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4" fontId="19" fillId="2"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164" fontId="18" fillId="2" borderId="0" applyAlignment="1" applyProtection="1" pivotButton="0" quotePrefix="0" xfId="0">
      <alignment horizontal="center" vertical="center" wrapText="1"/>
      <protection locked="0" hidden="0"/>
    </xf>
    <xf numFmtId="164" fontId="19" fillId="2" borderId="1" applyAlignment="1" applyProtection="1" pivotButton="0" quotePrefix="0" xfId="0">
      <alignment horizontal="center" vertical="center"/>
      <protection locked="0" hidden="0"/>
    </xf>
    <xf numFmtId="164" fontId="20" fillId="0" borderId="9" applyAlignment="1" applyProtection="1" pivotButton="0" quotePrefix="0" xfId="0">
      <alignment horizontal="center" vertical="center" wrapText="1"/>
      <protection locked="0" hidden="0"/>
    </xf>
    <xf numFmtId="165"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164" fontId="36" fillId="3" borderId="8" applyAlignment="1" applyProtection="1" pivotButton="0" quotePrefix="0" xfId="0">
      <alignment horizontal="center" vertical="center"/>
      <protection locked="0" hidden="0"/>
    </xf>
    <xf numFmtId="165" fontId="35" fillId="2" borderId="7" applyAlignment="1" applyProtection="1" pivotButton="0" quotePrefix="0" xfId="0">
      <alignment horizontal="center" vertical="center"/>
      <protection locked="0" hidden="0"/>
    </xf>
    <xf numFmtId="164" fontId="39" fillId="2" borderId="0" applyAlignment="1" applyProtection="1" pivotButton="0" quotePrefix="0" xfId="0">
      <alignment horizontal="center" vertical="center"/>
      <protection locked="0" hidden="0"/>
    </xf>
    <xf numFmtId="164" fontId="42" fillId="7" borderId="1" applyAlignment="1" applyProtection="1" pivotButton="0" quotePrefix="0" xfId="0">
      <alignment horizontal="center" vertical="center"/>
      <protection locked="0" hidden="0"/>
    </xf>
    <xf numFmtId="164"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4" fontId="47" fillId="0" borderId="2" applyAlignment="1" pivotButton="0" quotePrefix="1" xfId="0">
      <alignment horizontal="center" vertical="center"/>
    </xf>
    <xf numFmtId="0" fontId="10" fillId="0" borderId="1" applyAlignment="1" pivotButton="0" quotePrefix="0" xfId="0">
      <alignment horizontal="left" vertical="center" wrapText="1"/>
    </xf>
    <xf numFmtId="164" fontId="47" fillId="0" borderId="1" applyAlignment="1" pivotButton="0" quotePrefix="0" xfId="0">
      <alignment horizontal="center" vertical="center"/>
    </xf>
    <xf numFmtId="164" fontId="47" fillId="0" borderId="7" applyAlignment="1" pivotButton="0" quotePrefix="0" xfId="0">
      <alignment horizontal="center" vertical="center"/>
    </xf>
    <xf numFmtId="0" fontId="45" fillId="10" borderId="38" applyAlignment="1" pivotButton="0" quotePrefix="0" xfId="0">
      <alignment horizontal="center" vertical="center"/>
    </xf>
    <xf numFmtId="0" fontId="0" fillId="0" borderId="30" pivotButton="0" quotePrefix="0" xfId="0"/>
    <xf numFmtId="0" fontId="53" fillId="14" borderId="38" applyAlignment="1" pivotButton="0" quotePrefix="0" xfId="0">
      <alignment horizontal="center" vertical="center"/>
    </xf>
    <xf numFmtId="0" fontId="0" fillId="0" borderId="31" pivotButton="0" quotePrefix="0" xfId="0"/>
  </cellXfs>
  <cellStyles count="5">
    <cellStyle name="Normal" xfId="0" builtinId="0"/>
    <cellStyle name="Comma 2" xfId="1"/>
    <cellStyle name="Normal 2 2" xfId="2"/>
    <cellStyle name="Normal 2 4 2 3" xfId="3"/>
    <cellStyle name="Normal 3" xfId="4"/>
  </cellStyles>
  <dxfs count="28">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r:embed="rId1"/>
        <a:stretch>
          <a:fillRect/>
        </a:stretch>
      </blipFill>
      <spPr>
        <a:xfrm>
          <a:off x="110520" y="45360"/>
          <a:ext cx="859680" cy="864720"/>
        </a:xfrm>
        <a:prstGeom prst="rect">
          <avLst/>
        </a:prstGeom>
        <a:ln w="0">
          <a:no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theme="5"/>
    <outlinePr summaryBelow="1" summaryRight="1"/>
    <pageSetUpPr fitToPage="1"/>
  </sheetPr>
  <dimension ref="A2:AA168"/>
  <sheetViews>
    <sheetView showGridLines="0" tabSelected="1" zoomScale="80" zoomScaleNormal="80" workbookViewId="0">
      <pane ySplit="4" topLeftCell="A110" activePane="bottomLeft" state="frozen"/>
      <selection pane="bottomLeft" activeCell="J124" sqref="J124"/>
    </sheetView>
  </sheetViews>
  <sheetFormatPr baseColWidth="8" defaultColWidth="8.75" defaultRowHeight="15"/>
  <cols>
    <col width="13.75" customWidth="1" min="1" max="1"/>
    <col width="17.375" customWidth="1" min="2" max="2"/>
    <col width="14.75" customWidth="1" style="153" min="3" max="3"/>
    <col width="53.75" customWidth="1" min="4" max="4"/>
    <col width="10.25" customWidth="1" style="520" min="5" max="5"/>
    <col width="9.25" customWidth="1" style="520" min="6" max="6"/>
    <col width="9.625" bestFit="1" customWidth="1" style="520" min="7" max="7"/>
    <col width="11.75" customWidth="1" style="520" min="8" max="8"/>
    <col width="11.125" customWidth="1" style="520" min="9" max="9"/>
    <col width="5.125" customWidth="1" min="10" max="10"/>
    <col width="9.625" bestFit="1" customWidth="1" style="156" min="11" max="11"/>
    <col width="9.125" customWidth="1" min="12" max="12"/>
    <col width="10" customWidth="1" min="13" max="13"/>
    <col width="12.125" customWidth="1" min="14" max="14"/>
    <col width="10.75" customWidth="1" min="15" max="15"/>
    <col width="5" customWidth="1" min="16" max="16"/>
    <col width="9.875" customWidth="1" style="156" min="17" max="17"/>
    <col width="9.625" customWidth="1" min="18" max="18"/>
    <col width="10.375" customWidth="1" min="19" max="19"/>
    <col width="12.25" customWidth="1" min="20" max="21"/>
    <col width="5.75" customWidth="1" min="22" max="22"/>
    <col width="9.875" customWidth="1" style="156" min="23" max="23"/>
    <col width="9.625" customWidth="1" min="24" max="24"/>
    <col width="10.375" customWidth="1" min="25" max="25"/>
    <col width="12.25" customWidth="1" min="26"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521" t="inlineStr">
        <is>
          <t>QIDDIYA - LP</t>
        </is>
      </c>
      <c r="F2" s="522" t="n"/>
      <c r="G2" s="522" t="n"/>
      <c r="H2" s="522" t="n"/>
      <c r="I2" s="523" t="n"/>
      <c r="K2" s="521" t="inlineStr">
        <is>
          <t>QIDDIYA - UP</t>
        </is>
      </c>
      <c r="L2" s="522" t="n"/>
      <c r="M2" s="522" t="n"/>
      <c r="N2" s="522" t="n"/>
      <c r="O2" s="523" t="n"/>
      <c r="Q2" s="521" t="inlineStr">
        <is>
          <t>QIDDIYA - 5&amp;6</t>
        </is>
      </c>
      <c r="R2" s="522" t="n"/>
      <c r="S2" s="522" t="n"/>
      <c r="T2" s="522" t="n"/>
      <c r="U2" s="523" t="n"/>
      <c r="W2" s="521" t="inlineStr">
        <is>
          <t>QIDDIYA - PGC</t>
        </is>
      </c>
      <c r="X2" s="522" t="n"/>
      <c r="Y2" s="522" t="n"/>
      <c r="Z2" s="522" t="n"/>
      <c r="AA2" s="523" t="n"/>
    </row>
    <row r="3" ht="43.5" customHeight="1">
      <c r="A3" s="524" t="inlineStr">
        <is>
          <t>S#</t>
        </is>
      </c>
      <c r="B3" s="524" t="inlineStr">
        <is>
          <t xml:space="preserve">NATIONALITY </t>
        </is>
      </c>
      <c r="C3" s="524" t="inlineStr">
        <is>
          <t xml:space="preserve"> Categories </t>
        </is>
      </c>
      <c r="D3" s="524" t="inlineStr">
        <is>
          <t xml:space="preserve">Facility Management Services </t>
        </is>
      </c>
      <c r="E3" s="525" t="inlineStr">
        <is>
          <t>Expat Qty</t>
        </is>
      </c>
      <c r="F3" s="525" t="inlineStr">
        <is>
          <t>Saudi Qty.</t>
        </is>
      </c>
      <c r="G3" s="525" t="inlineStr">
        <is>
          <t>Onsite Qty</t>
        </is>
      </c>
      <c r="H3" s="525" t="inlineStr">
        <is>
          <t>Additional Qty</t>
        </is>
      </c>
      <c r="I3" s="526" t="inlineStr">
        <is>
          <t xml:space="preserve">Total </t>
        </is>
      </c>
      <c r="K3" s="525" t="inlineStr">
        <is>
          <t>Expat Qty</t>
        </is>
      </c>
      <c r="L3" s="525" t="inlineStr">
        <is>
          <t>Saudi Qty</t>
        </is>
      </c>
      <c r="M3" s="525" t="inlineStr">
        <is>
          <t>Onsite Qty</t>
        </is>
      </c>
      <c r="N3" s="525" t="inlineStr">
        <is>
          <t>Additional Qty</t>
        </is>
      </c>
      <c r="O3" s="526" t="inlineStr">
        <is>
          <t xml:space="preserve">Total </t>
        </is>
      </c>
      <c r="Q3" s="525" t="inlineStr">
        <is>
          <t>Expat Qty</t>
        </is>
      </c>
      <c r="R3" s="525" t="inlineStr">
        <is>
          <t>Saudi Qty</t>
        </is>
      </c>
      <c r="S3" s="525" t="inlineStr">
        <is>
          <t>Onsite Qty</t>
        </is>
      </c>
      <c r="T3" s="525" t="inlineStr">
        <is>
          <t>Additional Qty</t>
        </is>
      </c>
      <c r="U3" s="526" t="inlineStr">
        <is>
          <t xml:space="preserve">Total </t>
        </is>
      </c>
      <c r="W3" s="525" t="inlineStr">
        <is>
          <t>Expat Qty</t>
        </is>
      </c>
      <c r="X3" s="525" t="inlineStr">
        <is>
          <t>Saudi Qty</t>
        </is>
      </c>
      <c r="Y3" s="525" t="inlineStr">
        <is>
          <t>Onsite Qty</t>
        </is>
      </c>
      <c r="Z3" s="525" t="inlineStr">
        <is>
          <t>Additional Qty</t>
        </is>
      </c>
      <c r="AA3" s="526" t="inlineStr">
        <is>
          <t xml:space="preserve">Total </t>
        </is>
      </c>
    </row>
    <row r="4" ht="18.75" customFormat="1" customHeight="1" s="163">
      <c r="A4" s="527" t="inlineStr">
        <is>
          <t xml:space="preserve">MEDICAL FACILITIES </t>
        </is>
      </c>
      <c r="B4" s="528" t="n"/>
      <c r="C4" s="529" t="n"/>
      <c r="D4" s="529" t="n"/>
      <c r="E4" s="530">
        <f>+SUM(E5:E11)</f>
        <v/>
      </c>
      <c r="F4" s="530">
        <f>+SUM(F5:F11)</f>
        <v/>
      </c>
      <c r="G4" s="531">
        <f>+SUM(G5:G11)</f>
        <v/>
      </c>
      <c r="H4" s="530">
        <f>SUM(H5:H11)</f>
        <v/>
      </c>
      <c r="I4" s="531">
        <f>SUM(G4:H4)</f>
        <v/>
      </c>
      <c r="K4" s="532" t="n">
        <v>2</v>
      </c>
      <c r="L4" s="533" t="n">
        <v>0</v>
      </c>
      <c r="M4" s="533">
        <f>+SUM(M5:M11)</f>
        <v/>
      </c>
      <c r="N4" s="533">
        <f>+SUM(N5:N11)</f>
        <v/>
      </c>
      <c r="O4" s="533">
        <f>SUM(M4:N4)</f>
        <v/>
      </c>
      <c r="Q4" s="532" t="n">
        <v>0</v>
      </c>
      <c r="R4" s="533" t="n">
        <v>0</v>
      </c>
      <c r="S4" s="533">
        <f>SUM(S5:S11)</f>
        <v/>
      </c>
      <c r="T4" s="533" t="n">
        <v>0</v>
      </c>
      <c r="U4" s="533" t="n">
        <v>0</v>
      </c>
      <c r="W4" s="532" t="n"/>
      <c r="X4" s="533" t="n"/>
      <c r="Y4" s="533" t="n"/>
      <c r="Z4" s="533" t="n"/>
      <c r="AA4" s="533" t="n"/>
    </row>
    <row r="5" ht="21" customHeight="1">
      <c r="A5" s="164" t="n">
        <v>1</v>
      </c>
      <c r="B5" s="165" t="inlineStr">
        <is>
          <t>S.EXPATS</t>
        </is>
      </c>
      <c r="C5" s="166" t="inlineStr">
        <is>
          <t>A</t>
        </is>
      </c>
      <c r="D5" s="167" t="inlineStr">
        <is>
          <t>MANAGERS</t>
        </is>
      </c>
      <c r="E5" s="534" t="n">
        <v>0</v>
      </c>
      <c r="F5" s="534" t="n">
        <v>0</v>
      </c>
      <c r="G5" s="535">
        <f>SUM(E5:F5)</f>
        <v/>
      </c>
      <c r="H5" s="534" t="n"/>
      <c r="I5" s="535">
        <f>SUM(E5:F5)</f>
        <v/>
      </c>
      <c r="K5" s="535" t="n">
        <v>0</v>
      </c>
      <c r="L5" s="535" t="n">
        <v>0</v>
      </c>
      <c r="M5" s="535" t="n">
        <v>0</v>
      </c>
      <c r="N5" s="535" t="n">
        <v>0</v>
      </c>
      <c r="O5" s="535" t="n">
        <v>0</v>
      </c>
      <c r="Q5" s="535" t="n"/>
      <c r="R5" s="535" t="n"/>
      <c r="S5" s="535" t="n"/>
      <c r="T5" s="535" t="n"/>
      <c r="U5" s="535" t="n"/>
      <c r="W5" s="535" t="n"/>
      <c r="X5" s="535" t="n"/>
      <c r="Y5" s="535" t="n"/>
      <c r="Z5" s="535" t="n"/>
      <c r="AA5" s="535" t="n"/>
    </row>
    <row r="6" ht="21" customHeight="1">
      <c r="A6" s="164">
        <f>+A5+1</f>
        <v/>
      </c>
      <c r="B6" s="165" t="inlineStr">
        <is>
          <t>S.EXPATS</t>
        </is>
      </c>
      <c r="C6" s="166" t="inlineStr">
        <is>
          <t>A</t>
        </is>
      </c>
      <c r="D6" s="167" t="inlineStr">
        <is>
          <t>ADMINISTRATORS</t>
        </is>
      </c>
      <c r="E6" s="534" t="n">
        <v>0</v>
      </c>
      <c r="F6" s="534" t="n">
        <v>0</v>
      </c>
      <c r="G6" s="535">
        <f>SUM(E6:F6)</f>
        <v/>
      </c>
      <c r="H6" s="534" t="n"/>
      <c r="I6" s="535">
        <f>SUM(E6:F6)</f>
        <v/>
      </c>
      <c r="K6" s="535" t="n">
        <v>0</v>
      </c>
      <c r="L6" s="535" t="n">
        <v>0</v>
      </c>
      <c r="M6" s="535" t="n">
        <v>0</v>
      </c>
      <c r="N6" s="535" t="n">
        <v>0</v>
      </c>
      <c r="O6" s="535" t="n">
        <v>0</v>
      </c>
      <c r="Q6" s="535" t="n"/>
      <c r="R6" s="535" t="n"/>
      <c r="S6" s="535" t="n"/>
      <c r="T6" s="535" t="n"/>
      <c r="U6" s="535" t="n"/>
      <c r="W6" s="535" t="n"/>
      <c r="X6" s="535" t="n"/>
      <c r="Y6" s="535" t="n"/>
      <c r="Z6" s="535" t="n"/>
      <c r="AA6" s="535" t="n"/>
    </row>
    <row r="7" ht="21" customHeight="1">
      <c r="A7" s="164">
        <f>+A6+1</f>
        <v/>
      </c>
      <c r="B7" s="165" t="inlineStr">
        <is>
          <t>S.EXPATS</t>
        </is>
      </c>
      <c r="C7" s="166" t="inlineStr">
        <is>
          <t>A</t>
        </is>
      </c>
      <c r="D7" s="167" t="inlineStr">
        <is>
          <t>SUPERVISORS</t>
        </is>
      </c>
      <c r="E7" s="534" t="n">
        <v>0</v>
      </c>
      <c r="F7" s="534" t="n">
        <v>0</v>
      </c>
      <c r="G7" s="535">
        <f>SUM(E7:F7)</f>
        <v/>
      </c>
      <c r="H7" s="534" t="n"/>
      <c r="I7" s="535">
        <f>SUM(E7:F7)</f>
        <v/>
      </c>
      <c r="K7" s="535" t="n">
        <v>0</v>
      </c>
      <c r="L7" s="535" t="n">
        <v>0</v>
      </c>
      <c r="M7" s="535" t="n">
        <v>0</v>
      </c>
      <c r="N7" s="535" t="n">
        <v>0</v>
      </c>
      <c r="O7" s="535" t="n">
        <v>0</v>
      </c>
      <c r="Q7" s="535" t="n"/>
      <c r="R7" s="535" t="n"/>
      <c r="S7" s="535" t="n"/>
      <c r="T7" s="535" t="n"/>
      <c r="U7" s="535" t="n"/>
      <c r="W7" s="535" t="n"/>
      <c r="X7" s="535" t="n"/>
      <c r="Y7" s="535" t="n"/>
      <c r="Z7" s="535" t="n"/>
      <c r="AA7" s="535" t="n"/>
    </row>
    <row r="8" ht="21" customHeight="1">
      <c r="A8" s="164">
        <f>+A7+1</f>
        <v/>
      </c>
      <c r="B8" s="165" t="inlineStr">
        <is>
          <t>S.EXPATS</t>
        </is>
      </c>
      <c r="C8" s="166" t="inlineStr">
        <is>
          <t>B</t>
        </is>
      </c>
      <c r="D8" s="167" t="inlineStr">
        <is>
          <t>TEAM LEADERS</t>
        </is>
      </c>
      <c r="E8" s="534" t="n">
        <v>0</v>
      </c>
      <c r="F8" s="534" t="n">
        <v>0</v>
      </c>
      <c r="G8" s="535">
        <f>SUM(E8:F8)</f>
        <v/>
      </c>
      <c r="H8" s="534" t="n"/>
      <c r="I8" s="535">
        <f>SUM(E8:F8)</f>
        <v/>
      </c>
      <c r="K8" s="535" t="n">
        <v>0</v>
      </c>
      <c r="L8" s="535" t="n">
        <v>0</v>
      </c>
      <c r="M8" s="535" t="n">
        <v>0</v>
      </c>
      <c r="N8" s="535" t="n">
        <v>0</v>
      </c>
      <c r="O8" s="535" t="n">
        <v>0</v>
      </c>
      <c r="Q8" s="535" t="n"/>
      <c r="R8" s="535" t="n"/>
      <c r="S8" s="535" t="n"/>
      <c r="T8" s="535" t="n"/>
      <c r="U8" s="535" t="n"/>
      <c r="W8" s="535" t="n"/>
      <c r="X8" s="535" t="n"/>
      <c r="Y8" s="535" t="n"/>
      <c r="Z8" s="535" t="n"/>
      <c r="AA8" s="535" t="n"/>
    </row>
    <row r="9" ht="21" customHeight="1">
      <c r="A9" s="164">
        <f>+A8+1</f>
        <v/>
      </c>
      <c r="B9" s="165" t="inlineStr">
        <is>
          <t>EXPAT'S</t>
        </is>
      </c>
      <c r="C9" s="166" t="inlineStr">
        <is>
          <t>D</t>
        </is>
      </c>
      <c r="D9" s="167" t="inlineStr">
        <is>
          <t>CLEANING STAFF</t>
        </is>
      </c>
      <c r="E9" s="534" t="n">
        <v>2</v>
      </c>
      <c r="F9" s="534" t="n">
        <v>0</v>
      </c>
      <c r="G9" s="535">
        <f>SUM(E9:F9)</f>
        <v/>
      </c>
      <c r="H9" s="534" t="n"/>
      <c r="I9" s="535">
        <f>SUM(E9:F9)</f>
        <v/>
      </c>
      <c r="K9" s="535" t="n">
        <v>2</v>
      </c>
      <c r="L9" s="535" t="n">
        <v>0</v>
      </c>
      <c r="M9" s="535" t="n">
        <v>2</v>
      </c>
      <c r="N9" s="535" t="n">
        <v>0</v>
      </c>
      <c r="O9" s="535" t="n">
        <v>2</v>
      </c>
      <c r="Q9" s="535" t="n"/>
      <c r="R9" s="535" t="n"/>
      <c r="S9" s="535" t="n"/>
      <c r="T9" s="535" t="n"/>
      <c r="U9" s="535" t="n"/>
      <c r="W9" s="535" t="n"/>
      <c r="X9" s="535" t="n"/>
      <c r="Y9" s="535" t="n"/>
      <c r="Z9" s="535" t="n"/>
      <c r="AA9" s="535" t="n"/>
    </row>
    <row r="10" ht="21" customHeight="1">
      <c r="A10" s="164">
        <f>+A9+1</f>
        <v/>
      </c>
      <c r="B10" s="165" t="inlineStr">
        <is>
          <t>EXPAT'S</t>
        </is>
      </c>
      <c r="C10" s="166" t="inlineStr">
        <is>
          <t>C</t>
        </is>
      </c>
      <c r="D10" s="167" t="inlineStr">
        <is>
          <t>AMBULANCE DRIVERS</t>
        </is>
      </c>
      <c r="E10" s="534" t="n">
        <v>0</v>
      </c>
      <c r="F10" s="534" t="n">
        <v>0</v>
      </c>
      <c r="G10" s="535">
        <f>SUM(E10:F10)</f>
        <v/>
      </c>
      <c r="H10" s="534" t="n"/>
      <c r="I10" s="535">
        <f>SUM(E10:F10)</f>
        <v/>
      </c>
      <c r="K10" s="535" t="n">
        <v>0</v>
      </c>
      <c r="L10" s="535" t="n">
        <v>0</v>
      </c>
      <c r="M10" s="535" t="n">
        <v>0</v>
      </c>
      <c r="N10" s="535" t="n">
        <v>0</v>
      </c>
      <c r="O10" s="535" t="n">
        <v>0</v>
      </c>
      <c r="Q10" s="535" t="n"/>
      <c r="R10" s="535" t="n"/>
      <c r="S10" s="535" t="n"/>
      <c r="T10" s="535" t="n"/>
      <c r="U10" s="535" t="n"/>
      <c r="W10" s="535" t="n"/>
      <c r="X10" s="535" t="n"/>
      <c r="Y10" s="535" t="n"/>
      <c r="Z10" s="535" t="n"/>
      <c r="AA10" s="535" t="n"/>
    </row>
    <row r="11" ht="21" customHeight="1">
      <c r="A11" s="164">
        <f>+A10+1</f>
        <v/>
      </c>
      <c r="B11" s="165" t="inlineStr">
        <is>
          <t>EXPAT'S</t>
        </is>
      </c>
      <c r="C11" s="166" t="inlineStr">
        <is>
          <t>C</t>
        </is>
      </c>
      <c r="D11" s="167" t="inlineStr">
        <is>
          <t>EQUIPMENT TECHNICIANS</t>
        </is>
      </c>
      <c r="E11" s="534" t="n">
        <v>0</v>
      </c>
      <c r="F11" s="534" t="n">
        <v>0</v>
      </c>
      <c r="G11" s="535">
        <f>SUM(E11:F11)</f>
        <v/>
      </c>
      <c r="H11" s="534" t="n"/>
      <c r="I11" s="535">
        <f>SUM(E11:F11)</f>
        <v/>
      </c>
      <c r="K11" s="535" t="n">
        <v>0</v>
      </c>
      <c r="L11" s="535" t="n">
        <v>0</v>
      </c>
      <c r="M11" s="535" t="n">
        <v>0</v>
      </c>
      <c r="N11" s="535" t="n">
        <v>0</v>
      </c>
      <c r="O11" s="535" t="n">
        <v>0</v>
      </c>
      <c r="Q11" s="535" t="n"/>
      <c r="R11" s="535" t="n"/>
      <c r="S11" s="535" t="n"/>
      <c r="T11" s="535" t="n"/>
      <c r="U11" s="535" t="n"/>
      <c r="W11" s="535" t="n"/>
      <c r="X11" s="535" t="n"/>
      <c r="Y11" s="535" t="n"/>
      <c r="Z11" s="535" t="n"/>
      <c r="AA11" s="535" t="n"/>
    </row>
    <row r="12" ht="18.75" customFormat="1" customHeight="1" s="163">
      <c r="A12" s="527" t="inlineStr">
        <is>
          <t>ENVIRONMENT, HEALTH AND SAFETY</t>
        </is>
      </c>
      <c r="B12" s="528" t="n"/>
      <c r="C12" s="529" t="n"/>
      <c r="D12" s="529" t="n"/>
      <c r="E12" s="530">
        <f>+SUM(E13:E16)</f>
        <v/>
      </c>
      <c r="F12" s="530">
        <f>+SUM(F13:F16)</f>
        <v/>
      </c>
      <c r="G12" s="531">
        <f>+SUM(G13:G16)</f>
        <v/>
      </c>
      <c r="H12" s="530">
        <f>SUM(H13:H16)</f>
        <v/>
      </c>
      <c r="I12" s="531">
        <f>SUM(G12:H12)</f>
        <v/>
      </c>
      <c r="K12" s="533" t="n">
        <v>7</v>
      </c>
      <c r="L12" s="533" t="n">
        <v>2</v>
      </c>
      <c r="M12" s="533">
        <f>+SUM(M13:M16)</f>
        <v/>
      </c>
      <c r="N12" s="533">
        <f>+SUM(N13:N16)</f>
        <v/>
      </c>
      <c r="O12" s="533">
        <f>SUM(M12:N12)</f>
        <v/>
      </c>
      <c r="Q12" s="533" t="n">
        <v>1</v>
      </c>
      <c r="R12" s="533" t="n"/>
      <c r="S12" s="533">
        <f>SUM(S13:S16)</f>
        <v/>
      </c>
      <c r="T12" s="533" t="n"/>
      <c r="U12" s="533" t="n">
        <v>1</v>
      </c>
      <c r="W12" s="533" t="n">
        <v>1</v>
      </c>
      <c r="X12" s="533" t="n"/>
      <c r="Y12" s="533">
        <f>SUM(Y13:Y16)</f>
        <v/>
      </c>
      <c r="Z12" s="533" t="n"/>
      <c r="AA12" s="533" t="n">
        <v>1</v>
      </c>
    </row>
    <row r="13" ht="21" customHeight="1">
      <c r="A13" s="164" t="n">
        <v>1</v>
      </c>
      <c r="B13" s="165" t="inlineStr">
        <is>
          <t>SAUDI'S</t>
        </is>
      </c>
      <c r="C13" s="166" t="inlineStr">
        <is>
          <t>A</t>
        </is>
      </c>
      <c r="D13" s="165" t="inlineStr">
        <is>
          <t xml:space="preserve">QHSE MANAGER </t>
        </is>
      </c>
      <c r="E13" s="534" t="n">
        <v>1</v>
      </c>
      <c r="F13" s="534" t="n">
        <v>1</v>
      </c>
      <c r="G13" s="535">
        <f>SUM(E13:F13)</f>
        <v/>
      </c>
      <c r="H13" s="534" t="n">
        <v>1</v>
      </c>
      <c r="I13" s="535" t="n">
        <v>3</v>
      </c>
      <c r="K13" s="535" t="n">
        <v>1</v>
      </c>
      <c r="L13" s="535" t="n">
        <v>1</v>
      </c>
      <c r="M13" s="535" t="n">
        <v>1</v>
      </c>
      <c r="N13" s="535" t="n">
        <v>0</v>
      </c>
      <c r="O13" s="535" t="n">
        <v>1</v>
      </c>
      <c r="Q13" s="535" t="n"/>
      <c r="R13" s="535" t="n"/>
      <c r="S13" s="535" t="n"/>
      <c r="T13" s="535" t="n"/>
      <c r="U13" s="535" t="n"/>
      <c r="W13" s="535" t="n"/>
      <c r="X13" s="535" t="n"/>
      <c r="Y13" s="535" t="n"/>
      <c r="Z13" s="535" t="n"/>
      <c r="AA13" s="535" t="n"/>
    </row>
    <row r="14" ht="21" customHeight="1">
      <c r="A14" s="164">
        <f>+A13+1</f>
        <v/>
      </c>
      <c r="B14" s="165" t="inlineStr">
        <is>
          <t>SAUDI'S</t>
        </is>
      </c>
      <c r="C14" s="166" t="inlineStr">
        <is>
          <t>B</t>
        </is>
      </c>
      <c r="D14" s="165" t="inlineStr">
        <is>
          <t xml:space="preserve">ENVIRONMENTAL INSPECTOR </t>
        </is>
      </c>
      <c r="E14" s="534" t="n">
        <v>2</v>
      </c>
      <c r="F14" s="534" t="n">
        <v>1</v>
      </c>
      <c r="G14" s="535" t="n">
        <v>0</v>
      </c>
      <c r="H14" s="534" t="n"/>
      <c r="I14" s="535" t="n">
        <v>0</v>
      </c>
      <c r="K14" s="535" t="n">
        <v>2</v>
      </c>
      <c r="L14" s="535" t="n">
        <v>1</v>
      </c>
      <c r="M14" s="535" t="n">
        <v>0</v>
      </c>
      <c r="N14" s="535" t="n">
        <v>0</v>
      </c>
      <c r="O14" s="535" t="n">
        <v>0</v>
      </c>
      <c r="Q14" s="535" t="n"/>
      <c r="R14" s="535" t="n"/>
      <c r="S14" s="535" t="n"/>
      <c r="T14" s="535" t="n"/>
      <c r="U14" s="535" t="n"/>
      <c r="W14" s="535" t="n"/>
      <c r="X14" s="535" t="n"/>
      <c r="Y14" s="535" t="n"/>
      <c r="Z14" s="535" t="n"/>
      <c r="AA14" s="535" t="n"/>
    </row>
    <row r="15" ht="21" customHeight="1">
      <c r="A15" s="164">
        <f>+A14+1</f>
        <v/>
      </c>
      <c r="B15" s="165" t="inlineStr">
        <is>
          <t>EXPAT'S</t>
        </is>
      </c>
      <c r="C15" s="166" t="inlineStr">
        <is>
          <t>B</t>
        </is>
      </c>
      <c r="D15" s="165" t="inlineStr">
        <is>
          <t>QSHE  OFFICER</t>
        </is>
      </c>
      <c r="E15" s="534" t="n">
        <v>2</v>
      </c>
      <c r="F15" s="534" t="inlineStr">
        <is>
          <t>-</t>
        </is>
      </c>
      <c r="G15" s="535" t="n">
        <v>2</v>
      </c>
      <c r="H15" s="534" t="n"/>
      <c r="I15" s="535" t="n">
        <v>2</v>
      </c>
      <c r="K15" s="535" t="n">
        <v>2</v>
      </c>
      <c r="L15" s="535" t="inlineStr">
        <is>
          <t>-</t>
        </is>
      </c>
      <c r="M15" s="535" t="n">
        <v>2</v>
      </c>
      <c r="N15" s="535" t="n">
        <v>0</v>
      </c>
      <c r="O15" s="535" t="n">
        <v>2</v>
      </c>
      <c r="Q15" s="535" t="n"/>
      <c r="R15" s="535" t="n"/>
      <c r="S15" s="535" t="n"/>
      <c r="T15" s="535" t="n"/>
      <c r="U15" s="535" t="n"/>
      <c r="W15" s="535" t="n">
        <v>1</v>
      </c>
      <c r="X15" s="535" t="n"/>
      <c r="Y15" s="535" t="n">
        <v>1</v>
      </c>
      <c r="Z15" s="535" t="n"/>
      <c r="AA15" s="535" t="n">
        <v>1</v>
      </c>
    </row>
    <row r="16" ht="21" customHeight="1">
      <c r="A16" s="164">
        <f>+A15+1</f>
        <v/>
      </c>
      <c r="B16" s="165" t="inlineStr">
        <is>
          <t>EXPAT'S</t>
        </is>
      </c>
      <c r="C16" s="166" t="inlineStr">
        <is>
          <t>B</t>
        </is>
      </c>
      <c r="D16" s="165" t="inlineStr">
        <is>
          <t>SAFETY OFFICER</t>
        </is>
      </c>
      <c r="E16" s="534" t="n">
        <v>2</v>
      </c>
      <c r="F16" s="534" t="inlineStr">
        <is>
          <t>-</t>
        </is>
      </c>
      <c r="G16" s="535" t="n">
        <v>2</v>
      </c>
      <c r="H16" s="534" t="n">
        <v>1</v>
      </c>
      <c r="I16" s="535" t="n">
        <v>3</v>
      </c>
      <c r="K16" s="535" t="n">
        <v>2</v>
      </c>
      <c r="L16" s="535" t="inlineStr">
        <is>
          <t>-</t>
        </is>
      </c>
      <c r="M16" s="535" t="n">
        <v>2</v>
      </c>
      <c r="N16" s="535" t="n">
        <v>1</v>
      </c>
      <c r="O16" s="535" t="n">
        <v>3</v>
      </c>
      <c r="Q16" s="535" t="n">
        <v>1</v>
      </c>
      <c r="R16" s="535" t="n"/>
      <c r="S16" s="535" t="n">
        <v>1</v>
      </c>
      <c r="T16" s="535" t="n"/>
      <c r="U16" s="535" t="n">
        <v>1</v>
      </c>
      <c r="W16" s="535" t="n"/>
      <c r="X16" s="535" t="n"/>
      <c r="Y16" s="535" t="n"/>
      <c r="Z16" s="535" t="n"/>
      <c r="AA16" s="535" t="n"/>
    </row>
    <row r="17" ht="18.75" customFormat="1" customHeight="1" s="163">
      <c r="A17" s="527" t="inlineStr">
        <is>
          <t>PEST CONTROL SERVICES</t>
        </is>
      </c>
      <c r="B17" s="528" t="n"/>
      <c r="C17" s="529" t="n"/>
      <c r="D17" s="529" t="n"/>
      <c r="E17" s="530">
        <f>+SUM(E18:E19)</f>
        <v/>
      </c>
      <c r="F17" s="530">
        <f>+SUM(F18:F19)</f>
        <v/>
      </c>
      <c r="G17" s="531">
        <f>+SUM(G18:G19)</f>
        <v/>
      </c>
      <c r="H17" s="530">
        <f>SUM(H18:H19)</f>
        <v/>
      </c>
      <c r="I17" s="531">
        <f>SUM(G17:H17)</f>
        <v/>
      </c>
      <c r="K17" s="533" t="n">
        <v>8</v>
      </c>
      <c r="L17" s="533" t="n">
        <v>0</v>
      </c>
      <c r="M17" s="533">
        <f>+SUM(M18:M19)</f>
        <v/>
      </c>
      <c r="N17" s="533">
        <f>+SUM(N18:N19)</f>
        <v/>
      </c>
      <c r="O17" s="533">
        <f>SUM(M17:N17)</f>
        <v/>
      </c>
      <c r="Q17" s="533" t="n">
        <v>1</v>
      </c>
      <c r="R17" s="533" t="n"/>
      <c r="S17" s="533">
        <f>SUM(S18:S19)</f>
        <v/>
      </c>
      <c r="T17" s="533" t="n">
        <v>1</v>
      </c>
      <c r="U17" s="533" t="n">
        <v>2</v>
      </c>
      <c r="W17" s="533" t="n">
        <v>3</v>
      </c>
      <c r="X17" s="533" t="n"/>
      <c r="Y17" s="533" t="n">
        <v>1</v>
      </c>
      <c r="Z17" s="533" t="n"/>
      <c r="AA17" s="533" t="n">
        <v>1</v>
      </c>
    </row>
    <row r="18" ht="21" customHeight="1">
      <c r="A18" s="164" t="n">
        <v>1</v>
      </c>
      <c r="B18" s="165" t="inlineStr">
        <is>
          <t>EXPAT'S</t>
        </is>
      </c>
      <c r="C18" s="166" t="inlineStr">
        <is>
          <t>C</t>
        </is>
      </c>
      <c r="D18" s="165" t="inlineStr">
        <is>
          <t>P.C SUPERVISOR</t>
        </is>
      </c>
      <c r="E18" s="534" t="n">
        <v>2</v>
      </c>
      <c r="F18" s="534" t="inlineStr">
        <is>
          <t>-</t>
        </is>
      </c>
      <c r="G18" s="535">
        <f>SUM(E18:F18)</f>
        <v/>
      </c>
      <c r="H18" s="534" t="n"/>
      <c r="I18" s="535">
        <f>SUM(E18:F18)</f>
        <v/>
      </c>
      <c r="K18" s="535" t="n">
        <v>2</v>
      </c>
      <c r="L18" s="535" t="inlineStr">
        <is>
          <t>-</t>
        </is>
      </c>
      <c r="M18" s="535" t="n">
        <v>1</v>
      </c>
      <c r="N18" s="535" t="n">
        <v>0</v>
      </c>
      <c r="O18" s="535" t="n">
        <v>1</v>
      </c>
      <c r="Q18" s="535" t="n"/>
      <c r="R18" s="535" t="n"/>
      <c r="S18" s="535" t="n">
        <v>0</v>
      </c>
      <c r="T18" s="535" t="n"/>
      <c r="U18" s="535" t="n"/>
      <c r="W18" s="535" t="n">
        <v>1</v>
      </c>
      <c r="X18" s="535" t="n"/>
      <c r="Y18" s="535" t="n">
        <v>1</v>
      </c>
      <c r="Z18" s="535" t="n"/>
      <c r="AA18" s="535" t="n">
        <v>1</v>
      </c>
    </row>
    <row r="19" ht="21" customHeight="1">
      <c r="A19" s="164">
        <f>+A18+1</f>
        <v/>
      </c>
      <c r="B19" s="165" t="inlineStr">
        <is>
          <t>EXPAT'S</t>
        </is>
      </c>
      <c r="C19" s="166" t="inlineStr">
        <is>
          <t>C</t>
        </is>
      </c>
      <c r="D19" s="165" t="inlineStr">
        <is>
          <t>P.C TECHNICIAN</t>
        </is>
      </c>
      <c r="E19" s="534" t="n">
        <v>6</v>
      </c>
      <c r="F19" s="534" t="inlineStr">
        <is>
          <t>-</t>
        </is>
      </c>
      <c r="G19" s="535" t="n">
        <v>5</v>
      </c>
      <c r="H19" s="534" t="n">
        <v>0</v>
      </c>
      <c r="I19" s="535" t="n">
        <v>6</v>
      </c>
      <c r="K19" s="535" t="n">
        <v>6</v>
      </c>
      <c r="L19" s="535" t="inlineStr">
        <is>
          <t>-</t>
        </is>
      </c>
      <c r="M19" s="535" t="n">
        <v>6</v>
      </c>
      <c r="N19" s="535" t="n">
        <v>11</v>
      </c>
      <c r="O19" s="535" t="n">
        <v>17</v>
      </c>
      <c r="Q19" s="535" t="n">
        <v>1</v>
      </c>
      <c r="R19" s="535" t="n"/>
      <c r="S19" s="535" t="n">
        <v>1</v>
      </c>
      <c r="T19" s="535" t="n">
        <v>1</v>
      </c>
      <c r="U19" s="535" t="n">
        <v>2</v>
      </c>
      <c r="W19" s="535" t="n">
        <v>2</v>
      </c>
      <c r="X19" s="535" t="n"/>
      <c r="Y19" s="535" t="n">
        <v>0</v>
      </c>
      <c r="Z19" s="535" t="n"/>
      <c r="AA19" s="535" t="n">
        <v>0</v>
      </c>
    </row>
    <row r="20" ht="18.75" customFormat="1" customHeight="1" s="163">
      <c r="A20" s="527" t="inlineStr">
        <is>
          <t>WASTE MANAGEMENT</t>
        </is>
      </c>
      <c r="B20" s="528" t="n"/>
      <c r="C20" s="529" t="n"/>
      <c r="D20" s="529" t="n"/>
      <c r="E20" s="530">
        <f>+SUM(E22:E24)</f>
        <v/>
      </c>
      <c r="F20" s="530">
        <f>+SUM(F22:F24)</f>
        <v/>
      </c>
      <c r="G20" s="531">
        <f>+SUM(G22:G24)</f>
        <v/>
      </c>
      <c r="H20" s="530">
        <f>SUM(H21:H24)</f>
        <v/>
      </c>
      <c r="I20" s="531">
        <f>SUM(I21:I24)</f>
        <v/>
      </c>
      <c r="K20" s="533" t="n">
        <v>18</v>
      </c>
      <c r="L20" s="533" t="n">
        <v>0</v>
      </c>
      <c r="M20" s="533">
        <f>+SUM(M21:M24)</f>
        <v/>
      </c>
      <c r="N20" s="533">
        <f>+SUM(N21:N24)</f>
        <v/>
      </c>
      <c r="O20" s="533">
        <f>SUM(M20:N20)</f>
        <v/>
      </c>
      <c r="Q20" s="532" t="n">
        <v>0</v>
      </c>
      <c r="R20" s="533" t="n">
        <v>0</v>
      </c>
      <c r="S20" s="533" t="n">
        <v>0</v>
      </c>
      <c r="T20" s="533" t="n">
        <v>0</v>
      </c>
      <c r="U20" s="533" t="n">
        <v>0</v>
      </c>
      <c r="W20" s="533" t="n">
        <v>2</v>
      </c>
      <c r="X20" s="533" t="n"/>
      <c r="Y20" s="533" t="n">
        <v>2</v>
      </c>
      <c r="Z20" s="533" t="n"/>
      <c r="AA20" s="533" t="n">
        <v>2</v>
      </c>
    </row>
    <row r="21" ht="21" customHeight="1">
      <c r="A21" s="164" t="n">
        <v>1</v>
      </c>
      <c r="B21" s="165" t="inlineStr">
        <is>
          <t>EXPAT'S</t>
        </is>
      </c>
      <c r="C21" s="166" t="inlineStr">
        <is>
          <t>A</t>
        </is>
      </c>
      <c r="D21" s="165" t="inlineStr">
        <is>
          <t>WASTE MANAGEMENT MANAGER</t>
        </is>
      </c>
      <c r="E21" s="534" t="n">
        <v>0</v>
      </c>
      <c r="F21" s="534" t="inlineStr">
        <is>
          <t>-</t>
        </is>
      </c>
      <c r="G21" s="535" t="n"/>
      <c r="H21" s="534" t="n">
        <v>1</v>
      </c>
      <c r="I21" s="535" t="n">
        <v>1</v>
      </c>
      <c r="K21" s="535" t="n">
        <v>0</v>
      </c>
      <c r="L21" s="535" t="inlineStr">
        <is>
          <t>-</t>
        </is>
      </c>
      <c r="M21" s="535" t="n">
        <v>0</v>
      </c>
      <c r="N21" s="535" t="n">
        <v>0</v>
      </c>
      <c r="O21" s="535" t="n">
        <v>0</v>
      </c>
      <c r="Q21" s="535" t="n"/>
      <c r="R21" s="535" t="n"/>
      <c r="S21" s="535" t="n"/>
      <c r="T21" s="535" t="n"/>
      <c r="U21" s="535" t="n"/>
      <c r="W21" s="535" t="n"/>
      <c r="X21" s="535" t="n"/>
      <c r="Y21" s="535" t="n"/>
      <c r="Z21" s="535" t="n"/>
      <c r="AA21" s="535" t="n"/>
    </row>
    <row r="22" ht="21" customHeight="1">
      <c r="A22" s="164" t="n">
        <v>2</v>
      </c>
      <c r="B22" s="165" t="inlineStr">
        <is>
          <t>EXPAT'S</t>
        </is>
      </c>
      <c r="C22" s="166" t="inlineStr">
        <is>
          <t>A</t>
        </is>
      </c>
      <c r="D22" s="165" t="inlineStr">
        <is>
          <t xml:space="preserve">WASTE SERVICES SUPERVISOR </t>
        </is>
      </c>
      <c r="E22" s="534" t="n">
        <v>2</v>
      </c>
      <c r="F22" s="534" t="inlineStr">
        <is>
          <t>-</t>
        </is>
      </c>
      <c r="G22" s="535" t="n">
        <v>1</v>
      </c>
      <c r="H22" s="534" t="n"/>
      <c r="I22" s="535" t="n">
        <v>1</v>
      </c>
      <c r="K22" s="535" t="n">
        <v>2</v>
      </c>
      <c r="L22" s="535" t="inlineStr">
        <is>
          <t>-</t>
        </is>
      </c>
      <c r="M22" s="535" t="n">
        <v>0</v>
      </c>
      <c r="N22" s="535" t="n">
        <v>0</v>
      </c>
      <c r="O22" s="535" t="n">
        <v>1</v>
      </c>
      <c r="Q22" s="535" t="n"/>
      <c r="R22" s="535" t="n"/>
      <c r="S22" s="535" t="n"/>
      <c r="T22" s="535" t="n"/>
      <c r="U22" s="535" t="n"/>
      <c r="W22" s="535" t="n"/>
      <c r="X22" s="535" t="n"/>
      <c r="Y22" s="535" t="n"/>
      <c r="Z22" s="535" t="n"/>
      <c r="AA22" s="535" t="n"/>
    </row>
    <row r="23" ht="21" customHeight="1">
      <c r="A23" s="164">
        <f>+A22+1</f>
        <v/>
      </c>
      <c r="B23" s="165" t="inlineStr">
        <is>
          <t>EXPAT'S</t>
        </is>
      </c>
      <c r="C23" s="166" t="inlineStr">
        <is>
          <t>D</t>
        </is>
      </c>
      <c r="D23" s="165" t="inlineStr">
        <is>
          <t>WASTE SEGREGATOR</t>
        </is>
      </c>
      <c r="E23" s="534" t="n">
        <v>12</v>
      </c>
      <c r="F23" s="534" t="inlineStr">
        <is>
          <t>-</t>
        </is>
      </c>
      <c r="G23" s="535" t="n">
        <v>8</v>
      </c>
      <c r="H23" s="534" t="n"/>
      <c r="I23" s="535" t="n">
        <v>10</v>
      </c>
      <c r="K23" s="535" t="n">
        <v>12</v>
      </c>
      <c r="L23" s="535" t="inlineStr">
        <is>
          <t>-</t>
        </is>
      </c>
      <c r="M23" s="535" t="n">
        <v>4</v>
      </c>
      <c r="N23" s="535" t="n">
        <v>0</v>
      </c>
      <c r="O23" s="535" t="n">
        <v>4</v>
      </c>
      <c r="Q23" s="535" t="n"/>
      <c r="R23" s="535" t="n"/>
      <c r="S23" s="535" t="n"/>
      <c r="T23" s="535" t="n"/>
      <c r="U23" s="535" t="n"/>
      <c r="W23" s="535" t="n"/>
      <c r="X23" s="535" t="n"/>
      <c r="Y23" s="535" t="n"/>
      <c r="Z23" s="535" t="n"/>
      <c r="AA23" s="535" t="n"/>
    </row>
    <row r="24" ht="21" customHeight="1">
      <c r="A24" s="164">
        <f>+A23+1</f>
        <v/>
      </c>
      <c r="B24" s="165" t="inlineStr">
        <is>
          <t>EXPAT'S</t>
        </is>
      </c>
      <c r="C24" s="166" t="inlineStr">
        <is>
          <t>D</t>
        </is>
      </c>
      <c r="D24" s="165" t="inlineStr">
        <is>
          <t xml:space="preserve">WASTE COLLECTOR </t>
        </is>
      </c>
      <c r="E24" s="534" t="n">
        <v>4</v>
      </c>
      <c r="F24" s="534" t="inlineStr">
        <is>
          <t>-</t>
        </is>
      </c>
      <c r="G24" s="535" t="n">
        <v>4</v>
      </c>
      <c r="H24" s="534" t="n"/>
      <c r="I24" s="535" t="n">
        <v>4</v>
      </c>
      <c r="K24" s="535" t="n">
        <v>4</v>
      </c>
      <c r="L24" s="535" t="inlineStr">
        <is>
          <t>-</t>
        </is>
      </c>
      <c r="M24" s="535" t="n">
        <v>2</v>
      </c>
      <c r="N24" s="535" t="n">
        <v>0</v>
      </c>
      <c r="O24" s="535" t="n">
        <v>2</v>
      </c>
      <c r="Q24" s="535" t="n"/>
      <c r="R24" s="535" t="n"/>
      <c r="S24" s="535" t="n"/>
      <c r="T24" s="535" t="n"/>
      <c r="U24" s="535" t="n"/>
      <c r="W24" s="535" t="n">
        <v>2</v>
      </c>
      <c r="X24" s="535" t="n"/>
      <c r="Y24" s="535" t="n">
        <v>2</v>
      </c>
      <c r="Z24" s="535" t="n"/>
      <c r="AA24" s="535" t="n">
        <v>2</v>
      </c>
    </row>
    <row r="25" ht="18.75" customFormat="1" customHeight="1" s="163">
      <c r="A25" s="527" t="inlineStr">
        <is>
          <t>HAZARDOUS WASTE STORAGE AND HANDLING</t>
        </is>
      </c>
      <c r="B25" s="528" t="n"/>
      <c r="C25" s="529" t="n"/>
      <c r="D25" s="529" t="n"/>
      <c r="E25" s="530">
        <f>+SUM(E26:E26)</f>
        <v/>
      </c>
      <c r="F25" s="530">
        <f>+SUM(F26:F26)</f>
        <v/>
      </c>
      <c r="G25" s="531" t="n">
        <v>2</v>
      </c>
      <c r="H25" s="530" t="n"/>
      <c r="I25" s="531">
        <f>+SUM(I26:I26)</f>
        <v/>
      </c>
      <c r="K25" s="533" t="n">
        <v>2</v>
      </c>
      <c r="L25" s="533" t="n">
        <v>0</v>
      </c>
      <c r="M25" s="533">
        <f>+SUM(M26)</f>
        <v/>
      </c>
      <c r="N25" s="533">
        <f>+SUM(N26)</f>
        <v/>
      </c>
      <c r="O25" s="533">
        <f>SUM(M25:N25)</f>
        <v/>
      </c>
      <c r="Q25" s="532" t="n">
        <v>0</v>
      </c>
      <c r="R25" s="533" t="n">
        <v>0</v>
      </c>
      <c r="S25" s="533" t="n">
        <v>0</v>
      </c>
      <c r="T25" s="533" t="n">
        <v>0</v>
      </c>
      <c r="U25" s="533" t="n">
        <v>0</v>
      </c>
      <c r="W25" s="533" t="n"/>
      <c r="X25" s="533" t="n"/>
      <c r="Y25" s="533" t="n"/>
      <c r="Z25" s="533" t="n"/>
      <c r="AA25" s="533" t="n"/>
    </row>
    <row r="26" ht="21" customHeight="1">
      <c r="A26" s="164" t="n">
        <v>1</v>
      </c>
      <c r="B26" s="165" t="inlineStr">
        <is>
          <t>EXPAT'S</t>
        </is>
      </c>
      <c r="C26" s="166" t="inlineStr">
        <is>
          <t>D</t>
        </is>
      </c>
      <c r="D26" s="165" t="inlineStr">
        <is>
          <t xml:space="preserve">WASTE COLLECTOR </t>
        </is>
      </c>
      <c r="E26" s="534" t="n">
        <v>2</v>
      </c>
      <c r="F26" s="534" t="inlineStr">
        <is>
          <t>-</t>
        </is>
      </c>
      <c r="G26" s="535" t="n">
        <v>2</v>
      </c>
      <c r="H26" s="534" t="n"/>
      <c r="I26" s="535" t="n">
        <v>2</v>
      </c>
      <c r="K26" s="535" t="n">
        <v>2</v>
      </c>
      <c r="L26" s="535" t="inlineStr">
        <is>
          <t>-</t>
        </is>
      </c>
      <c r="M26" s="535" t="n">
        <v>0</v>
      </c>
      <c r="N26" s="535" t="n">
        <v>0</v>
      </c>
      <c r="O26" s="535" t="n">
        <v>0</v>
      </c>
      <c r="Q26" s="535" t="n"/>
      <c r="R26" s="535" t="n"/>
      <c r="S26" s="535" t="n"/>
      <c r="T26" s="535" t="n"/>
      <c r="U26" s="535" t="n"/>
      <c r="W26" s="535" t="n"/>
      <c r="X26" s="535" t="n"/>
      <c r="Y26" s="535" t="n"/>
      <c r="Z26" s="535" t="n"/>
      <c r="AA26" s="535" t="n"/>
    </row>
    <row r="27" ht="18.75" customFormat="1" customHeight="1" s="163">
      <c r="A27" s="527" t="inlineStr">
        <is>
          <t>SEWAGE TREATMENT PLANT</t>
        </is>
      </c>
      <c r="B27" s="528" t="n"/>
      <c r="C27" s="529" t="n"/>
      <c r="D27" s="529" t="n"/>
      <c r="E27" s="530">
        <f>+SUM(E28:E30)</f>
        <v/>
      </c>
      <c r="F27" s="530">
        <f>+SUM(F28:F30)</f>
        <v/>
      </c>
      <c r="G27" s="531">
        <f>+SUM(G28:G30)</f>
        <v/>
      </c>
      <c r="H27" s="530">
        <f>SUM(H28:H30)</f>
        <v/>
      </c>
      <c r="I27" s="531">
        <f>+SUM(I28:I30)</f>
        <v/>
      </c>
      <c r="K27" s="533" t="n">
        <v>8</v>
      </c>
      <c r="L27" s="533" t="n">
        <v>0</v>
      </c>
      <c r="M27" s="533">
        <f>+SUM(M28:M30)</f>
        <v/>
      </c>
      <c r="N27" s="533">
        <f>+SUM(N28:N30)</f>
        <v/>
      </c>
      <c r="O27" s="533">
        <f>SUM(M27:N27)</f>
        <v/>
      </c>
      <c r="Q27" s="532" t="n">
        <v>0</v>
      </c>
      <c r="R27" s="533" t="n">
        <v>0</v>
      </c>
      <c r="S27" s="533" t="n">
        <v>0</v>
      </c>
      <c r="T27" s="533" t="n">
        <v>2</v>
      </c>
      <c r="U27" s="533" t="n">
        <v>2</v>
      </c>
      <c r="W27" s="533" t="n"/>
      <c r="X27" s="533" t="n"/>
      <c r="Y27" s="533" t="n"/>
      <c r="Z27" s="533" t="n"/>
      <c r="AA27" s="533" t="n"/>
    </row>
    <row r="28" ht="21" customHeight="1">
      <c r="A28" s="164" t="n">
        <v>1</v>
      </c>
      <c r="B28" s="165" t="inlineStr">
        <is>
          <t>EXPAT'S</t>
        </is>
      </c>
      <c r="C28" s="166" t="inlineStr">
        <is>
          <t>A</t>
        </is>
      </c>
      <c r="D28" s="165" t="inlineStr">
        <is>
          <t xml:space="preserve">STP SUPERVISOR </t>
        </is>
      </c>
      <c r="E28" s="534" t="n">
        <v>2</v>
      </c>
      <c r="F28" s="534" t="inlineStr">
        <is>
          <t>-</t>
        </is>
      </c>
      <c r="G28" s="535">
        <f>SUM(E28:F28)</f>
        <v/>
      </c>
      <c r="H28" s="534" t="n"/>
      <c r="I28" s="535">
        <f>SUM(E28:F28)</f>
        <v/>
      </c>
      <c r="K28" s="535" t="n">
        <v>2</v>
      </c>
      <c r="L28" s="535" t="inlineStr">
        <is>
          <t>-</t>
        </is>
      </c>
      <c r="M28" s="535" t="n">
        <v>2</v>
      </c>
      <c r="N28" s="535" t="n">
        <v>0</v>
      </c>
      <c r="O28" s="535" t="n">
        <v>2</v>
      </c>
      <c r="Q28" s="535" t="n"/>
      <c r="R28" s="535" t="n"/>
      <c r="S28" s="535" t="n"/>
      <c r="T28" s="535" t="n"/>
      <c r="U28" s="535" t="n"/>
      <c r="W28" s="535" t="n"/>
      <c r="X28" s="535" t="n"/>
      <c r="Y28" s="535" t="n"/>
      <c r="Z28" s="535" t="n"/>
      <c r="AA28" s="535" t="n"/>
    </row>
    <row r="29" ht="21" customHeight="1">
      <c r="A29" s="164">
        <f>+A28+1</f>
        <v/>
      </c>
      <c r="B29" s="165" t="inlineStr">
        <is>
          <t>EXPAT'S</t>
        </is>
      </c>
      <c r="C29" s="166" t="inlineStr">
        <is>
          <t>C</t>
        </is>
      </c>
      <c r="D29" s="165" t="inlineStr">
        <is>
          <t xml:space="preserve">STP OPERATOR </t>
        </is>
      </c>
      <c r="E29" s="534" t="n">
        <v>4</v>
      </c>
      <c r="F29" s="534" t="inlineStr">
        <is>
          <t>-</t>
        </is>
      </c>
      <c r="G29" s="535">
        <f>SUM(E29:F29)</f>
        <v/>
      </c>
      <c r="H29" s="534" t="n"/>
      <c r="I29" s="535" t="n">
        <v>4</v>
      </c>
      <c r="K29" s="535" t="n">
        <v>4</v>
      </c>
      <c r="L29" s="535" t="inlineStr">
        <is>
          <t>-</t>
        </is>
      </c>
      <c r="M29" s="535" t="n">
        <v>4</v>
      </c>
      <c r="N29" s="535" t="n">
        <v>1</v>
      </c>
      <c r="O29" s="535" t="n">
        <v>5</v>
      </c>
      <c r="Q29" s="535" t="n"/>
      <c r="R29" s="535" t="n"/>
      <c r="S29" s="535" t="n"/>
      <c r="T29" s="535" t="n">
        <v>2</v>
      </c>
      <c r="U29" s="535" t="n">
        <v>2</v>
      </c>
      <c r="W29" s="535" t="n"/>
      <c r="X29" s="535" t="n"/>
      <c r="Y29" s="535" t="n"/>
      <c r="Z29" s="535" t="n"/>
      <c r="AA29" s="535" t="n"/>
    </row>
    <row r="30" ht="21" customHeight="1">
      <c r="A30" s="164">
        <f>+A29+1</f>
        <v/>
      </c>
      <c r="B30" s="165" t="inlineStr">
        <is>
          <t>EXPAT'S</t>
        </is>
      </c>
      <c r="C30" s="166" t="inlineStr">
        <is>
          <t>C</t>
        </is>
      </c>
      <c r="D30" s="165" t="inlineStr">
        <is>
          <t>MULTI-SKILLED TECHNICIANS</t>
        </is>
      </c>
      <c r="E30" s="534" t="n">
        <v>2</v>
      </c>
      <c r="F30" s="534" t="inlineStr">
        <is>
          <t>-</t>
        </is>
      </c>
      <c r="G30" s="535" t="n">
        <v>0</v>
      </c>
      <c r="H30" s="534" t="n"/>
      <c r="I30" s="535" t="n">
        <v>0</v>
      </c>
      <c r="K30" s="535" t="n">
        <v>2</v>
      </c>
      <c r="L30" s="535" t="inlineStr">
        <is>
          <t>-</t>
        </is>
      </c>
      <c r="M30" s="535" t="n">
        <v>0</v>
      </c>
      <c r="N30" s="535" t="n">
        <v>0</v>
      </c>
      <c r="O30" s="535" t="n">
        <v>0</v>
      </c>
      <c r="Q30" s="535" t="n"/>
      <c r="R30" s="535" t="n"/>
      <c r="S30" s="535" t="n"/>
      <c r="T30" s="535" t="n"/>
      <c r="U30" s="535" t="n"/>
      <c r="W30" s="535" t="n"/>
      <c r="X30" s="535" t="n"/>
      <c r="Y30" s="535" t="n"/>
      <c r="Z30" s="535" t="n"/>
      <c r="AA30" s="535" t="n"/>
    </row>
    <row r="31" ht="18.75" customFormat="1" customHeight="1" s="163">
      <c r="A31" s="527" t="inlineStr">
        <is>
          <t>MEP MAINTENANCE &amp; SERVICES</t>
        </is>
      </c>
      <c r="B31" s="528" t="n"/>
      <c r="C31" s="529" t="n"/>
      <c r="D31" s="529" t="n"/>
      <c r="E31" s="530">
        <f>+SUM(E32:E48)</f>
        <v/>
      </c>
      <c r="F31" s="530">
        <f>+SUM(F32:F48)</f>
        <v/>
      </c>
      <c r="G31" s="531">
        <f>+SUM(G32:G48)</f>
        <v/>
      </c>
      <c r="H31" s="530">
        <f>SUM(H32:H48)</f>
        <v/>
      </c>
      <c r="I31" s="531">
        <f>+SUM(I32:I48)</f>
        <v/>
      </c>
      <c r="K31" s="533" t="n">
        <v>97</v>
      </c>
      <c r="L31" s="533" t="n">
        <v>1</v>
      </c>
      <c r="M31" s="533">
        <f>+SUM(M32:M48)</f>
        <v/>
      </c>
      <c r="N31" s="533">
        <f>+SUM(N32:N48)</f>
        <v/>
      </c>
      <c r="O31" s="533">
        <f>SUM(M31:N31)</f>
        <v/>
      </c>
      <c r="Q31" s="533" t="n">
        <v>12</v>
      </c>
      <c r="R31" s="533" t="n"/>
      <c r="S31" s="533">
        <f>SUM(S32:S48)</f>
        <v/>
      </c>
      <c r="T31" s="533" t="n">
        <v>1</v>
      </c>
      <c r="U31" s="533" t="n">
        <v>10</v>
      </c>
      <c r="W31" s="533" t="n">
        <v>10</v>
      </c>
      <c r="X31" s="533" t="n"/>
      <c r="Y31" s="533" t="n">
        <v>10</v>
      </c>
      <c r="Z31" s="533" t="n">
        <v>1</v>
      </c>
      <c r="AA31" s="533" t="n">
        <v>10</v>
      </c>
    </row>
    <row r="32" ht="21" customHeight="1">
      <c r="A32" s="164" t="n">
        <v>1</v>
      </c>
      <c r="B32" s="165" t="inlineStr">
        <is>
          <t>S.EXPATS</t>
        </is>
      </c>
      <c r="C32" s="166" t="inlineStr">
        <is>
          <t>A</t>
        </is>
      </c>
      <c r="D32" s="165" t="inlineStr">
        <is>
          <t>FACILITIES ENGINEER</t>
        </is>
      </c>
      <c r="E32" s="534" t="n">
        <v>2</v>
      </c>
      <c r="F32" s="534" t="inlineStr">
        <is>
          <t>-</t>
        </is>
      </c>
      <c r="G32" s="535">
        <f>SUM(E32:F32)</f>
        <v/>
      </c>
      <c r="H32" s="534" t="n"/>
      <c r="I32" s="535">
        <f>SUM(E32:F32)</f>
        <v/>
      </c>
      <c r="K32" s="535" t="n">
        <v>2</v>
      </c>
      <c r="L32" s="535" t="inlineStr">
        <is>
          <t>-</t>
        </is>
      </c>
      <c r="M32" s="535" t="n">
        <v>2</v>
      </c>
      <c r="N32" s="535" t="n">
        <v>2</v>
      </c>
      <c r="O32" s="535" t="n">
        <v>4</v>
      </c>
      <c r="Q32" s="535" t="n">
        <v>1</v>
      </c>
      <c r="R32" s="535" t="n"/>
      <c r="S32" s="535" t="n">
        <v>1</v>
      </c>
      <c r="T32" s="535" t="n"/>
      <c r="U32" s="535" t="n">
        <v>1</v>
      </c>
      <c r="W32" s="535" t="n"/>
      <c r="X32" s="535" t="n"/>
      <c r="Y32" s="535" t="n"/>
      <c r="Z32" s="535" t="n">
        <v>1</v>
      </c>
      <c r="AA32" s="535" t="n">
        <v>1</v>
      </c>
    </row>
    <row r="33" ht="21" customHeight="1">
      <c r="A33" s="164">
        <f>+A32+1</f>
        <v/>
      </c>
      <c r="B33" s="165" t="inlineStr">
        <is>
          <t>EXPAT'S</t>
        </is>
      </c>
      <c r="C33" s="166" t="inlineStr">
        <is>
          <t>A</t>
        </is>
      </c>
      <c r="D33" s="165" t="inlineStr">
        <is>
          <t>SUPERVISORS MEP</t>
        </is>
      </c>
      <c r="E33" s="534" t="n">
        <v>4</v>
      </c>
      <c r="F33" s="534" t="inlineStr">
        <is>
          <t>-</t>
        </is>
      </c>
      <c r="G33" s="535">
        <f>SUM(E33:F33)</f>
        <v/>
      </c>
      <c r="H33" s="534" t="n"/>
      <c r="I33" s="535">
        <f>SUM(E33:F33)</f>
        <v/>
      </c>
      <c r="K33" s="535" t="n">
        <v>4</v>
      </c>
      <c r="L33" s="535" t="inlineStr">
        <is>
          <t>-</t>
        </is>
      </c>
      <c r="M33" s="535" t="n">
        <v>4</v>
      </c>
      <c r="N33" s="535" t="n">
        <v>0</v>
      </c>
      <c r="O33" s="535" t="n">
        <v>4</v>
      </c>
      <c r="Q33" s="535" t="n">
        <v>1</v>
      </c>
      <c r="R33" s="535" t="n"/>
      <c r="S33" s="535" t="n">
        <v>1</v>
      </c>
      <c r="T33" s="535" t="n"/>
      <c r="U33" s="535" t="n">
        <v>1</v>
      </c>
      <c r="W33" s="535" t="n">
        <v>1</v>
      </c>
      <c r="X33" s="535" t="n"/>
      <c r="Y33" s="535" t="n">
        <v>1</v>
      </c>
      <c r="Z33" s="535" t="n"/>
      <c r="AA33" s="535" t="n">
        <v>1</v>
      </c>
    </row>
    <row r="34" ht="21" customHeight="1">
      <c r="A34" s="164">
        <f>+A33+1</f>
        <v/>
      </c>
      <c r="B34" s="165" t="inlineStr">
        <is>
          <t>EXPAT'S</t>
        </is>
      </c>
      <c r="C34" s="166" t="inlineStr">
        <is>
          <t>C</t>
        </is>
      </c>
      <c r="D34" s="165" t="inlineStr">
        <is>
          <t>UTILITY/GEN</t>
        </is>
      </c>
      <c r="E34" s="534" t="n">
        <v>4</v>
      </c>
      <c r="F34" s="534" t="inlineStr">
        <is>
          <t>-</t>
        </is>
      </c>
      <c r="G34" s="535" t="n">
        <v>2</v>
      </c>
      <c r="H34" s="534" t="n"/>
      <c r="I34" s="535" t="n">
        <v>2</v>
      </c>
      <c r="K34" s="535" t="n">
        <v>4</v>
      </c>
      <c r="L34" s="535" t="inlineStr">
        <is>
          <t>-</t>
        </is>
      </c>
      <c r="M34" s="535" t="n">
        <v>3</v>
      </c>
      <c r="N34" s="535" t="n">
        <v>0</v>
      </c>
      <c r="O34" s="535" t="n">
        <v>4</v>
      </c>
      <c r="Q34" s="535" t="n"/>
      <c r="R34" s="535" t="n"/>
      <c r="S34" s="535" t="n"/>
      <c r="T34" s="535" t="n"/>
      <c r="U34" s="535" t="n"/>
      <c r="W34" s="535" t="n">
        <v>2</v>
      </c>
      <c r="X34" s="535" t="n"/>
      <c r="Y34" s="535" t="n">
        <v>2</v>
      </c>
      <c r="Z34" s="535" t="n"/>
      <c r="AA34" s="535" t="n">
        <v>2</v>
      </c>
    </row>
    <row r="35" ht="21" customHeight="1">
      <c r="A35" s="164">
        <f>+A34+1</f>
        <v/>
      </c>
      <c r="B35" s="165" t="inlineStr">
        <is>
          <t>EXPAT'S</t>
        </is>
      </c>
      <c r="C35" s="166" t="inlineStr">
        <is>
          <t>C</t>
        </is>
      </c>
      <c r="D35" s="165" t="inlineStr">
        <is>
          <t>MULTI SKILLED TECH.</t>
        </is>
      </c>
      <c r="E35" s="534" t="n">
        <v>4</v>
      </c>
      <c r="F35" s="534" t="inlineStr">
        <is>
          <t>-</t>
        </is>
      </c>
      <c r="G35" s="535" t="n">
        <v>3</v>
      </c>
      <c r="H35" s="534" t="n"/>
      <c r="I35" s="535" t="n">
        <v>3</v>
      </c>
      <c r="K35" s="535" t="n">
        <v>4</v>
      </c>
      <c r="L35" s="535" t="inlineStr">
        <is>
          <t>-</t>
        </is>
      </c>
      <c r="M35" s="535" t="n">
        <v>1</v>
      </c>
      <c r="N35" s="535" t="n">
        <v>0</v>
      </c>
      <c r="O35" s="535" t="n">
        <v>4</v>
      </c>
      <c r="Q35" s="535" t="n">
        <v>1</v>
      </c>
      <c r="R35" s="535" t="n"/>
      <c r="S35" s="535" t="n">
        <v>1</v>
      </c>
      <c r="T35" s="535" t="n"/>
      <c r="U35" s="535" t="n">
        <v>1</v>
      </c>
      <c r="W35" s="535" t="n">
        <v>2</v>
      </c>
      <c r="X35" s="535" t="n"/>
      <c r="Y35" s="535" t="n">
        <v>2</v>
      </c>
      <c r="Z35" s="535" t="n"/>
      <c r="AA35" s="535" t="n">
        <v>2</v>
      </c>
    </row>
    <row r="36" ht="21" customHeight="1">
      <c r="A36" s="164">
        <f>+A35+1</f>
        <v/>
      </c>
      <c r="B36" s="165" t="inlineStr">
        <is>
          <t>EXPAT'S</t>
        </is>
      </c>
      <c r="C36" s="166" t="inlineStr">
        <is>
          <t>C</t>
        </is>
      </c>
      <c r="D36" s="165" t="inlineStr">
        <is>
          <t>MECHANICAL  TECH</t>
        </is>
      </c>
      <c r="E36" s="534" t="n">
        <v>4</v>
      </c>
      <c r="F36" s="534" t="inlineStr">
        <is>
          <t>-</t>
        </is>
      </c>
      <c r="G36" s="535" t="n">
        <v>2</v>
      </c>
      <c r="H36" s="534" t="n"/>
      <c r="I36" s="535" t="n">
        <v>2</v>
      </c>
      <c r="K36" s="535" t="n">
        <v>4</v>
      </c>
      <c r="L36" s="535" t="inlineStr">
        <is>
          <t>-</t>
        </is>
      </c>
      <c r="M36" s="535" t="n">
        <v>4</v>
      </c>
      <c r="N36" s="535" t="n">
        <v>3</v>
      </c>
      <c r="O36" s="535" t="n">
        <v>7</v>
      </c>
      <c r="Q36" s="535" t="n">
        <v>2</v>
      </c>
      <c r="R36" s="535" t="n"/>
      <c r="S36" s="535" t="n">
        <v>0</v>
      </c>
      <c r="T36" s="535" t="n"/>
      <c r="U36" s="535" t="n">
        <v>0</v>
      </c>
      <c r="W36" s="535" t="n"/>
      <c r="X36" s="535" t="n"/>
      <c r="Y36" s="535" t="n"/>
      <c r="Z36" s="535" t="n"/>
      <c r="AA36" s="535" t="n"/>
    </row>
    <row r="37" ht="21" customHeight="1">
      <c r="A37" s="164">
        <f>+A36+1</f>
        <v/>
      </c>
      <c r="B37" s="165" t="inlineStr">
        <is>
          <t>EXPAT'S</t>
        </is>
      </c>
      <c r="C37" s="166" t="inlineStr">
        <is>
          <t>C</t>
        </is>
      </c>
      <c r="D37" s="165" t="inlineStr">
        <is>
          <t xml:space="preserve">AC TECHNICIAN  </t>
        </is>
      </c>
      <c r="E37" s="534" t="n">
        <v>16</v>
      </c>
      <c r="F37" s="534" t="inlineStr">
        <is>
          <t>-</t>
        </is>
      </c>
      <c r="G37" s="535" t="n">
        <v>15</v>
      </c>
      <c r="H37" s="534" t="n"/>
      <c r="I37" s="535">
        <f>SUM(E37:F37)</f>
        <v/>
      </c>
      <c r="K37" s="535" t="n">
        <v>16</v>
      </c>
      <c r="L37" s="535" t="inlineStr">
        <is>
          <t>-</t>
        </is>
      </c>
      <c r="M37" s="535" t="n">
        <v>12</v>
      </c>
      <c r="N37" s="535" t="n">
        <v>0</v>
      </c>
      <c r="O37" s="535" t="n">
        <v>14</v>
      </c>
      <c r="Q37" s="535" t="n">
        <v>3</v>
      </c>
      <c r="R37" s="535" t="n"/>
      <c r="S37" s="535" t="n">
        <v>2</v>
      </c>
      <c r="T37" s="535" t="n">
        <v>1</v>
      </c>
      <c r="U37" s="535" t="n">
        <v>3</v>
      </c>
      <c r="W37" s="535" t="n">
        <v>2</v>
      </c>
      <c r="X37" s="535" t="n"/>
      <c r="Y37" s="535" t="n">
        <v>2</v>
      </c>
      <c r="Z37" s="535" t="n"/>
      <c r="AA37" s="535" t="n">
        <v>2</v>
      </c>
    </row>
    <row r="38" ht="21" customHeight="1">
      <c r="A38" s="164">
        <f>+A37+1</f>
        <v/>
      </c>
      <c r="B38" s="165" t="inlineStr">
        <is>
          <t>EXPAT'S</t>
        </is>
      </c>
      <c r="C38" s="166" t="inlineStr">
        <is>
          <t>C</t>
        </is>
      </c>
      <c r="D38" s="165" t="inlineStr">
        <is>
          <t xml:space="preserve">ASSTANT AC TECHNICIAN </t>
        </is>
      </c>
      <c r="E38" s="534" t="n">
        <v>6</v>
      </c>
      <c r="F38" s="534" t="inlineStr">
        <is>
          <t>-</t>
        </is>
      </c>
      <c r="G38" s="535" t="n">
        <v>0</v>
      </c>
      <c r="H38" s="534" t="n"/>
      <c r="I38" s="535" t="n">
        <v>0</v>
      </c>
      <c r="K38" s="535" t="n">
        <v>6</v>
      </c>
      <c r="L38" s="535" t="inlineStr">
        <is>
          <t>-</t>
        </is>
      </c>
      <c r="M38" s="535" t="n">
        <v>1</v>
      </c>
      <c r="N38" s="535" t="n">
        <v>0</v>
      </c>
      <c r="O38" s="535" t="n">
        <v>1</v>
      </c>
      <c r="Q38" s="535" t="n"/>
      <c r="R38" s="535" t="n"/>
      <c r="S38" s="535" t="n"/>
      <c r="T38" s="535" t="n"/>
      <c r="U38" s="535" t="n"/>
      <c r="W38" s="535" t="n"/>
      <c r="X38" s="535" t="n"/>
      <c r="Y38" s="535" t="n"/>
      <c r="Z38" s="535" t="n"/>
      <c r="AA38" s="535" t="n"/>
    </row>
    <row r="39" ht="21" customHeight="1">
      <c r="A39" s="164">
        <f>+A38+1</f>
        <v/>
      </c>
      <c r="B39" s="165" t="inlineStr">
        <is>
          <t>EXPAT'S</t>
        </is>
      </c>
      <c r="C39" s="166" t="inlineStr">
        <is>
          <t>C</t>
        </is>
      </c>
      <c r="D39" s="165" t="inlineStr">
        <is>
          <t>PLUMBER</t>
        </is>
      </c>
      <c r="E39" s="534" t="n">
        <v>14</v>
      </c>
      <c r="F39" s="534" t="inlineStr">
        <is>
          <t>-</t>
        </is>
      </c>
      <c r="G39" s="535" t="n">
        <v>9</v>
      </c>
      <c r="H39" s="534" t="n"/>
      <c r="I39" s="535" t="n">
        <v>10</v>
      </c>
      <c r="K39" s="535" t="n">
        <v>14</v>
      </c>
      <c r="L39" s="535" t="inlineStr">
        <is>
          <t>-</t>
        </is>
      </c>
      <c r="M39" s="535" t="n">
        <v>12</v>
      </c>
      <c r="N39" s="535" t="n">
        <v>0</v>
      </c>
      <c r="O39" s="535" t="n">
        <v>12</v>
      </c>
      <c r="Q39" s="535" t="n"/>
      <c r="R39" s="535" t="n"/>
      <c r="S39" s="535" t="n"/>
      <c r="T39" s="535" t="n"/>
      <c r="U39" s="535" t="n"/>
      <c r="W39" s="535" t="n">
        <v>1</v>
      </c>
      <c r="X39" s="535" t="n"/>
      <c r="Y39" s="535" t="n">
        <v>1</v>
      </c>
      <c r="Z39" s="535" t="n"/>
      <c r="AA39" s="535" t="n">
        <v>1</v>
      </c>
    </row>
    <row r="40" ht="21" customHeight="1">
      <c r="A40" s="164">
        <f>+A39+1</f>
        <v/>
      </c>
      <c r="B40" s="165" t="inlineStr">
        <is>
          <t>EXPAT'S</t>
        </is>
      </c>
      <c r="C40" s="166" t="inlineStr">
        <is>
          <t>C</t>
        </is>
      </c>
      <c r="D40" s="165" t="inlineStr">
        <is>
          <t xml:space="preserve">TRADE HELPER </t>
        </is>
      </c>
      <c r="E40" s="534" t="n">
        <v>14</v>
      </c>
      <c r="F40" s="534" t="inlineStr">
        <is>
          <t>-</t>
        </is>
      </c>
      <c r="G40" s="535" t="n">
        <v>0</v>
      </c>
      <c r="H40" s="534" t="n"/>
      <c r="I40" s="535" t="n">
        <v>0</v>
      </c>
      <c r="K40" s="535" t="n">
        <v>14</v>
      </c>
      <c r="L40" s="535" t="inlineStr">
        <is>
          <t>-</t>
        </is>
      </c>
      <c r="M40" s="535" t="n">
        <v>0</v>
      </c>
      <c r="N40" s="535" t="n">
        <v>0</v>
      </c>
      <c r="O40" s="535" t="n">
        <v>0</v>
      </c>
      <c r="Q40" s="535" t="n"/>
      <c r="R40" s="535" t="n"/>
      <c r="S40" s="535" t="n"/>
      <c r="T40" s="535" t="n"/>
      <c r="U40" s="535" t="n"/>
      <c r="W40" s="535" t="n">
        <v>1</v>
      </c>
      <c r="X40" s="535" t="n"/>
      <c r="Y40" s="535" t="n">
        <v>1</v>
      </c>
      <c r="Z40" s="535" t="n"/>
      <c r="AA40" s="535" t="n">
        <v>1</v>
      </c>
    </row>
    <row r="41" ht="21" customHeight="1">
      <c r="A41" s="164">
        <f>+A40+1</f>
        <v/>
      </c>
      <c r="B41" s="165" t="inlineStr">
        <is>
          <t>EXPAT'S</t>
        </is>
      </c>
      <c r="C41" s="166" t="inlineStr">
        <is>
          <t>A</t>
        </is>
      </c>
      <c r="D41" s="165" t="inlineStr">
        <is>
          <t>SUPERVISOR ELECTRICAL</t>
        </is>
      </c>
      <c r="E41" s="534" t="n">
        <v>2</v>
      </c>
      <c r="F41" s="534" t="inlineStr">
        <is>
          <t>-</t>
        </is>
      </c>
      <c r="G41" s="535">
        <f>SUM(E41:F41)</f>
        <v/>
      </c>
      <c r="H41" s="534" t="n"/>
      <c r="I41" s="535">
        <f>SUM(E41:F41)</f>
        <v/>
      </c>
      <c r="K41" s="535" t="n">
        <v>2</v>
      </c>
      <c r="L41" s="535" t="inlineStr">
        <is>
          <t>-</t>
        </is>
      </c>
      <c r="M41" s="535" t="n">
        <v>1</v>
      </c>
      <c r="N41" s="535" t="n">
        <v>0</v>
      </c>
      <c r="O41" s="535" t="n">
        <v>1</v>
      </c>
      <c r="Q41" s="535" t="n">
        <v>1</v>
      </c>
      <c r="R41" s="535" t="n"/>
      <c r="S41" s="535" t="n">
        <v>1</v>
      </c>
      <c r="T41" s="535" t="n"/>
      <c r="U41" s="535" t="n">
        <v>1</v>
      </c>
      <c r="W41" s="535" t="n"/>
      <c r="X41" s="535" t="n"/>
      <c r="Y41" s="535" t="n"/>
      <c r="Z41" s="535" t="n"/>
      <c r="AA41" s="535" t="n"/>
    </row>
    <row r="42" ht="21" customHeight="1">
      <c r="A42" s="164">
        <f>+A41+1</f>
        <v/>
      </c>
      <c r="B42" s="165" t="inlineStr">
        <is>
          <t>EXPAT'S</t>
        </is>
      </c>
      <c r="C42" s="166" t="inlineStr">
        <is>
          <t>B</t>
        </is>
      </c>
      <c r="D42" s="165" t="inlineStr">
        <is>
          <t xml:space="preserve">TEAM LEADER ELECTRICAL </t>
        </is>
      </c>
      <c r="E42" s="534" t="n">
        <v>2</v>
      </c>
      <c r="F42" s="534" t="inlineStr">
        <is>
          <t>-</t>
        </is>
      </c>
      <c r="G42" s="535" t="n">
        <v>1</v>
      </c>
      <c r="H42" s="534" t="n"/>
      <c r="I42" s="535" t="n">
        <v>1</v>
      </c>
      <c r="K42" s="535" t="n">
        <v>2</v>
      </c>
      <c r="L42" s="535" t="inlineStr">
        <is>
          <t>-</t>
        </is>
      </c>
      <c r="M42" s="535" t="n">
        <v>2</v>
      </c>
      <c r="N42" s="535" t="n">
        <v>0</v>
      </c>
      <c r="O42" s="535" t="n">
        <v>2</v>
      </c>
      <c r="Q42" s="535" t="n"/>
      <c r="R42" s="535" t="n"/>
      <c r="S42" s="535" t="n"/>
      <c r="T42" s="535" t="n"/>
      <c r="U42" s="535" t="n"/>
      <c r="W42" s="535" t="n"/>
      <c r="X42" s="535" t="n"/>
      <c r="Y42" s="535" t="n"/>
      <c r="Z42" s="535" t="n"/>
      <c r="AA42" s="535" t="n"/>
    </row>
    <row r="43" ht="21" customHeight="1">
      <c r="A43" s="164">
        <f>+A42+1</f>
        <v/>
      </c>
      <c r="B43" s="165" t="inlineStr">
        <is>
          <t>EXPAT'S</t>
        </is>
      </c>
      <c r="C43" s="166" t="inlineStr">
        <is>
          <t>C</t>
        </is>
      </c>
      <c r="D43" s="165" t="inlineStr">
        <is>
          <t>ELECTRICIAN</t>
        </is>
      </c>
      <c r="E43" s="534" t="n">
        <v>18</v>
      </c>
      <c r="F43" s="534" t="inlineStr">
        <is>
          <t>-</t>
        </is>
      </c>
      <c r="G43" s="535" t="n">
        <v>10</v>
      </c>
      <c r="H43" s="534" t="n"/>
      <c r="I43" s="535" t="n">
        <v>10</v>
      </c>
      <c r="K43" s="535" t="n">
        <v>18</v>
      </c>
      <c r="L43" s="535" t="inlineStr">
        <is>
          <t>-</t>
        </is>
      </c>
      <c r="M43" s="535" t="n">
        <v>18</v>
      </c>
      <c r="N43" s="535" t="n">
        <v>9</v>
      </c>
      <c r="O43" s="535" t="n">
        <v>27</v>
      </c>
      <c r="Q43" s="535" t="n">
        <v>2</v>
      </c>
      <c r="R43" s="535" t="n"/>
      <c r="S43" s="535" t="n">
        <v>2</v>
      </c>
      <c r="T43" s="535" t="n"/>
      <c r="U43" s="535" t="n">
        <v>2</v>
      </c>
      <c r="W43" s="535" t="n">
        <v>1</v>
      </c>
      <c r="X43" s="535" t="n"/>
      <c r="Y43" s="535" t="n">
        <v>1</v>
      </c>
      <c r="Z43" s="535" t="n"/>
      <c r="AA43" s="535" t="n">
        <v>1</v>
      </c>
    </row>
    <row r="44" ht="21" customHeight="1">
      <c r="A44" s="164">
        <f>+A43+1</f>
        <v/>
      </c>
      <c r="B44" s="165" t="inlineStr">
        <is>
          <t>EXPAT'S</t>
        </is>
      </c>
      <c r="C44" s="166" t="inlineStr">
        <is>
          <t>C</t>
        </is>
      </c>
      <c r="D44" s="165" t="inlineStr">
        <is>
          <t xml:space="preserve">APPLIANCE TECHNICIAN </t>
        </is>
      </c>
      <c r="E44" s="534" t="n">
        <v>2</v>
      </c>
      <c r="F44" s="534" t="inlineStr">
        <is>
          <t>-</t>
        </is>
      </c>
      <c r="G44" s="535" t="n">
        <v>0</v>
      </c>
      <c r="H44" s="534" t="n"/>
      <c r="I44" s="535" t="n">
        <v>0</v>
      </c>
      <c r="K44" s="535" t="n">
        <v>2</v>
      </c>
      <c r="L44" s="535" t="inlineStr">
        <is>
          <t>-</t>
        </is>
      </c>
      <c r="M44" s="535" t="n">
        <v>0</v>
      </c>
      <c r="N44" s="535" t="n">
        <v>0</v>
      </c>
      <c r="O44" s="535" t="n">
        <v>0</v>
      </c>
      <c r="Q44" s="535" t="n"/>
      <c r="R44" s="535" t="n"/>
      <c r="S44" s="535" t="n"/>
      <c r="T44" s="535" t="n"/>
      <c r="U44" s="535" t="n"/>
      <c r="W44" s="535" t="n"/>
      <c r="X44" s="535" t="n"/>
      <c r="Y44" s="535" t="n"/>
      <c r="Z44" s="535" t="n"/>
      <c r="AA44" s="535" t="n"/>
    </row>
    <row r="45" ht="21" customHeight="1">
      <c r="A45" s="164">
        <f>+A44+1</f>
        <v/>
      </c>
      <c r="B45" s="165" t="inlineStr">
        <is>
          <t>EXPAT'S</t>
        </is>
      </c>
      <c r="C45" s="166" t="inlineStr">
        <is>
          <t>D</t>
        </is>
      </c>
      <c r="D45" s="165" t="inlineStr">
        <is>
          <t>WARE HOUSE HELPER</t>
        </is>
      </c>
      <c r="E45" s="534" t="n">
        <v>2</v>
      </c>
      <c r="F45" s="534" t="inlineStr">
        <is>
          <t>-</t>
        </is>
      </c>
      <c r="G45" s="535">
        <f>SUM(E45:F45)</f>
        <v/>
      </c>
      <c r="H45" s="534" t="n"/>
      <c r="I45" s="535">
        <f>SUM(E45:F45)</f>
        <v/>
      </c>
      <c r="K45" s="535" t="n">
        <v>2</v>
      </c>
      <c r="L45" s="535" t="inlineStr">
        <is>
          <t>-</t>
        </is>
      </c>
      <c r="M45" s="535" t="n">
        <v>1</v>
      </c>
      <c r="N45" s="535" t="n">
        <v>0</v>
      </c>
      <c r="O45" s="535" t="n">
        <v>1</v>
      </c>
      <c r="Q45" s="535" t="n"/>
      <c r="R45" s="535" t="n"/>
      <c r="S45" s="535" t="n"/>
      <c r="T45" s="535" t="n"/>
      <c r="U45" s="535" t="n"/>
      <c r="W45" s="535" t="n"/>
      <c r="X45" s="535" t="n"/>
      <c r="Y45" s="535" t="n"/>
      <c r="Z45" s="535" t="n"/>
      <c r="AA45" s="535" t="n"/>
    </row>
    <row r="46" ht="21" customHeight="1">
      <c r="A46" s="164">
        <f>+A45+1</f>
        <v/>
      </c>
      <c r="B46" s="165" t="inlineStr">
        <is>
          <t>EXPAT'S</t>
        </is>
      </c>
      <c r="C46" s="166" t="inlineStr">
        <is>
          <t>C</t>
        </is>
      </c>
      <c r="D46" s="165" t="inlineStr">
        <is>
          <t>MEWP CERTIFIED OPERATORS</t>
        </is>
      </c>
      <c r="E46" s="534" t="n">
        <v>0</v>
      </c>
      <c r="F46" s="534" t="inlineStr">
        <is>
          <t>-</t>
        </is>
      </c>
      <c r="G46" s="535">
        <f>SUM(E46:F46)</f>
        <v/>
      </c>
      <c r="H46" s="534" t="n"/>
      <c r="I46" s="535">
        <f>SUM(E46:F46)</f>
        <v/>
      </c>
      <c r="K46" s="535" t="n">
        <v>0</v>
      </c>
      <c r="L46" s="535" t="inlineStr">
        <is>
          <t>-</t>
        </is>
      </c>
      <c r="M46" s="535" t="n">
        <v>0</v>
      </c>
      <c r="N46" s="535" t="n">
        <v>0</v>
      </c>
      <c r="O46" s="535" t="n">
        <v>0</v>
      </c>
      <c r="Q46" s="535" t="n"/>
      <c r="R46" s="535" t="n"/>
      <c r="S46" s="535" t="n"/>
      <c r="T46" s="535" t="n"/>
      <c r="U46" s="535" t="n"/>
      <c r="W46" s="535" t="n"/>
      <c r="X46" s="535" t="n"/>
      <c r="Y46" s="535" t="n"/>
      <c r="Z46" s="535" t="n"/>
      <c r="AA46" s="535" t="n"/>
    </row>
    <row r="47" ht="21" customHeight="1">
      <c r="A47" s="164">
        <f>+A46+1</f>
        <v/>
      </c>
      <c r="B47" s="165" t="inlineStr">
        <is>
          <t>SAUDI'S</t>
        </is>
      </c>
      <c r="C47" s="166" t="inlineStr">
        <is>
          <t>B</t>
        </is>
      </c>
      <c r="D47" s="165" t="inlineStr">
        <is>
          <t>IT ENGINEER</t>
        </is>
      </c>
      <c r="E47" s="534" t="n">
        <v>1</v>
      </c>
      <c r="F47" s="534" t="n">
        <v>1</v>
      </c>
      <c r="G47" s="535">
        <f>SUM(E47:F47)</f>
        <v/>
      </c>
      <c r="H47" s="534" t="n"/>
      <c r="I47" s="535">
        <f>SUM(E47:F47)</f>
        <v/>
      </c>
      <c r="K47" s="535" t="n">
        <v>1</v>
      </c>
      <c r="L47" s="535" t="n">
        <v>1</v>
      </c>
      <c r="M47" s="535" t="n">
        <v>1</v>
      </c>
      <c r="N47" s="535" t="n">
        <v>0</v>
      </c>
      <c r="O47" s="535" t="n">
        <v>1</v>
      </c>
      <c r="Q47" s="535" t="n"/>
      <c r="R47" s="535" t="n"/>
      <c r="S47" s="535" t="n"/>
      <c r="T47" s="535" t="n"/>
      <c r="U47" s="535" t="n"/>
      <c r="W47" s="535" t="n"/>
      <c r="X47" s="535" t="n"/>
      <c r="Y47" s="535" t="n"/>
      <c r="Z47" s="535" t="n"/>
      <c r="AA47" s="535" t="n"/>
    </row>
    <row r="48" ht="21" customHeight="1">
      <c r="A48" s="164">
        <f>+A47+1</f>
        <v/>
      </c>
      <c r="B48" s="165" t="inlineStr">
        <is>
          <t>EXPAT'S</t>
        </is>
      </c>
      <c r="C48" s="166" t="inlineStr">
        <is>
          <t>C</t>
        </is>
      </c>
      <c r="D48" s="165" t="inlineStr">
        <is>
          <t>LV TECHNICIAN (CCTV/IT )</t>
        </is>
      </c>
      <c r="E48" s="534" t="n">
        <v>2</v>
      </c>
      <c r="F48" s="534" t="inlineStr">
        <is>
          <t>-</t>
        </is>
      </c>
      <c r="G48" s="535">
        <f>SUM(E48:F48)</f>
        <v/>
      </c>
      <c r="H48" s="534" t="n"/>
      <c r="I48" s="535" t="n">
        <v>2</v>
      </c>
      <c r="K48" s="535" t="n">
        <v>2</v>
      </c>
      <c r="L48" s="535" t="inlineStr">
        <is>
          <t>-</t>
        </is>
      </c>
      <c r="M48" s="535" t="n">
        <v>2</v>
      </c>
      <c r="N48" s="535" t="n">
        <v>2</v>
      </c>
      <c r="O48" s="535" t="n">
        <v>4</v>
      </c>
      <c r="Q48" s="535" t="n">
        <v>1</v>
      </c>
      <c r="R48" s="535" t="n"/>
      <c r="S48" s="535" t="n">
        <v>0</v>
      </c>
      <c r="T48" s="535" t="n"/>
      <c r="U48" s="535" t="n">
        <v>0</v>
      </c>
      <c r="W48" s="535" t="n"/>
      <c r="X48" s="535" t="n"/>
      <c r="Y48" s="535" t="n"/>
      <c r="Z48" s="535" t="n"/>
      <c r="AA48" s="535" t="n"/>
    </row>
    <row r="49" ht="18.75" customFormat="1" customHeight="1" s="163">
      <c r="A49" s="527" t="inlineStr">
        <is>
          <t>CIVIL MAINTENANCE &amp; SERVICES</t>
        </is>
      </c>
      <c r="B49" s="528" t="n"/>
      <c r="C49" s="529" t="n"/>
      <c r="D49" s="529" t="n"/>
      <c r="E49" s="530">
        <f>+SUM(E50:E52)</f>
        <v/>
      </c>
      <c r="F49" s="530">
        <f>+SUM(F50:F52)</f>
        <v/>
      </c>
      <c r="G49" s="531">
        <f>+SUM(G50:G52)</f>
        <v/>
      </c>
      <c r="H49" s="530">
        <f>SUM(H50:H52)</f>
        <v/>
      </c>
      <c r="I49" s="531">
        <f>+SUM(I50:I52)</f>
        <v/>
      </c>
      <c r="K49" s="533" t="n">
        <v>4</v>
      </c>
      <c r="L49" s="533" t="n">
        <v>0</v>
      </c>
      <c r="M49" s="533">
        <f>+SUM(M50:M52)</f>
        <v/>
      </c>
      <c r="N49" s="533">
        <f>+SUM(N50:N52)</f>
        <v/>
      </c>
      <c r="O49" s="533">
        <f>SUM(M49:N49)</f>
        <v/>
      </c>
      <c r="Q49" s="533" t="n">
        <v>2</v>
      </c>
      <c r="R49" s="533" t="n"/>
      <c r="S49" s="533">
        <f>SUM(S50:S52)</f>
        <v/>
      </c>
      <c r="T49" s="533" t="n"/>
      <c r="U49" s="533" t="n">
        <v>2</v>
      </c>
      <c r="W49" s="533" t="n"/>
      <c r="X49" s="533" t="n"/>
      <c r="Y49" s="533" t="n"/>
      <c r="Z49" s="533" t="n"/>
      <c r="AA49" s="533" t="n"/>
    </row>
    <row r="50" ht="21" customHeight="1">
      <c r="A50" s="164" t="n">
        <v>1</v>
      </c>
      <c r="B50" s="165" t="inlineStr">
        <is>
          <t>EXPAT'S</t>
        </is>
      </c>
      <c r="C50" s="166" t="inlineStr">
        <is>
          <t>A</t>
        </is>
      </c>
      <c r="D50" s="165" t="inlineStr">
        <is>
          <t>CIVIL SUPERVISOR</t>
        </is>
      </c>
      <c r="E50" s="534" t="n">
        <v>2</v>
      </c>
      <c r="F50" s="534" t="inlineStr">
        <is>
          <t>-</t>
        </is>
      </c>
      <c r="G50" s="535">
        <f>SUM(E50:F50)</f>
        <v/>
      </c>
      <c r="H50" s="534" t="n"/>
      <c r="I50" s="535">
        <f>SUM(E50:F50)</f>
        <v/>
      </c>
      <c r="K50" s="535" t="n">
        <v>2</v>
      </c>
      <c r="L50" s="535" t="inlineStr">
        <is>
          <t>-</t>
        </is>
      </c>
      <c r="M50" s="535" t="n">
        <v>2</v>
      </c>
      <c r="N50" s="535" t="n">
        <v>0</v>
      </c>
      <c r="O50" s="535" t="n">
        <v>2</v>
      </c>
      <c r="Q50" s="535" t="n">
        <v>1</v>
      </c>
      <c r="R50" s="535" t="n"/>
      <c r="S50" s="535" t="n">
        <v>1</v>
      </c>
      <c r="T50" s="535" t="n"/>
      <c r="U50" s="535" t="n">
        <v>1</v>
      </c>
      <c r="W50" s="535" t="n"/>
      <c r="X50" s="535" t="n"/>
      <c r="Y50" s="535" t="n"/>
      <c r="Z50" s="535" t="n"/>
      <c r="AA50" s="535" t="n"/>
    </row>
    <row r="51" ht="21" customHeight="1">
      <c r="A51" s="164" t="n">
        <v>2</v>
      </c>
      <c r="B51" s="165" t="inlineStr">
        <is>
          <t>EXPAT'S</t>
        </is>
      </c>
      <c r="C51" s="391" t="inlineStr">
        <is>
          <t>C</t>
        </is>
      </c>
      <c r="D51" s="165" t="inlineStr">
        <is>
          <t>CIVIL TECHNICIAN</t>
        </is>
      </c>
      <c r="E51" s="534" t="n">
        <v>0</v>
      </c>
      <c r="F51" s="534" t="n"/>
      <c r="G51" s="535" t="n"/>
      <c r="H51" s="534" t="n"/>
      <c r="I51" s="535" t="n">
        <v>0</v>
      </c>
      <c r="K51" s="535" t="n">
        <v>0</v>
      </c>
      <c r="L51" s="535" t="n"/>
      <c r="M51" s="535" t="n">
        <v>0</v>
      </c>
      <c r="N51" s="535" t="n">
        <v>0</v>
      </c>
      <c r="O51" s="535" t="n">
        <v>0</v>
      </c>
      <c r="Q51" s="535" t="n">
        <v>1</v>
      </c>
      <c r="R51" s="535" t="n"/>
      <c r="S51" s="535" t="n">
        <v>0</v>
      </c>
      <c r="T51" s="535" t="n"/>
      <c r="U51" s="535" t="n">
        <v>0</v>
      </c>
      <c r="W51" s="535" t="n"/>
      <c r="X51" s="535" t="n"/>
      <c r="Y51" s="535" t="n"/>
      <c r="Z51" s="535" t="n"/>
      <c r="AA51" s="535" t="n"/>
    </row>
    <row r="52" ht="21" customHeight="1">
      <c r="A52" s="164" t="n">
        <v>3</v>
      </c>
      <c r="B52" s="165" t="inlineStr">
        <is>
          <t>EXPAT'S</t>
        </is>
      </c>
      <c r="C52" s="166" t="inlineStr">
        <is>
          <t>C</t>
        </is>
      </c>
      <c r="D52" s="165" t="inlineStr">
        <is>
          <t>MASON</t>
        </is>
      </c>
      <c r="E52" s="534" t="n">
        <v>2</v>
      </c>
      <c r="F52" s="534" t="inlineStr">
        <is>
          <t>-</t>
        </is>
      </c>
      <c r="G52" s="535" t="n">
        <v>1</v>
      </c>
      <c r="H52" s="534" t="n">
        <v>0</v>
      </c>
      <c r="I52" s="535" t="n">
        <v>3</v>
      </c>
      <c r="K52" s="535" t="n">
        <v>2</v>
      </c>
      <c r="L52" s="535" t="inlineStr">
        <is>
          <t>-</t>
        </is>
      </c>
      <c r="M52" s="535" t="n">
        <v>2</v>
      </c>
      <c r="N52" s="535" t="n">
        <v>1</v>
      </c>
      <c r="O52" s="535" t="n">
        <v>3</v>
      </c>
      <c r="Q52" s="535" t="n"/>
      <c r="R52" s="535" t="n"/>
      <c r="S52" s="535" t="n"/>
      <c r="T52" s="535" t="n"/>
      <c r="U52" s="535" t="n"/>
      <c r="W52" s="535" t="n"/>
      <c r="X52" s="535" t="n"/>
      <c r="Y52" s="535" t="n"/>
      <c r="Z52" s="535" t="n"/>
      <c r="AA52" s="535" t="n"/>
    </row>
    <row r="53" ht="18.75" customFormat="1" customHeight="1" s="163">
      <c r="A53" s="527" t="inlineStr">
        <is>
          <t>CARPENTRY SERVICES</t>
        </is>
      </c>
      <c r="B53" s="528" t="n"/>
      <c r="C53" s="529" t="n"/>
      <c r="D53" s="529" t="n"/>
      <c r="E53" s="530">
        <f>+SUM(E54:E55)</f>
        <v/>
      </c>
      <c r="F53" s="530">
        <f>+SUM(F54:F55)</f>
        <v/>
      </c>
      <c r="G53" s="531">
        <f>+SUM(G54:G55)</f>
        <v/>
      </c>
      <c r="H53" s="530">
        <f>SUM(H54:H55)</f>
        <v/>
      </c>
      <c r="I53" s="531">
        <f>+SUM(I54:I55)</f>
        <v/>
      </c>
      <c r="K53" s="533" t="n">
        <v>12</v>
      </c>
      <c r="L53" s="533" t="n">
        <v>0</v>
      </c>
      <c r="M53" s="533">
        <f>+SUM(M54:M55)</f>
        <v/>
      </c>
      <c r="N53" s="533">
        <f>+SUM(N54:N55)</f>
        <v/>
      </c>
      <c r="O53" s="533">
        <f>SUM(M53:N53)</f>
        <v/>
      </c>
      <c r="Q53" s="532" t="n">
        <v>0</v>
      </c>
      <c r="R53" s="533" t="n">
        <v>0</v>
      </c>
      <c r="S53" s="533" t="n">
        <v>0</v>
      </c>
      <c r="T53" s="533" t="n">
        <v>0</v>
      </c>
      <c r="U53" s="533" t="n">
        <v>0</v>
      </c>
      <c r="W53" s="533" t="n">
        <v>1</v>
      </c>
      <c r="X53" s="533" t="n"/>
      <c r="Y53" s="533" t="n">
        <v>1</v>
      </c>
      <c r="Z53" s="533" t="n"/>
      <c r="AA53" s="533" t="n">
        <v>1</v>
      </c>
    </row>
    <row r="54" ht="21" customHeight="1">
      <c r="A54" s="164" t="n">
        <v>1</v>
      </c>
      <c r="B54" s="165" t="inlineStr">
        <is>
          <t>EXPAT'S</t>
        </is>
      </c>
      <c r="C54" s="166" t="inlineStr">
        <is>
          <t>C</t>
        </is>
      </c>
      <c r="D54" s="165" t="inlineStr">
        <is>
          <t>CARPENTER</t>
        </is>
      </c>
      <c r="E54" s="534" t="n">
        <v>8</v>
      </c>
      <c r="F54" s="534" t="inlineStr">
        <is>
          <t>-</t>
        </is>
      </c>
      <c r="G54" s="535" t="n">
        <v>6</v>
      </c>
      <c r="H54" s="534" t="n"/>
      <c r="I54" s="535" t="n">
        <v>6</v>
      </c>
      <c r="K54" s="535" t="n">
        <v>8</v>
      </c>
      <c r="L54" s="535" t="inlineStr">
        <is>
          <t>-</t>
        </is>
      </c>
      <c r="M54" s="535" t="n">
        <v>2</v>
      </c>
      <c r="N54" s="535" t="n">
        <v>0</v>
      </c>
      <c r="O54" s="535" t="n">
        <v>2</v>
      </c>
      <c r="Q54" s="535" t="n"/>
      <c r="R54" s="535" t="n"/>
      <c r="S54" s="535" t="n"/>
      <c r="T54" s="535" t="n"/>
      <c r="U54" s="535" t="n"/>
      <c r="W54" s="535" t="n"/>
      <c r="X54" s="535" t="n"/>
      <c r="Y54" s="535" t="n"/>
      <c r="Z54" s="535" t="n"/>
      <c r="AA54" s="535" t="n"/>
    </row>
    <row r="55" ht="21" customHeight="1">
      <c r="A55" s="164">
        <f>+A54+1</f>
        <v/>
      </c>
      <c r="B55" s="165" t="inlineStr">
        <is>
          <t>EXPAT'S</t>
        </is>
      </c>
      <c r="C55" s="166" t="inlineStr">
        <is>
          <t>C</t>
        </is>
      </c>
      <c r="D55" s="165" t="inlineStr">
        <is>
          <t>PAINTER/HANDYMAN (CIVIL)</t>
        </is>
      </c>
      <c r="E55" s="534" t="n">
        <v>4</v>
      </c>
      <c r="F55" s="534" t="inlineStr">
        <is>
          <t>-</t>
        </is>
      </c>
      <c r="G55" s="535">
        <f>SUM(E55:F55)</f>
        <v/>
      </c>
      <c r="H55" s="534" t="n">
        <v>2</v>
      </c>
      <c r="I55" s="535" t="n">
        <v>6</v>
      </c>
      <c r="K55" s="535" t="n">
        <v>4</v>
      </c>
      <c r="L55" s="535" t="inlineStr">
        <is>
          <t>-</t>
        </is>
      </c>
      <c r="M55" s="535" t="n">
        <v>4</v>
      </c>
      <c r="N55" s="535" t="n">
        <v>0</v>
      </c>
      <c r="O55" s="535" t="n">
        <v>4</v>
      </c>
      <c r="Q55" s="535" t="n"/>
      <c r="R55" s="535" t="n"/>
      <c r="S55" s="535" t="n"/>
      <c r="T55" s="535" t="n"/>
      <c r="U55" s="535" t="n"/>
      <c r="W55" s="535" t="n">
        <v>1</v>
      </c>
      <c r="X55" s="535" t="n"/>
      <c r="Y55" s="535" t="n">
        <v>1</v>
      </c>
      <c r="Z55" s="535" t="n"/>
      <c r="AA55" s="535" t="n">
        <v>1</v>
      </c>
    </row>
    <row r="56" ht="18.75" customFormat="1" customHeight="1" s="163">
      <c r="A56" s="527" t="inlineStr">
        <is>
          <t>LANDSCAPE  SERVICES</t>
        </is>
      </c>
      <c r="B56" s="528" t="n"/>
      <c r="C56" s="529" t="n"/>
      <c r="D56" s="529" t="n"/>
      <c r="E56" s="530">
        <f>+SUM(E57:E58)</f>
        <v/>
      </c>
      <c r="F56" s="530">
        <f>+SUM(F57:F58)</f>
        <v/>
      </c>
      <c r="G56" s="531">
        <f>+SUM(G57:G58)</f>
        <v/>
      </c>
      <c r="H56" s="530">
        <f>SUM(H57:H58)</f>
        <v/>
      </c>
      <c r="I56" s="531">
        <f>+SUM(I57:I58)</f>
        <v/>
      </c>
      <c r="K56" s="533" t="n">
        <v>22</v>
      </c>
      <c r="L56" s="533" t="n">
        <v>0</v>
      </c>
      <c r="M56" s="533">
        <f>+SUM(M57:M58)</f>
        <v/>
      </c>
      <c r="N56" s="533">
        <f>+SUM(N57:N58)</f>
        <v/>
      </c>
      <c r="O56" s="533">
        <f>SUM(M56:N56)</f>
        <v/>
      </c>
      <c r="Q56" s="533" t="n">
        <v>17</v>
      </c>
      <c r="R56" s="533" t="n"/>
      <c r="S56" s="533">
        <f>SUM(S57:S58)</f>
        <v/>
      </c>
      <c r="T56" s="533" t="n">
        <v>10</v>
      </c>
      <c r="U56" s="533" t="n">
        <v>27</v>
      </c>
      <c r="W56" s="533" t="n"/>
      <c r="X56" s="533" t="n"/>
      <c r="Y56" s="533" t="n"/>
      <c r="Z56" s="533" t="n"/>
      <c r="AA56" s="533" t="n"/>
    </row>
    <row r="57" ht="21" customHeight="1">
      <c r="A57" s="164" t="n">
        <v>1</v>
      </c>
      <c r="B57" s="165" t="inlineStr">
        <is>
          <t>EXPAT'S</t>
        </is>
      </c>
      <c r="C57" s="166" t="inlineStr">
        <is>
          <t>A</t>
        </is>
      </c>
      <c r="D57" s="165" t="inlineStr">
        <is>
          <t>LANDSCAPE SUPERVISOR</t>
        </is>
      </c>
      <c r="E57" s="536" t="n">
        <v>2</v>
      </c>
      <c r="F57" s="536" t="inlineStr">
        <is>
          <t>-</t>
        </is>
      </c>
      <c r="G57" s="535">
        <f>SUM(E57:F57)</f>
        <v/>
      </c>
      <c r="H57" s="534" t="n">
        <v>1</v>
      </c>
      <c r="I57" s="535" t="n">
        <v>3</v>
      </c>
      <c r="K57" s="537" t="n">
        <v>2</v>
      </c>
      <c r="L57" s="537" t="inlineStr">
        <is>
          <t>-</t>
        </is>
      </c>
      <c r="M57" s="535" t="n">
        <v>1</v>
      </c>
      <c r="N57" s="537" t="n">
        <v>0</v>
      </c>
      <c r="O57" s="535" t="n">
        <v>1</v>
      </c>
      <c r="Q57" s="537" t="n">
        <v>2</v>
      </c>
      <c r="R57" s="537" t="n"/>
      <c r="S57" s="535" t="n">
        <v>2</v>
      </c>
      <c r="T57" s="537" t="n"/>
      <c r="U57" s="535" t="n">
        <v>2</v>
      </c>
      <c r="W57" s="537" t="n"/>
      <c r="X57" s="537" t="n"/>
      <c r="Y57" s="537" t="n"/>
      <c r="Z57" s="537" t="n"/>
      <c r="AA57" s="535" t="n"/>
    </row>
    <row r="58" ht="21" customHeight="1">
      <c r="A58" s="164">
        <f>+A57+1</f>
        <v/>
      </c>
      <c r="B58" s="165" t="inlineStr">
        <is>
          <t>EXPAT'S</t>
        </is>
      </c>
      <c r="C58" s="166" t="inlineStr">
        <is>
          <t>D</t>
        </is>
      </c>
      <c r="D58" s="165" t="inlineStr">
        <is>
          <t>GARDENER</t>
        </is>
      </c>
      <c r="E58" s="534" t="n">
        <v>20</v>
      </c>
      <c r="F58" s="534" t="inlineStr">
        <is>
          <t>-</t>
        </is>
      </c>
      <c r="G58" s="535" t="n">
        <v>20</v>
      </c>
      <c r="H58" s="534" t="n">
        <v>19</v>
      </c>
      <c r="I58" s="535" t="n">
        <v>39</v>
      </c>
      <c r="K58" s="535" t="n">
        <v>20</v>
      </c>
      <c r="L58" s="535" t="inlineStr">
        <is>
          <t>-</t>
        </is>
      </c>
      <c r="M58" s="535" t="n">
        <v>20</v>
      </c>
      <c r="N58" s="535" t="n">
        <v>29</v>
      </c>
      <c r="O58" s="535" t="n">
        <v>49</v>
      </c>
      <c r="Q58" s="535" t="n">
        <v>15</v>
      </c>
      <c r="R58" s="535" t="n"/>
      <c r="S58" s="535" t="n">
        <v>15</v>
      </c>
      <c r="T58" s="537" t="n">
        <v>10</v>
      </c>
      <c r="U58" s="535" t="n">
        <v>25</v>
      </c>
      <c r="W58" s="535" t="n"/>
      <c r="X58" s="535" t="n"/>
      <c r="Y58" s="535" t="n"/>
      <c r="Z58" s="535" t="n"/>
      <c r="AA58" s="535" t="n"/>
    </row>
    <row r="59" ht="18.75" customFormat="1" customHeight="1" s="163">
      <c r="A59" s="527" t="inlineStr">
        <is>
          <t>IRRIGATION SYSTEMS</t>
        </is>
      </c>
      <c r="B59" s="528" t="n"/>
      <c r="C59" s="529" t="n"/>
      <c r="D59" s="529" t="n"/>
      <c r="E59" s="530">
        <f>+SUM(E60)</f>
        <v/>
      </c>
      <c r="F59" s="530">
        <f>+SUM(F60)</f>
        <v/>
      </c>
      <c r="G59" s="531">
        <f>+SUM(G60)</f>
        <v/>
      </c>
      <c r="H59" s="530">
        <f>SUM(H60)</f>
        <v/>
      </c>
      <c r="I59" s="531">
        <f>+SUM(I60)</f>
        <v/>
      </c>
      <c r="K59" s="533" t="n">
        <v>2</v>
      </c>
      <c r="L59" s="533" t="n">
        <v>0</v>
      </c>
      <c r="M59" s="533">
        <f>+SUM(M60)</f>
        <v/>
      </c>
      <c r="N59" s="533">
        <f>+SUM(N60)</f>
        <v/>
      </c>
      <c r="O59" s="533">
        <f>SUM(M59:N59)</f>
        <v/>
      </c>
      <c r="Q59" s="532" t="n">
        <v>0</v>
      </c>
      <c r="R59" s="533" t="n">
        <v>0</v>
      </c>
      <c r="S59" s="533" t="n">
        <v>0</v>
      </c>
      <c r="T59" s="533" t="n">
        <v>0</v>
      </c>
      <c r="U59" s="533" t="n">
        <v>0</v>
      </c>
      <c r="W59" s="533" t="n"/>
      <c r="X59" s="533" t="n"/>
      <c r="Y59" s="533" t="n"/>
      <c r="Z59" s="533" t="n"/>
      <c r="AA59" s="533" t="n"/>
    </row>
    <row r="60" ht="21" customHeight="1">
      <c r="A60" s="164" t="n">
        <v>1</v>
      </c>
      <c r="B60" s="165" t="inlineStr">
        <is>
          <t>EXPAT'S</t>
        </is>
      </c>
      <c r="C60" s="166" t="inlineStr">
        <is>
          <t>C</t>
        </is>
      </c>
      <c r="D60" s="165" t="inlineStr">
        <is>
          <t>IRRIGATION TECHNICIAN</t>
        </is>
      </c>
      <c r="E60" s="534" t="n">
        <v>2</v>
      </c>
      <c r="F60" s="534" t="inlineStr">
        <is>
          <t>-</t>
        </is>
      </c>
      <c r="G60" s="535">
        <f>SUM(E60:F60)</f>
        <v/>
      </c>
      <c r="H60" s="534" t="n">
        <v>1</v>
      </c>
      <c r="I60" s="535" t="n">
        <v>3</v>
      </c>
      <c r="K60" s="535" t="n">
        <v>2</v>
      </c>
      <c r="L60" s="535" t="inlineStr">
        <is>
          <t>-</t>
        </is>
      </c>
      <c r="M60" s="535" t="n">
        <v>2</v>
      </c>
      <c r="N60" s="535" t="n">
        <v>2</v>
      </c>
      <c r="O60" s="535" t="n">
        <v>4</v>
      </c>
      <c r="Q60" s="535" t="n"/>
      <c r="R60" s="535" t="n"/>
      <c r="S60" s="535" t="n"/>
      <c r="T60" s="535" t="n"/>
      <c r="U60" s="535" t="n"/>
      <c r="W60" s="535" t="n"/>
      <c r="X60" s="535" t="n"/>
      <c r="Y60" s="535" t="n"/>
      <c r="Z60" s="535" t="n"/>
      <c r="AA60" s="535" t="n"/>
    </row>
    <row r="61" ht="18.75" customFormat="1" customHeight="1" s="163">
      <c r="A61" s="527" t="inlineStr">
        <is>
          <t>FIRE PROTECTION AND SAFETY SERVICES</t>
        </is>
      </c>
      <c r="B61" s="528" t="n"/>
      <c r="C61" s="529" t="n"/>
      <c r="D61" s="529" t="n"/>
      <c r="E61" s="530">
        <f>+SUM(E63:E66)</f>
        <v/>
      </c>
      <c r="F61" s="530">
        <f>+SUM(F63:F66)</f>
        <v/>
      </c>
      <c r="G61" s="531">
        <f>+SUM(G63:G66)</f>
        <v/>
      </c>
      <c r="H61" s="530">
        <f>SUM(H62:H66)</f>
        <v/>
      </c>
      <c r="I61" s="531">
        <f>+SUM(I63:I66)</f>
        <v/>
      </c>
      <c r="K61" s="533" t="n">
        <v>10</v>
      </c>
      <c r="L61" s="533" t="n">
        <v>0</v>
      </c>
      <c r="M61" s="533">
        <f>+SUM(M62:M66)</f>
        <v/>
      </c>
      <c r="N61" s="533">
        <f>+SUM(N62:N66)</f>
        <v/>
      </c>
      <c r="O61" s="533">
        <f>SUM(M61:N61)</f>
        <v/>
      </c>
      <c r="Q61" s="533">
        <f>SUM(Q62:Q66)</f>
        <v/>
      </c>
      <c r="R61" s="533" t="n"/>
      <c r="S61" s="533">
        <f>SUM(S62:S66)</f>
        <v/>
      </c>
      <c r="T61" s="533" t="n">
        <v>2</v>
      </c>
      <c r="U61" s="533" t="n">
        <v>4</v>
      </c>
      <c r="W61" s="533" t="n"/>
      <c r="X61" s="533" t="n"/>
      <c r="Y61" s="533" t="n"/>
      <c r="Z61" s="533" t="n"/>
      <c r="AA61" s="533" t="n"/>
    </row>
    <row r="62" ht="21" customHeight="1">
      <c r="A62" s="164" t="n">
        <v>1</v>
      </c>
      <c r="B62" s="165" t="inlineStr">
        <is>
          <t>EXPAT'S</t>
        </is>
      </c>
      <c r="C62" s="166" t="inlineStr">
        <is>
          <t>B</t>
        </is>
      </c>
      <c r="D62" s="165" t="inlineStr">
        <is>
          <t>FLS SPECIALIST</t>
        </is>
      </c>
      <c r="E62" s="534" t="n">
        <v>0</v>
      </c>
      <c r="F62" s="534" t="inlineStr">
        <is>
          <t>-</t>
        </is>
      </c>
      <c r="G62" s="535" t="n"/>
      <c r="H62" s="534" t="n"/>
      <c r="I62" s="535">
        <f>SUM(E62:F62)</f>
        <v/>
      </c>
      <c r="K62" s="535" t="n">
        <v>0</v>
      </c>
      <c r="L62" s="535" t="inlineStr">
        <is>
          <t>-</t>
        </is>
      </c>
      <c r="M62" s="535" t="n">
        <v>0</v>
      </c>
      <c r="N62" s="535" t="n">
        <v>0</v>
      </c>
      <c r="O62" s="535" t="n">
        <v>0</v>
      </c>
      <c r="Q62" s="535" t="n">
        <v>1</v>
      </c>
      <c r="R62" s="535" t="n"/>
      <c r="S62" s="535" t="n">
        <v>1</v>
      </c>
      <c r="T62" s="535" t="n"/>
      <c r="U62" s="535" t="n">
        <v>1</v>
      </c>
      <c r="W62" s="535" t="n"/>
      <c r="X62" s="535" t="n"/>
      <c r="Y62" s="535" t="n"/>
      <c r="Z62" s="535" t="n"/>
      <c r="AA62" s="535" t="n"/>
    </row>
    <row r="63" ht="21" customHeight="1">
      <c r="A63" s="164" t="n">
        <v>2</v>
      </c>
      <c r="B63" s="165" t="inlineStr">
        <is>
          <t>EXPAT'S</t>
        </is>
      </c>
      <c r="C63" s="166" t="inlineStr">
        <is>
          <t>B</t>
        </is>
      </c>
      <c r="D63" s="165" t="inlineStr">
        <is>
          <t>FIRE PROTECTION ENGINEER</t>
        </is>
      </c>
      <c r="E63" s="534" t="n">
        <v>2</v>
      </c>
      <c r="F63" s="534" t="inlineStr">
        <is>
          <t>-</t>
        </is>
      </c>
      <c r="G63" s="535" t="n">
        <v>1</v>
      </c>
      <c r="H63" s="534" t="n"/>
      <c r="I63" s="535" t="n">
        <v>1</v>
      </c>
      <c r="K63" s="535" t="n">
        <v>2</v>
      </c>
      <c r="L63" s="535" t="inlineStr">
        <is>
          <t>-</t>
        </is>
      </c>
      <c r="M63" s="535" t="n">
        <v>0</v>
      </c>
      <c r="N63" s="535" t="n">
        <v>0</v>
      </c>
      <c r="O63" s="535" t="n">
        <v>2</v>
      </c>
      <c r="Q63" s="535" t="n">
        <v>0</v>
      </c>
      <c r="R63" s="535" t="n"/>
      <c r="S63" s="535" t="n">
        <v>0</v>
      </c>
      <c r="T63" s="535" t="n"/>
      <c r="U63" s="535" t="n">
        <v>0</v>
      </c>
      <c r="W63" s="535" t="n"/>
      <c r="X63" s="535" t="n"/>
      <c r="Y63" s="535" t="n"/>
      <c r="Z63" s="535" t="n"/>
      <c r="AA63" s="535" t="n"/>
    </row>
    <row r="64" ht="21" customHeight="1">
      <c r="A64" s="164" t="n">
        <v>3</v>
      </c>
      <c r="B64" s="165" t="inlineStr">
        <is>
          <t>EXPAT'S</t>
        </is>
      </c>
      <c r="C64" s="166" t="inlineStr">
        <is>
          <t>C</t>
        </is>
      </c>
      <c r="D64" s="165" t="inlineStr">
        <is>
          <t>SUPERVISOR FIRE ALARM</t>
        </is>
      </c>
      <c r="E64" s="534" t="n">
        <v>0</v>
      </c>
      <c r="F64" s="534" t="inlineStr">
        <is>
          <t>-</t>
        </is>
      </c>
      <c r="G64" s="535">
        <f>SUM(E64:F64)</f>
        <v/>
      </c>
      <c r="H64" s="534" t="n"/>
      <c r="I64" s="535">
        <f>SUM(E64:F64)</f>
        <v/>
      </c>
      <c r="K64" s="535" t="n">
        <v>0</v>
      </c>
      <c r="L64" s="535" t="inlineStr">
        <is>
          <t>-</t>
        </is>
      </c>
      <c r="M64" s="535" t="n">
        <v>0</v>
      </c>
      <c r="N64" s="535" t="n">
        <v>0</v>
      </c>
      <c r="O64" s="535" t="n">
        <v>0</v>
      </c>
      <c r="Q64" s="535" t="n"/>
      <c r="R64" s="535" t="n"/>
      <c r="S64" s="535" t="n"/>
      <c r="T64" s="535" t="n"/>
      <c r="U64" s="535" t="n"/>
      <c r="W64" s="535" t="n"/>
      <c r="X64" s="535" t="n"/>
      <c r="Y64" s="535" t="n"/>
      <c r="Z64" s="535" t="n"/>
      <c r="AA64" s="535" t="n"/>
    </row>
    <row r="65" ht="21" customHeight="1">
      <c r="A65" s="164" t="n">
        <v>4</v>
      </c>
      <c r="B65" s="165" t="inlineStr">
        <is>
          <t>EXPAT'S</t>
        </is>
      </c>
      <c r="C65" s="166" t="inlineStr">
        <is>
          <t>C</t>
        </is>
      </c>
      <c r="D65" s="165" t="inlineStr">
        <is>
          <t>FIRE FIGHTING TEAM LEADER</t>
        </is>
      </c>
      <c r="E65" s="534" t="n">
        <v>2</v>
      </c>
      <c r="F65" s="534" t="inlineStr">
        <is>
          <t>-</t>
        </is>
      </c>
      <c r="G65" s="535" t="n">
        <v>1</v>
      </c>
      <c r="H65" s="534" t="n"/>
      <c r="I65" s="535" t="n">
        <v>1</v>
      </c>
      <c r="K65" s="535" t="n">
        <v>2</v>
      </c>
      <c r="L65" s="535" t="inlineStr">
        <is>
          <t>-</t>
        </is>
      </c>
      <c r="M65" s="535" t="n">
        <v>1</v>
      </c>
      <c r="N65" s="535" t="n">
        <v>0</v>
      </c>
      <c r="O65" s="535" t="n">
        <v>1</v>
      </c>
      <c r="Q65" s="535" t="n"/>
      <c r="R65" s="535" t="n"/>
      <c r="S65" s="535" t="n"/>
      <c r="T65" s="535" t="n"/>
      <c r="U65" s="535" t="n"/>
      <c r="W65" s="535" t="n"/>
      <c r="X65" s="535" t="n"/>
      <c r="Y65" s="535" t="n"/>
      <c r="Z65" s="535" t="n"/>
      <c r="AA65" s="535" t="n"/>
    </row>
    <row r="66" ht="21" customHeight="1">
      <c r="A66" s="164" t="n">
        <v>5</v>
      </c>
      <c r="B66" s="165" t="inlineStr">
        <is>
          <t>EXPAT'S</t>
        </is>
      </c>
      <c r="C66" s="166" t="inlineStr">
        <is>
          <t>C</t>
        </is>
      </c>
      <c r="D66" s="165" t="inlineStr">
        <is>
          <t>FIRE ALARM TECH</t>
        </is>
      </c>
      <c r="E66" s="534" t="n">
        <v>6</v>
      </c>
      <c r="F66" s="534" t="inlineStr">
        <is>
          <t>-</t>
        </is>
      </c>
      <c r="G66" s="535" t="n">
        <v>4</v>
      </c>
      <c r="H66" s="534" t="n"/>
      <c r="I66" s="535" t="n">
        <v>4</v>
      </c>
      <c r="K66" s="535" t="n">
        <v>6</v>
      </c>
      <c r="L66" s="535" t="inlineStr">
        <is>
          <t>-</t>
        </is>
      </c>
      <c r="M66" s="535" t="n">
        <v>5</v>
      </c>
      <c r="N66" s="535" t="n">
        <v>1</v>
      </c>
      <c r="O66" s="535" t="n">
        <v>6</v>
      </c>
      <c r="Q66" s="535" t="n">
        <v>1</v>
      </c>
      <c r="R66" s="535" t="n"/>
      <c r="S66" s="535" t="n">
        <v>1</v>
      </c>
      <c r="T66" s="535" t="n">
        <v>2</v>
      </c>
      <c r="U66" s="535" t="n">
        <v>3</v>
      </c>
      <c r="W66" s="535" t="n"/>
      <c r="X66" s="535" t="n"/>
      <c r="Y66" s="535" t="n"/>
      <c r="Z66" s="535" t="n"/>
      <c r="AA66" s="535" t="n"/>
    </row>
    <row r="67" ht="18.75" customFormat="1" customHeight="1" s="163">
      <c r="A67" s="527" t="inlineStr">
        <is>
          <t>SECURITY SERVICES</t>
        </is>
      </c>
      <c r="B67" s="528" t="n"/>
      <c r="C67" s="529" t="n"/>
      <c r="D67" s="529" t="n"/>
      <c r="E67" s="530">
        <f>+SUM(E69:E73)</f>
        <v/>
      </c>
      <c r="F67" s="530">
        <f>+SUM(F69:F73)</f>
        <v/>
      </c>
      <c r="G67" s="531">
        <f>+SUM(G69:G73)</f>
        <v/>
      </c>
      <c r="H67" s="530">
        <f>SUM(H68:H73)</f>
        <v/>
      </c>
      <c r="I67" s="531">
        <f>SUM(I68:I73)</f>
        <v/>
      </c>
      <c r="K67" s="533" t="n">
        <v>0</v>
      </c>
      <c r="L67" s="533">
        <f>+SUM(L68:L73)</f>
        <v/>
      </c>
      <c r="M67" s="533">
        <f>+SUM(M68:M73)</f>
        <v/>
      </c>
      <c r="N67" s="533" t="n">
        <v>0</v>
      </c>
      <c r="O67" s="533">
        <f>SUM(M67:N67)</f>
        <v/>
      </c>
      <c r="Q67" s="533" t="n">
        <v>13</v>
      </c>
      <c r="R67" s="533" t="n">
        <v>13</v>
      </c>
      <c r="S67" s="533">
        <f>SUM(S69:S73)</f>
        <v/>
      </c>
      <c r="T67" s="533" t="n"/>
      <c r="U67" s="533" t="n">
        <v>12</v>
      </c>
      <c r="W67" s="533" t="n"/>
      <c r="X67" s="533" t="n"/>
      <c r="Y67" s="533" t="n"/>
      <c r="Z67" s="533" t="n"/>
      <c r="AA67" s="533" t="n"/>
    </row>
    <row r="68" ht="21" customHeight="1">
      <c r="A68" s="164" t="n">
        <v>1</v>
      </c>
      <c r="B68" s="165" t="inlineStr">
        <is>
          <t>SAUDI'S</t>
        </is>
      </c>
      <c r="C68" s="166" t="inlineStr">
        <is>
          <t>A</t>
        </is>
      </c>
      <c r="D68" s="165" t="inlineStr">
        <is>
          <t>SECURITY OPERATIONS MANAGER</t>
        </is>
      </c>
      <c r="E68" s="536" t="inlineStr">
        <is>
          <t>-</t>
        </is>
      </c>
      <c r="F68" s="536" t="n">
        <v>0</v>
      </c>
      <c r="G68" s="535" t="n"/>
      <c r="H68" s="534" t="n">
        <v>2</v>
      </c>
      <c r="I68" s="535" t="n">
        <v>2</v>
      </c>
      <c r="K68" s="537" t="inlineStr">
        <is>
          <t>-</t>
        </is>
      </c>
      <c r="L68" s="537" t="n">
        <v>0</v>
      </c>
      <c r="M68" s="535" t="n">
        <v>0</v>
      </c>
      <c r="N68" s="537" t="n">
        <v>0</v>
      </c>
      <c r="O68" s="535" t="n">
        <v>0</v>
      </c>
      <c r="Q68" s="537" t="n"/>
      <c r="R68" s="537" t="n"/>
      <c r="S68" s="535" t="n"/>
      <c r="T68" s="537" t="n"/>
      <c r="U68" s="535" t="n"/>
      <c r="W68" s="537" t="n"/>
      <c r="X68" s="537" t="n"/>
      <c r="Y68" s="537" t="n"/>
      <c r="Z68" s="537" t="n"/>
      <c r="AA68" s="535" t="n"/>
    </row>
    <row r="69" ht="21" customHeight="1">
      <c r="A69" s="164">
        <f>+A68+1</f>
        <v/>
      </c>
      <c r="B69" s="165" t="inlineStr">
        <is>
          <t>SAUDI'S</t>
        </is>
      </c>
      <c r="C69" s="166" t="inlineStr">
        <is>
          <t>A</t>
        </is>
      </c>
      <c r="D69" s="165" t="inlineStr">
        <is>
          <t>SECURITY MANAGER</t>
        </is>
      </c>
      <c r="E69" s="536" t="inlineStr">
        <is>
          <t>-</t>
        </is>
      </c>
      <c r="F69" s="536" t="n">
        <v>1</v>
      </c>
      <c r="G69" s="535" t="n">
        <v>0</v>
      </c>
      <c r="H69" s="536" t="n"/>
      <c r="I69" s="535" t="n">
        <v>0</v>
      </c>
      <c r="K69" s="537" t="inlineStr">
        <is>
          <t>-</t>
        </is>
      </c>
      <c r="L69" s="537" t="n">
        <v>1</v>
      </c>
      <c r="M69" s="535" t="n">
        <v>1</v>
      </c>
      <c r="N69" s="537" t="n">
        <v>0</v>
      </c>
      <c r="O69" s="535" t="n">
        <v>1</v>
      </c>
      <c r="Q69" s="537" t="n"/>
      <c r="R69" s="537" t="n"/>
      <c r="S69" s="535" t="n"/>
      <c r="T69" s="537" t="n"/>
      <c r="U69" s="535" t="n"/>
      <c r="W69" s="537" t="n"/>
      <c r="X69" s="537" t="n"/>
      <c r="Y69" s="537" t="n"/>
      <c r="Z69" s="537" t="n"/>
      <c r="AA69" s="535" t="n"/>
    </row>
    <row r="70" ht="21" customHeight="1">
      <c r="A70" s="164">
        <f>+A69+1</f>
        <v/>
      </c>
      <c r="B70" s="165" t="inlineStr">
        <is>
          <t>SAUDI'S</t>
        </is>
      </c>
      <c r="C70" s="166" t="inlineStr">
        <is>
          <t>A</t>
        </is>
      </c>
      <c r="D70" s="165" t="inlineStr">
        <is>
          <t>SECURITY SUPERVISOR</t>
        </is>
      </c>
      <c r="E70" s="536" t="inlineStr">
        <is>
          <t>-</t>
        </is>
      </c>
      <c r="F70" s="536" t="n">
        <v>8</v>
      </c>
      <c r="G70" s="535" t="n">
        <v>3</v>
      </c>
      <c r="H70" s="536" t="n"/>
      <c r="I70" s="535" t="n">
        <v>3</v>
      </c>
      <c r="K70" s="537" t="inlineStr">
        <is>
          <t>-</t>
        </is>
      </c>
      <c r="L70" s="537" t="n">
        <v>8</v>
      </c>
      <c r="M70" s="535" t="n">
        <v>2</v>
      </c>
      <c r="N70" s="537" t="n">
        <v>0</v>
      </c>
      <c r="O70" s="535" t="n">
        <v>2</v>
      </c>
      <c r="Q70" s="537" t="n">
        <v>1</v>
      </c>
      <c r="R70" s="537" t="n">
        <v>1</v>
      </c>
      <c r="S70" s="535" t="n">
        <v>1</v>
      </c>
      <c r="T70" s="537" t="n"/>
      <c r="U70" s="535" t="n">
        <v>1</v>
      </c>
      <c r="W70" s="537" t="n"/>
      <c r="X70" s="537" t="n"/>
      <c r="Y70" s="537" t="n"/>
      <c r="Z70" s="537" t="n"/>
      <c r="AA70" s="535" t="n"/>
    </row>
    <row r="71" ht="21" customHeight="1">
      <c r="A71" s="164">
        <f>+A70+1</f>
        <v/>
      </c>
      <c r="B71" s="165" t="inlineStr">
        <is>
          <t>SAUDI'S</t>
        </is>
      </c>
      <c r="C71" s="166" t="inlineStr">
        <is>
          <t>C</t>
        </is>
      </c>
      <c r="D71" s="165" t="inlineStr">
        <is>
          <t xml:space="preserve">SECURITY ADMIN </t>
        </is>
      </c>
      <c r="E71" s="534" t="inlineStr">
        <is>
          <t>-</t>
        </is>
      </c>
      <c r="F71" s="534" t="n">
        <v>8</v>
      </c>
      <c r="G71" s="535" t="n">
        <v>3</v>
      </c>
      <c r="H71" s="534" t="n"/>
      <c r="I71" s="535" t="n">
        <v>3</v>
      </c>
      <c r="K71" s="535" t="inlineStr">
        <is>
          <t>-</t>
        </is>
      </c>
      <c r="L71" s="535" t="n">
        <v>8</v>
      </c>
      <c r="M71" s="535" t="n">
        <v>2</v>
      </c>
      <c r="N71" s="537" t="n">
        <v>0</v>
      </c>
      <c r="O71" s="535" t="n">
        <v>2</v>
      </c>
      <c r="Q71" s="535" t="n"/>
      <c r="R71" s="535" t="n"/>
      <c r="S71" s="535" t="n"/>
      <c r="T71" s="535" t="n"/>
      <c r="U71" s="535" t="n"/>
      <c r="W71" s="535" t="n"/>
      <c r="X71" s="535" t="n"/>
      <c r="Y71" s="535" t="n"/>
      <c r="Z71" s="535" t="n"/>
      <c r="AA71" s="535" t="n"/>
    </row>
    <row r="72" ht="21" customHeight="1">
      <c r="A72" s="164">
        <f>+A71+1</f>
        <v/>
      </c>
      <c r="B72" s="165" t="inlineStr">
        <is>
          <t>SAUDI'S</t>
        </is>
      </c>
      <c r="C72" s="166" t="inlineStr">
        <is>
          <t>C</t>
        </is>
      </c>
      <c r="D72" s="165" t="inlineStr">
        <is>
          <t>MANNED SECURITY WATCHMAN/GUARDS</t>
        </is>
      </c>
      <c r="E72" s="534" t="inlineStr">
        <is>
          <t>-</t>
        </is>
      </c>
      <c r="F72" s="534" t="n">
        <v>60</v>
      </c>
      <c r="G72" s="535" t="n">
        <v>35</v>
      </c>
      <c r="H72" s="534" t="n"/>
      <c r="I72" s="535" t="n">
        <v>35</v>
      </c>
      <c r="K72" s="535" t="inlineStr">
        <is>
          <t>-</t>
        </is>
      </c>
      <c r="L72" s="535" t="n">
        <v>60</v>
      </c>
      <c r="M72" s="535" t="n">
        <v>33</v>
      </c>
      <c r="N72" s="537" t="n">
        <v>0</v>
      </c>
      <c r="O72" s="535" t="n">
        <v>33</v>
      </c>
      <c r="Q72" s="535" t="n">
        <v>12</v>
      </c>
      <c r="R72" s="535" t="n">
        <v>12</v>
      </c>
      <c r="S72" s="535" t="n">
        <v>10</v>
      </c>
      <c r="T72" s="535" t="n"/>
      <c r="U72" s="535" t="n">
        <v>10</v>
      </c>
      <c r="W72" s="535" t="n"/>
      <c r="X72" s="535" t="n"/>
      <c r="Y72" s="535" t="n"/>
      <c r="Z72" s="535" t="n"/>
      <c r="AA72" s="535" t="n"/>
    </row>
    <row r="73" ht="21" customHeight="1">
      <c r="A73" s="164">
        <f>+A72+1</f>
        <v/>
      </c>
      <c r="B73" s="165" t="inlineStr">
        <is>
          <t>SAUDI'S</t>
        </is>
      </c>
      <c r="C73" s="166" t="inlineStr">
        <is>
          <t>D</t>
        </is>
      </c>
      <c r="D73" s="165" t="inlineStr">
        <is>
          <t>MANNED SECURITY PATROLS</t>
        </is>
      </c>
      <c r="E73" s="534" t="inlineStr">
        <is>
          <t>-</t>
        </is>
      </c>
      <c r="F73" s="534" t="n">
        <v>8</v>
      </c>
      <c r="G73" s="535" t="n">
        <v>0</v>
      </c>
      <c r="H73" s="534" t="n"/>
      <c r="I73" s="535" t="n">
        <v>0</v>
      </c>
      <c r="K73" s="535" t="inlineStr">
        <is>
          <t>-</t>
        </is>
      </c>
      <c r="L73" s="535" t="n">
        <v>8</v>
      </c>
      <c r="M73" s="535" t="n">
        <v>0</v>
      </c>
      <c r="N73" s="537" t="n">
        <v>0</v>
      </c>
      <c r="O73" s="535" t="n">
        <v>0</v>
      </c>
      <c r="Q73" s="535" t="n"/>
      <c r="R73" s="535" t="n"/>
      <c r="S73" s="535" t="n"/>
      <c r="T73" s="535" t="n"/>
      <c r="U73" s="535" t="n"/>
      <c r="W73" s="535" t="n"/>
      <c r="X73" s="535" t="n"/>
      <c r="Y73" s="535" t="n"/>
      <c r="Z73" s="535" t="n"/>
      <c r="AA73" s="535" t="n"/>
    </row>
    <row r="74" ht="18.75" customFormat="1" customHeight="1" s="163">
      <c r="A74" s="527" t="inlineStr">
        <is>
          <t xml:space="preserve">RECREATION SERVICES  </t>
        </is>
      </c>
      <c r="B74" s="528" t="n"/>
      <c r="C74" s="529" t="n"/>
      <c r="D74" s="529" t="n"/>
      <c r="E74" s="530">
        <f>+SUM(E75:E77)</f>
        <v/>
      </c>
      <c r="F74" s="530">
        <f>+SUM(F75:F77)</f>
        <v/>
      </c>
      <c r="G74" s="531">
        <f>+SUM(G75:G77)</f>
        <v/>
      </c>
      <c r="H74" s="530">
        <f>SUM(H75:H77)</f>
        <v/>
      </c>
      <c r="I74" s="531">
        <f>+SUM(I75:I77)</f>
        <v/>
      </c>
      <c r="K74" s="533" t="n">
        <v>2</v>
      </c>
      <c r="L74" s="533" t="n">
        <v>0</v>
      </c>
      <c r="M74" s="533">
        <f>+SUM(M75:M77)</f>
        <v/>
      </c>
      <c r="N74" s="533">
        <f>+SUM(N75:N77)</f>
        <v/>
      </c>
      <c r="O74" s="533">
        <f>SUM(M74:N74)</f>
        <v/>
      </c>
      <c r="Q74" s="533" t="n">
        <v>1</v>
      </c>
      <c r="R74" s="533" t="n"/>
      <c r="S74" s="533">
        <f>SUM(S75:S77)</f>
        <v/>
      </c>
      <c r="T74" s="533" t="n"/>
      <c r="U74" s="533" t="n">
        <v>1</v>
      </c>
      <c r="W74" s="533" t="n"/>
      <c r="X74" s="533" t="n"/>
      <c r="Y74" s="533" t="n"/>
      <c r="Z74" s="533" t="n"/>
      <c r="AA74" s="533" t="n"/>
    </row>
    <row r="75" ht="21" customHeight="1">
      <c r="A75" s="164" t="n">
        <v>1</v>
      </c>
      <c r="B75" s="165" t="inlineStr">
        <is>
          <t>EXPAT'S</t>
        </is>
      </c>
      <c r="C75" s="166" t="inlineStr">
        <is>
          <t>B</t>
        </is>
      </c>
      <c r="D75" s="165" t="inlineStr">
        <is>
          <t xml:space="preserve">RECREATION INCHARGE </t>
        </is>
      </c>
      <c r="E75" s="536" t="n">
        <v>1</v>
      </c>
      <c r="F75" s="536" t="inlineStr">
        <is>
          <t>-</t>
        </is>
      </c>
      <c r="G75" s="535">
        <f>SUM(E75:F75)</f>
        <v/>
      </c>
      <c r="H75" s="536" t="n"/>
      <c r="I75" s="535">
        <f>SUM(E75:F75)</f>
        <v/>
      </c>
      <c r="K75" s="537" t="n">
        <v>1</v>
      </c>
      <c r="L75" s="537" t="inlineStr">
        <is>
          <t>-</t>
        </is>
      </c>
      <c r="M75" s="535" t="n">
        <v>1</v>
      </c>
      <c r="N75" s="537" t="n">
        <v>0</v>
      </c>
      <c r="O75" s="535" t="n">
        <v>1</v>
      </c>
      <c r="Q75" s="537" t="n"/>
      <c r="R75" s="537" t="n"/>
      <c r="S75" s="537" t="n"/>
      <c r="T75" s="537" t="n"/>
      <c r="U75" s="535" t="n"/>
      <c r="W75" s="537" t="n"/>
      <c r="X75" s="537" t="n"/>
      <c r="Y75" s="537" t="n"/>
      <c r="Z75" s="537" t="n"/>
      <c r="AA75" s="535" t="n"/>
    </row>
    <row r="76" ht="21" customHeight="1">
      <c r="A76" s="164" t="n">
        <v>2</v>
      </c>
      <c r="B76" s="165" t="inlineStr">
        <is>
          <t>EXPAT'S</t>
        </is>
      </c>
      <c r="C76" s="166" t="inlineStr">
        <is>
          <t>C</t>
        </is>
      </c>
      <c r="D76" s="165" t="inlineStr">
        <is>
          <t xml:space="preserve">RECREATION COORDINATOR </t>
        </is>
      </c>
      <c r="E76" s="536" t="n">
        <v>1</v>
      </c>
      <c r="F76" s="536" t="inlineStr">
        <is>
          <t>-</t>
        </is>
      </c>
      <c r="G76" s="535">
        <f>SUM(E76:F76)</f>
        <v/>
      </c>
      <c r="H76" s="536" t="n"/>
      <c r="I76" s="535">
        <f>SUM(E76:F76)</f>
        <v/>
      </c>
      <c r="K76" s="537" t="n">
        <v>1</v>
      </c>
      <c r="L76" s="537" t="inlineStr">
        <is>
          <t>-</t>
        </is>
      </c>
      <c r="M76" s="535" t="n">
        <v>1</v>
      </c>
      <c r="N76" s="537" t="n">
        <v>0</v>
      </c>
      <c r="O76" s="535" t="n">
        <v>1</v>
      </c>
      <c r="Q76" s="537" t="n"/>
      <c r="R76" s="537" t="n"/>
      <c r="S76" s="537" t="n"/>
      <c r="T76" s="537" t="n"/>
      <c r="U76" s="535" t="n"/>
      <c r="W76" s="537" t="n"/>
      <c r="X76" s="537" t="n"/>
      <c r="Y76" s="537" t="n"/>
      <c r="Z76" s="537" t="n"/>
      <c r="AA76" s="535" t="n"/>
    </row>
    <row r="77" ht="21" customHeight="1">
      <c r="A77" s="164" t="n">
        <v>3</v>
      </c>
      <c r="B77" s="165" t="inlineStr">
        <is>
          <t>EXPAT'S</t>
        </is>
      </c>
      <c r="C77" s="166" t="inlineStr">
        <is>
          <t>C</t>
        </is>
      </c>
      <c r="D77" s="165" t="inlineStr">
        <is>
          <t>SWIMMING POOL TECHNICIAN</t>
        </is>
      </c>
      <c r="E77" s="536" t="n">
        <v>0</v>
      </c>
      <c r="F77" s="536" t="inlineStr">
        <is>
          <t>-</t>
        </is>
      </c>
      <c r="G77" s="535" t="n"/>
      <c r="H77" s="534" t="n">
        <v>7</v>
      </c>
      <c r="I77" s="535" t="n">
        <v>7</v>
      </c>
      <c r="K77" s="537" t="n">
        <v>0</v>
      </c>
      <c r="L77" s="537" t="inlineStr">
        <is>
          <t>-</t>
        </is>
      </c>
      <c r="M77" s="535" t="n">
        <v>0</v>
      </c>
      <c r="N77" s="537" t="n">
        <v>2</v>
      </c>
      <c r="O77" s="535" t="n">
        <v>2</v>
      </c>
      <c r="Q77" s="537" t="n">
        <v>1</v>
      </c>
      <c r="R77" s="537" t="n"/>
      <c r="S77" s="535" t="n">
        <v>1</v>
      </c>
      <c r="T77" s="537" t="n"/>
      <c r="U77" s="535" t="n">
        <v>1</v>
      </c>
      <c r="W77" s="537" t="n"/>
      <c r="X77" s="537" t="n"/>
      <c r="Y77" s="537" t="n"/>
      <c r="Z77" s="537" t="n"/>
      <c r="AA77" s="535" t="n"/>
    </row>
    <row r="78" ht="30.75" customFormat="1" customHeight="1" s="163">
      <c r="A78" s="527" t="inlineStr">
        <is>
          <t>CAMP MANAGEMENT</t>
        </is>
      </c>
      <c r="B78" s="528" t="n"/>
      <c r="C78" s="529" t="n"/>
      <c r="D78" s="529" t="n"/>
      <c r="E78" s="530">
        <f>+SUM(E80:E99)</f>
        <v/>
      </c>
      <c r="F78" s="530">
        <f>+SUM(F80:F99)</f>
        <v/>
      </c>
      <c r="G78" s="531">
        <f>+SUM(G80:G99)</f>
        <v/>
      </c>
      <c r="H78" s="530">
        <f>SUM(H79:H99)</f>
        <v/>
      </c>
      <c r="I78" s="531">
        <f>SUM(I79:I99)</f>
        <v/>
      </c>
      <c r="K78" s="533" t="n">
        <v>25</v>
      </c>
      <c r="L78" s="533" t="n">
        <v>1</v>
      </c>
      <c r="M78" s="533">
        <f>+SUM(M79:M99)</f>
        <v/>
      </c>
      <c r="N78" s="533">
        <f>+SUM(N79:N99)</f>
        <v/>
      </c>
      <c r="O78" s="533">
        <f>SUM(M78:N78)</f>
        <v/>
      </c>
      <c r="Q78" s="533" t="n">
        <v>7</v>
      </c>
      <c r="R78" s="533" t="n">
        <v>0</v>
      </c>
      <c r="S78" s="533">
        <f>SUM(S81:S99)</f>
        <v/>
      </c>
      <c r="T78" s="533" t="n">
        <v>2</v>
      </c>
      <c r="U78" s="533" t="n">
        <v>7</v>
      </c>
      <c r="W78" s="533" t="n">
        <v>3</v>
      </c>
      <c r="X78" s="533" t="n"/>
      <c r="Y78" s="533" t="n">
        <v>2</v>
      </c>
      <c r="Z78" s="533" t="n"/>
      <c r="AA78" s="533" t="n">
        <v>3</v>
      </c>
    </row>
    <row r="79" ht="21" customHeight="1">
      <c r="A79" s="164" t="n">
        <v>1</v>
      </c>
      <c r="B79" s="165" t="inlineStr">
        <is>
          <t>S.EXPATS</t>
        </is>
      </c>
      <c r="C79" s="166" t="inlineStr">
        <is>
          <t>A</t>
        </is>
      </c>
      <c r="D79" s="167" t="inlineStr">
        <is>
          <t>ON SITE OPERATIONS MANAGER</t>
        </is>
      </c>
      <c r="E79" s="534" t="n"/>
      <c r="F79" s="534" t="inlineStr">
        <is>
          <t>-</t>
        </is>
      </c>
      <c r="G79" s="535" t="n"/>
      <c r="H79" s="534" t="n">
        <v>1</v>
      </c>
      <c r="I79" s="535" t="n">
        <v>1</v>
      </c>
      <c r="K79" s="535" t="n">
        <v>0</v>
      </c>
      <c r="L79" s="535" t="inlineStr">
        <is>
          <t>-</t>
        </is>
      </c>
      <c r="M79" s="535" t="n">
        <v>0</v>
      </c>
      <c r="N79" s="535" t="n">
        <v>0</v>
      </c>
      <c r="O79" s="535" t="n">
        <v>0</v>
      </c>
      <c r="Q79" s="535" t="n"/>
      <c r="R79" s="535" t="n"/>
      <c r="S79" s="535" t="n"/>
      <c r="T79" s="535" t="n"/>
      <c r="U79" s="535" t="n"/>
      <c r="W79" s="535" t="n"/>
      <c r="X79" s="535" t="n"/>
      <c r="Y79" s="535" t="n"/>
      <c r="Z79" s="535" t="n"/>
      <c r="AA79" s="535" t="n"/>
    </row>
    <row r="80" ht="21" customHeight="1">
      <c r="A80" s="164" t="n">
        <v>2</v>
      </c>
      <c r="B80" s="165" t="inlineStr">
        <is>
          <t>S.EXPATS</t>
        </is>
      </c>
      <c r="C80" s="166" t="inlineStr">
        <is>
          <t>A</t>
        </is>
      </c>
      <c r="D80" s="167" t="inlineStr">
        <is>
          <t>FACILITY MANAGER</t>
        </is>
      </c>
      <c r="E80" s="534" t="n">
        <v>1</v>
      </c>
      <c r="F80" s="534" t="inlineStr">
        <is>
          <t>-</t>
        </is>
      </c>
      <c r="G80" s="535" t="n">
        <v>0</v>
      </c>
      <c r="H80" s="534" t="n"/>
      <c r="I80" s="535" t="n">
        <v>0</v>
      </c>
      <c r="K80" s="535" t="n">
        <v>1</v>
      </c>
      <c r="L80" s="535" t="inlineStr">
        <is>
          <t>-</t>
        </is>
      </c>
      <c r="M80" s="535" t="n">
        <v>1</v>
      </c>
      <c r="N80" s="535" t="n">
        <v>0</v>
      </c>
      <c r="O80" s="535" t="n">
        <v>1</v>
      </c>
      <c r="Q80" s="535" t="n">
        <v>1</v>
      </c>
      <c r="R80" s="535" t="n"/>
      <c r="S80" s="535" t="n">
        <v>0</v>
      </c>
      <c r="T80" s="535" t="n">
        <v>0</v>
      </c>
      <c r="U80" s="535" t="n">
        <v>0</v>
      </c>
      <c r="W80" s="535" t="n">
        <v>1</v>
      </c>
      <c r="X80" s="535" t="n"/>
      <c r="Y80" s="535" t="n">
        <v>1</v>
      </c>
      <c r="Z80" s="535" t="n"/>
      <c r="AA80" s="535" t="n">
        <v>1</v>
      </c>
    </row>
    <row r="81" ht="21" customHeight="1">
      <c r="A81" s="164" t="n">
        <v>3</v>
      </c>
      <c r="B81" s="165" t="inlineStr">
        <is>
          <t>S.EXPATS</t>
        </is>
      </c>
      <c r="C81" s="166" t="inlineStr">
        <is>
          <t>A</t>
        </is>
      </c>
      <c r="D81" s="167" t="inlineStr">
        <is>
          <t>HARD SERVICES MANAGERS</t>
        </is>
      </c>
      <c r="E81" s="534" t="n">
        <v>1</v>
      </c>
      <c r="F81" s="534" t="inlineStr">
        <is>
          <t>-</t>
        </is>
      </c>
      <c r="G81" s="535">
        <f>SUM(E81:F81)</f>
        <v/>
      </c>
      <c r="H81" s="534" t="n"/>
      <c r="I81" s="535">
        <f>SUM(E81:F81)</f>
        <v/>
      </c>
      <c r="K81" s="535" t="n">
        <v>1</v>
      </c>
      <c r="L81" s="535" t="inlineStr">
        <is>
          <t>-</t>
        </is>
      </c>
      <c r="M81" s="535" t="n">
        <v>1</v>
      </c>
      <c r="N81" s="535" t="n">
        <v>0</v>
      </c>
      <c r="O81" s="535" t="n">
        <v>1</v>
      </c>
      <c r="Q81" s="535" t="n">
        <v>1</v>
      </c>
      <c r="R81" s="535" t="n"/>
      <c r="S81" s="535" t="n">
        <v>1</v>
      </c>
      <c r="T81" s="535" t="n">
        <v>1</v>
      </c>
      <c r="U81" s="535" t="n">
        <v>2</v>
      </c>
      <c r="W81" s="535" t="n"/>
      <c r="X81" s="535" t="n"/>
      <c r="Y81" s="535" t="n"/>
      <c r="Z81" s="535" t="n"/>
      <c r="AA81" s="535" t="n"/>
    </row>
    <row r="82" ht="21" customHeight="1">
      <c r="A82" s="164" t="n">
        <v>4</v>
      </c>
      <c r="B82" s="165" t="inlineStr">
        <is>
          <t>EXPAT'S</t>
        </is>
      </c>
      <c r="C82" s="166" t="inlineStr">
        <is>
          <t>A</t>
        </is>
      </c>
      <c r="D82" s="167" t="inlineStr">
        <is>
          <t>SOFT SERVICES MANAGERS</t>
        </is>
      </c>
      <c r="E82" s="534" t="n">
        <v>1</v>
      </c>
      <c r="F82" s="534" t="inlineStr">
        <is>
          <t>-</t>
        </is>
      </c>
      <c r="G82" s="535">
        <f>SUM(E82:F82)</f>
        <v/>
      </c>
      <c r="H82" s="534" t="n"/>
      <c r="I82" s="535">
        <f>SUM(E82:F82)</f>
        <v/>
      </c>
      <c r="K82" s="535" t="n">
        <v>1</v>
      </c>
      <c r="L82" s="535" t="inlineStr">
        <is>
          <t>-</t>
        </is>
      </c>
      <c r="M82" s="535" t="n">
        <v>1</v>
      </c>
      <c r="N82" s="535" t="n">
        <v>1</v>
      </c>
      <c r="O82" s="535" t="n">
        <v>2</v>
      </c>
      <c r="Q82" s="535" t="n">
        <v>1</v>
      </c>
      <c r="R82" s="535" t="n"/>
      <c r="S82" s="535" t="n">
        <v>1</v>
      </c>
      <c r="T82" s="535" t="n"/>
      <c r="U82" s="535" t="n">
        <v>1</v>
      </c>
      <c r="W82" s="535" t="n"/>
      <c r="X82" s="535" t="n"/>
      <c r="Y82" s="535" t="n"/>
      <c r="Z82" s="535" t="n"/>
      <c r="AA82" s="535" t="n"/>
    </row>
    <row r="83" ht="21" customHeight="1">
      <c r="A83" s="164" t="n">
        <v>5</v>
      </c>
      <c r="B83" s="165" t="inlineStr">
        <is>
          <t>S.EXPATS</t>
        </is>
      </c>
      <c r="C83" s="166" t="inlineStr">
        <is>
          <t>A</t>
        </is>
      </c>
      <c r="D83" s="167" t="inlineStr">
        <is>
          <t xml:space="preserve">OFFICE MANAGER/HR MANAGER </t>
        </is>
      </c>
      <c r="E83" s="534" t="n">
        <v>1</v>
      </c>
      <c r="F83" s="534" t="inlineStr">
        <is>
          <t>-</t>
        </is>
      </c>
      <c r="G83" s="535">
        <f>SUM(E83:F83)</f>
        <v/>
      </c>
      <c r="H83" s="534" t="n"/>
      <c r="I83" s="535">
        <f>SUM(E83:F83)</f>
        <v/>
      </c>
      <c r="K83" s="535" t="n">
        <v>1</v>
      </c>
      <c r="L83" s="535" t="inlineStr">
        <is>
          <t>-</t>
        </is>
      </c>
      <c r="M83" s="535" t="n">
        <v>0</v>
      </c>
      <c r="N83" s="535" t="n">
        <v>0</v>
      </c>
      <c r="O83" s="535" t="n">
        <v>0</v>
      </c>
      <c r="Q83" s="535" t="n"/>
      <c r="R83" s="535" t="n"/>
      <c r="S83" s="535" t="n"/>
      <c r="T83" s="535" t="n"/>
      <c r="U83" s="535" t="n"/>
      <c r="W83" s="535" t="n"/>
      <c r="X83" s="535" t="n"/>
      <c r="Y83" s="535" t="n"/>
      <c r="Z83" s="535" t="n"/>
      <c r="AA83" s="535" t="n"/>
    </row>
    <row r="84" ht="21" customHeight="1">
      <c r="A84" s="164" t="n">
        <v>6</v>
      </c>
      <c r="B84" s="165" t="inlineStr">
        <is>
          <t>EXPAT'S</t>
        </is>
      </c>
      <c r="C84" s="166" t="inlineStr">
        <is>
          <t>C</t>
        </is>
      </c>
      <c r="D84" s="167" t="inlineStr">
        <is>
          <t>HARD SERVICE COORDINATORS</t>
        </is>
      </c>
      <c r="E84" s="534" t="n">
        <v>1</v>
      </c>
      <c r="F84" s="534" t="inlineStr">
        <is>
          <t>-</t>
        </is>
      </c>
      <c r="G84" s="535">
        <f>SUM(E84:F84)</f>
        <v/>
      </c>
      <c r="H84" s="534" t="n"/>
      <c r="I84" s="535">
        <f>SUM(E84:F84)</f>
        <v/>
      </c>
      <c r="K84" s="535" t="n">
        <v>1</v>
      </c>
      <c r="L84" s="535" t="inlineStr">
        <is>
          <t>-</t>
        </is>
      </c>
      <c r="M84" s="535" t="n">
        <v>0</v>
      </c>
      <c r="N84" s="535" t="n">
        <v>0</v>
      </c>
      <c r="O84" s="535" t="n">
        <v>0</v>
      </c>
      <c r="Q84" s="535" t="n"/>
      <c r="R84" s="535" t="n"/>
      <c r="S84" s="535" t="n"/>
      <c r="T84" s="535" t="n"/>
      <c r="U84" s="535" t="n"/>
      <c r="W84" s="535" t="n"/>
      <c r="X84" s="535" t="n"/>
      <c r="Y84" s="535" t="n"/>
      <c r="Z84" s="535" t="n"/>
      <c r="AA84" s="535" t="n"/>
    </row>
    <row r="85" ht="21" customHeight="1">
      <c r="A85" s="164" t="n">
        <v>7</v>
      </c>
      <c r="B85" s="165" t="inlineStr">
        <is>
          <t>EXPAT'S</t>
        </is>
      </c>
      <c r="C85" s="166" t="inlineStr">
        <is>
          <t>D</t>
        </is>
      </c>
      <c r="D85" s="167" t="inlineStr">
        <is>
          <t>SOFT SERVICE COORDINATORS</t>
        </is>
      </c>
      <c r="E85" s="534" t="n">
        <v>1</v>
      </c>
      <c r="F85" s="534" t="inlineStr">
        <is>
          <t>-</t>
        </is>
      </c>
      <c r="G85" s="535">
        <f>SUM(E85:F85)</f>
        <v/>
      </c>
      <c r="H85" s="534" t="n"/>
      <c r="I85" s="535">
        <f>SUM(E85:F85)</f>
        <v/>
      </c>
      <c r="K85" s="535" t="n">
        <v>1</v>
      </c>
      <c r="L85" s="535" t="inlineStr">
        <is>
          <t>-</t>
        </is>
      </c>
      <c r="M85" s="535" t="n">
        <v>1</v>
      </c>
      <c r="N85" s="535" t="n">
        <v>0</v>
      </c>
      <c r="O85" s="535" t="n">
        <v>1</v>
      </c>
      <c r="Q85" s="535" t="n"/>
      <c r="R85" s="535" t="n"/>
      <c r="S85" s="535" t="n"/>
      <c r="T85" s="535" t="n"/>
      <c r="U85" s="535" t="n"/>
      <c r="W85" s="535" t="n"/>
      <c r="X85" s="535" t="n"/>
      <c r="Y85" s="535" t="n"/>
      <c r="Z85" s="535" t="n"/>
      <c r="AA85" s="535" t="n"/>
    </row>
    <row r="86" ht="21" customHeight="1">
      <c r="A86" s="164" t="n">
        <v>8</v>
      </c>
      <c r="B86" s="165" t="inlineStr">
        <is>
          <t>EXPAT'S</t>
        </is>
      </c>
      <c r="C86" s="166" t="inlineStr">
        <is>
          <t>A</t>
        </is>
      </c>
      <c r="D86" s="167" t="inlineStr">
        <is>
          <t>ADMINISTRATORS</t>
        </is>
      </c>
      <c r="E86" s="534" t="n">
        <v>2</v>
      </c>
      <c r="F86" s="534" t="inlineStr">
        <is>
          <t>-</t>
        </is>
      </c>
      <c r="G86" s="535">
        <f>SUM(E86:F86)</f>
        <v/>
      </c>
      <c r="H86" s="534" t="n">
        <v>2</v>
      </c>
      <c r="I86" s="535" t="n">
        <v>4</v>
      </c>
      <c r="K86" s="535" t="n">
        <v>2</v>
      </c>
      <c r="L86" s="535" t="inlineStr">
        <is>
          <t>-</t>
        </is>
      </c>
      <c r="M86" s="535" t="n">
        <v>2</v>
      </c>
      <c r="N86" s="535" t="n">
        <v>0</v>
      </c>
      <c r="O86" s="535" t="n">
        <v>2</v>
      </c>
      <c r="Q86" s="535" t="n"/>
      <c r="R86" s="535" t="n"/>
      <c r="S86" s="535" t="n"/>
      <c r="T86" s="535" t="n"/>
      <c r="U86" s="535" t="n"/>
      <c r="W86" s="535" t="n">
        <v>1</v>
      </c>
      <c r="X86" s="535" t="n"/>
      <c r="Y86" s="535" t="n">
        <v>1</v>
      </c>
      <c r="Z86" s="535" t="n"/>
      <c r="AA86" s="535" t="n">
        <v>1</v>
      </c>
    </row>
    <row r="87" ht="21" customHeight="1">
      <c r="A87" s="164" t="n">
        <v>9</v>
      </c>
      <c r="B87" s="165" t="inlineStr">
        <is>
          <t>SAUDI'S</t>
        </is>
      </c>
      <c r="C87" s="166" t="inlineStr">
        <is>
          <t>A</t>
        </is>
      </c>
      <c r="D87" s="167" t="inlineStr">
        <is>
          <t xml:space="preserve">IMAM FOR MOSQUE </t>
        </is>
      </c>
      <c r="E87" s="534" t="n">
        <v>1</v>
      </c>
      <c r="F87" s="534" t="n">
        <v>1</v>
      </c>
      <c r="G87" s="535">
        <f>SUM(E87:F87)</f>
        <v/>
      </c>
      <c r="H87" s="534" t="n"/>
      <c r="I87" s="535">
        <f>SUM(E87:F87)</f>
        <v/>
      </c>
      <c r="K87" s="535" t="n">
        <v>1</v>
      </c>
      <c r="L87" s="535" t="n">
        <v>1</v>
      </c>
      <c r="M87" s="535" t="n">
        <v>2</v>
      </c>
      <c r="N87" s="535" t="n">
        <v>0</v>
      </c>
      <c r="O87" s="535" t="n">
        <v>2</v>
      </c>
      <c r="Q87" s="535" t="n"/>
      <c r="R87" s="535" t="n"/>
      <c r="S87" s="535" t="n"/>
      <c r="T87" s="535" t="n"/>
      <c r="U87" s="535" t="n"/>
      <c r="W87" s="535" t="n"/>
      <c r="X87" s="535" t="n"/>
      <c r="Y87" s="535" t="n"/>
      <c r="Z87" s="535" t="n"/>
      <c r="AA87" s="535" t="n"/>
    </row>
    <row r="88" ht="21" customHeight="1">
      <c r="A88" s="164" t="n">
        <v>10</v>
      </c>
      <c r="B88" s="165" t="inlineStr">
        <is>
          <t>EXPAT'S</t>
        </is>
      </c>
      <c r="C88" s="166" t="inlineStr">
        <is>
          <t>C</t>
        </is>
      </c>
      <c r="D88" s="167" t="inlineStr">
        <is>
          <t>WARE HOUSE INCHARGE</t>
        </is>
      </c>
      <c r="E88" s="534" t="n">
        <v>1</v>
      </c>
      <c r="F88" s="534" t="inlineStr">
        <is>
          <t>-</t>
        </is>
      </c>
      <c r="G88" s="535">
        <f>SUM(E88:F88)</f>
        <v/>
      </c>
      <c r="H88" s="534" t="n"/>
      <c r="I88" s="535">
        <f>SUM(E88:F88)</f>
        <v/>
      </c>
      <c r="K88" s="535" t="n">
        <v>1</v>
      </c>
      <c r="L88" s="535" t="inlineStr">
        <is>
          <t>-</t>
        </is>
      </c>
      <c r="M88" s="535" t="n">
        <v>1</v>
      </c>
      <c r="N88" s="535" t="n">
        <v>0</v>
      </c>
      <c r="O88" s="535" t="n">
        <v>1</v>
      </c>
      <c r="Q88" s="535" t="n">
        <v>1</v>
      </c>
      <c r="R88" s="535" t="n">
        <v>0</v>
      </c>
      <c r="S88" s="535" t="n">
        <v>1</v>
      </c>
      <c r="T88" s="535" t="n">
        <v>0</v>
      </c>
      <c r="U88" s="535" t="n">
        <v>1</v>
      </c>
      <c r="W88" s="535" t="n"/>
      <c r="X88" s="535" t="n"/>
      <c r="Y88" s="535" t="n"/>
      <c r="Z88" s="535" t="n"/>
      <c r="AA88" s="535" t="n"/>
    </row>
    <row r="89" ht="21" customHeight="1">
      <c r="A89" s="164" t="n">
        <v>11</v>
      </c>
      <c r="B89" s="165" t="inlineStr">
        <is>
          <t>EXPAT'S</t>
        </is>
      </c>
      <c r="C89" s="166" t="inlineStr">
        <is>
          <t>C</t>
        </is>
      </c>
      <c r="D89" s="167" t="inlineStr">
        <is>
          <t>CAFM/HELP DESK OPERATOR</t>
        </is>
      </c>
      <c r="E89" s="534" t="n">
        <v>3</v>
      </c>
      <c r="F89" s="534" t="inlineStr">
        <is>
          <t>-</t>
        </is>
      </c>
      <c r="G89" s="535" t="n">
        <v>3</v>
      </c>
      <c r="H89" s="534" t="n">
        <v>4</v>
      </c>
      <c r="I89" s="535" t="n">
        <v>7</v>
      </c>
      <c r="K89" s="535" t="n">
        <v>3</v>
      </c>
      <c r="L89" s="535" t="inlineStr">
        <is>
          <t>-</t>
        </is>
      </c>
      <c r="M89" s="535" t="n">
        <v>3</v>
      </c>
      <c r="N89" s="535" t="n">
        <v>1</v>
      </c>
      <c r="O89" s="535" t="n">
        <v>4</v>
      </c>
      <c r="Q89" s="535" t="n">
        <v>1</v>
      </c>
      <c r="R89" s="535" t="n">
        <v>0</v>
      </c>
      <c r="S89" s="535" t="n">
        <v>1</v>
      </c>
      <c r="T89" s="535" t="n">
        <v>0</v>
      </c>
      <c r="U89" s="535" t="n">
        <v>1</v>
      </c>
      <c r="W89" s="535" t="n"/>
      <c r="X89" s="535" t="n"/>
      <c r="Y89" s="535" t="n"/>
      <c r="Z89" s="535" t="n"/>
      <c r="AA89" s="535" t="n"/>
    </row>
    <row r="90" ht="21" customHeight="1">
      <c r="A90" s="164" t="n">
        <v>12</v>
      </c>
      <c r="B90" s="165" t="inlineStr">
        <is>
          <t>EXPAT'S</t>
        </is>
      </c>
      <c r="C90" s="166" t="inlineStr">
        <is>
          <t>B</t>
        </is>
      </c>
      <c r="D90" s="167" t="inlineStr">
        <is>
          <t>ACCOMODATION INCHARGE</t>
        </is>
      </c>
      <c r="E90" s="534" t="n">
        <v>1</v>
      </c>
      <c r="F90" s="534" t="inlineStr">
        <is>
          <t>-</t>
        </is>
      </c>
      <c r="G90" s="535">
        <f>SUM(E90:F90)</f>
        <v/>
      </c>
      <c r="H90" s="534" t="n"/>
      <c r="I90" s="535">
        <f>SUM(E90:F90)</f>
        <v/>
      </c>
      <c r="K90" s="535" t="n">
        <v>1</v>
      </c>
      <c r="L90" s="535" t="inlineStr">
        <is>
          <t>-</t>
        </is>
      </c>
      <c r="M90" s="535" t="n">
        <v>1</v>
      </c>
      <c r="N90" s="535" t="n">
        <v>0</v>
      </c>
      <c r="O90" s="535" t="n">
        <v>1</v>
      </c>
      <c r="Q90" s="535" t="n"/>
      <c r="R90" s="535" t="n"/>
      <c r="S90" s="535" t="n"/>
      <c r="T90" s="535" t="n"/>
      <c r="U90" s="535" t="n"/>
      <c r="W90" s="535" t="n"/>
      <c r="X90" s="535" t="n"/>
      <c r="Y90" s="535" t="n"/>
      <c r="Z90" s="535" t="n"/>
      <c r="AA90" s="535" t="n"/>
    </row>
    <row r="91" ht="21" customHeight="1">
      <c r="A91" s="164" t="n">
        <v>13</v>
      </c>
      <c r="B91" s="165" t="inlineStr">
        <is>
          <t>EXPAT'S</t>
        </is>
      </c>
      <c r="C91" s="166" t="inlineStr">
        <is>
          <t>B</t>
        </is>
      </c>
      <c r="D91" s="167" t="inlineStr">
        <is>
          <t xml:space="preserve">ID ISSUING INCHARGE </t>
        </is>
      </c>
      <c r="E91" s="534" t="n">
        <v>2</v>
      </c>
      <c r="F91" s="534" t="inlineStr">
        <is>
          <t>-</t>
        </is>
      </c>
      <c r="G91" s="535">
        <f>SUM(E91:F91)</f>
        <v/>
      </c>
      <c r="H91" s="534" t="n"/>
      <c r="I91" s="535">
        <f>SUM(E91:F91)</f>
        <v/>
      </c>
      <c r="K91" s="535" t="n">
        <v>2</v>
      </c>
      <c r="L91" s="535" t="inlineStr">
        <is>
          <t>-</t>
        </is>
      </c>
      <c r="M91" s="535" t="n">
        <v>0</v>
      </c>
      <c r="N91" s="535" t="n">
        <v>1</v>
      </c>
      <c r="O91" s="535" t="n">
        <v>1</v>
      </c>
      <c r="Q91" s="535" t="n"/>
      <c r="R91" s="535" t="n"/>
      <c r="S91" s="535" t="n"/>
      <c r="T91" s="535" t="n"/>
      <c r="U91" s="535" t="n"/>
      <c r="W91" s="535" t="n"/>
      <c r="X91" s="535" t="n"/>
      <c r="Y91" s="535" t="n"/>
      <c r="Z91" s="535" t="n"/>
      <c r="AA91" s="535" t="n"/>
    </row>
    <row r="92" ht="21" customHeight="1">
      <c r="A92" s="164" t="n">
        <v>14</v>
      </c>
      <c r="B92" s="165" t="inlineStr">
        <is>
          <t>EXPAT'S</t>
        </is>
      </c>
      <c r="C92" s="166" t="inlineStr">
        <is>
          <t>B</t>
        </is>
      </c>
      <c r="D92" s="167" t="inlineStr">
        <is>
          <t xml:space="preserve">ACCOMODATION ADMIN </t>
        </is>
      </c>
      <c r="E92" s="534" t="n">
        <v>4</v>
      </c>
      <c r="F92" s="534" t="inlineStr">
        <is>
          <t>-</t>
        </is>
      </c>
      <c r="G92" s="535" t="n">
        <v>3</v>
      </c>
      <c r="H92" s="534" t="n"/>
      <c r="I92" s="535">
        <f>SUM(E92:F92)</f>
        <v/>
      </c>
      <c r="K92" s="535" t="n">
        <v>4</v>
      </c>
      <c r="L92" s="535" t="inlineStr">
        <is>
          <t>-</t>
        </is>
      </c>
      <c r="M92" s="535" t="n">
        <v>3</v>
      </c>
      <c r="N92" s="535" t="n">
        <v>0</v>
      </c>
      <c r="O92" s="535" t="n">
        <v>3</v>
      </c>
      <c r="Q92" s="535" t="n">
        <v>1</v>
      </c>
      <c r="R92" s="535" t="n"/>
      <c r="S92" s="535" t="n">
        <v>0</v>
      </c>
      <c r="T92" s="535" t="n">
        <v>0</v>
      </c>
      <c r="U92" s="535" t="n">
        <v>0</v>
      </c>
      <c r="W92" s="535" t="n"/>
      <c r="X92" s="535" t="n"/>
      <c r="Y92" s="535" t="n"/>
      <c r="Z92" s="535" t="n"/>
      <c r="AA92" s="535" t="n"/>
    </row>
    <row r="93" ht="21" customHeight="1">
      <c r="A93" s="164" t="n">
        <v>15</v>
      </c>
      <c r="B93" s="165" t="inlineStr">
        <is>
          <t>EXPAT'S</t>
        </is>
      </c>
      <c r="C93" s="166" t="inlineStr">
        <is>
          <t>C</t>
        </is>
      </c>
      <c r="D93" s="167" t="inlineStr">
        <is>
          <t xml:space="preserve">KEY CUSTODIAN </t>
        </is>
      </c>
      <c r="E93" s="534" t="n">
        <v>2</v>
      </c>
      <c r="F93" s="534" t="inlineStr">
        <is>
          <t>-</t>
        </is>
      </c>
      <c r="G93" s="535">
        <f>SUM(E93:F93)</f>
        <v/>
      </c>
      <c r="H93" s="534" t="n"/>
      <c r="I93" s="535">
        <f>SUM(E93:F93)</f>
        <v/>
      </c>
      <c r="K93" s="535" t="n">
        <v>2</v>
      </c>
      <c r="L93" s="535" t="inlineStr">
        <is>
          <t>-</t>
        </is>
      </c>
      <c r="M93" s="535" t="n">
        <v>1</v>
      </c>
      <c r="N93" s="535" t="n">
        <v>0</v>
      </c>
      <c r="O93" s="535" t="n">
        <v>1</v>
      </c>
      <c r="Q93" s="535" t="n"/>
      <c r="R93" s="535" t="n"/>
      <c r="S93" s="535" t="n"/>
      <c r="T93" s="535" t="n">
        <v>1</v>
      </c>
      <c r="U93" s="535" t="n">
        <v>1</v>
      </c>
      <c r="W93" s="535" t="n"/>
      <c r="X93" s="535" t="n"/>
      <c r="Y93" s="535" t="n"/>
      <c r="Z93" s="535" t="n"/>
      <c r="AA93" s="535" t="n"/>
    </row>
    <row r="94" ht="21" customHeight="1">
      <c r="A94" s="164" t="n">
        <v>16</v>
      </c>
      <c r="B94" s="165" t="inlineStr">
        <is>
          <t>EXPAT'S</t>
        </is>
      </c>
      <c r="C94" s="166" t="inlineStr">
        <is>
          <t>C</t>
        </is>
      </c>
      <c r="D94" s="167" t="inlineStr">
        <is>
          <t>DOCUMENT CONTROLLER</t>
        </is>
      </c>
      <c r="E94" s="534" t="n">
        <v>2</v>
      </c>
      <c r="F94" s="534" t="inlineStr">
        <is>
          <t>-</t>
        </is>
      </c>
      <c r="G94" s="535" t="n">
        <v>2</v>
      </c>
      <c r="H94" s="534" t="n"/>
      <c r="I94" s="535" t="n">
        <v>2</v>
      </c>
      <c r="K94" s="535" t="n">
        <v>2</v>
      </c>
      <c r="L94" s="535" t="inlineStr">
        <is>
          <t>-</t>
        </is>
      </c>
      <c r="M94" s="535" t="n">
        <v>2</v>
      </c>
      <c r="N94" s="535" t="n">
        <v>0</v>
      </c>
      <c r="O94" s="535" t="n">
        <v>2</v>
      </c>
      <c r="Q94" s="535" t="n">
        <v>1</v>
      </c>
      <c r="R94" s="535" t="n">
        <v>0</v>
      </c>
      <c r="S94" s="535" t="n">
        <v>1</v>
      </c>
      <c r="T94" s="535" t="n">
        <v>0</v>
      </c>
      <c r="U94" s="535" t="n">
        <v>1</v>
      </c>
      <c r="W94" s="535" t="n"/>
      <c r="X94" s="535" t="n"/>
      <c r="Y94" s="535" t="n"/>
      <c r="Z94" s="535" t="n"/>
      <c r="AA94" s="535" t="n"/>
    </row>
    <row r="95" ht="21" customHeight="1">
      <c r="A95" s="164" t="n">
        <v>17</v>
      </c>
      <c r="B95" s="165" t="inlineStr">
        <is>
          <t>EXPAT'S</t>
        </is>
      </c>
      <c r="C95" s="166" t="inlineStr">
        <is>
          <t>B</t>
        </is>
      </c>
      <c r="D95" s="167" t="inlineStr">
        <is>
          <t>PROCUREMENT OFFICER</t>
        </is>
      </c>
      <c r="E95" s="534" t="n">
        <v>1</v>
      </c>
      <c r="F95" s="534" t="inlineStr">
        <is>
          <t>-</t>
        </is>
      </c>
      <c r="G95" s="535">
        <f>SUM(E95:F95)</f>
        <v/>
      </c>
      <c r="H95" s="534" t="n"/>
      <c r="I95" s="535">
        <f>SUM(E95:F95)</f>
        <v/>
      </c>
      <c r="K95" s="535" t="n">
        <v>1</v>
      </c>
      <c r="L95" s="535" t="inlineStr">
        <is>
          <t>-</t>
        </is>
      </c>
      <c r="M95" s="535" t="n">
        <v>0</v>
      </c>
      <c r="N95" s="535" t="n">
        <v>0</v>
      </c>
      <c r="O95" s="535" t="n">
        <v>0</v>
      </c>
      <c r="Q95" s="535" t="n"/>
      <c r="R95" s="535" t="n"/>
      <c r="S95" s="535" t="n"/>
      <c r="T95" s="535" t="n"/>
      <c r="U95" s="535" t="n"/>
      <c r="W95" s="535" t="n"/>
      <c r="X95" s="535" t="n"/>
      <c r="Y95" s="535" t="n"/>
      <c r="Z95" s="535" t="n"/>
      <c r="AA95" s="535" t="n"/>
    </row>
    <row r="96" ht="21" customHeight="1">
      <c r="A96" s="164" t="n">
        <v>18</v>
      </c>
      <c r="B96" s="165" t="inlineStr">
        <is>
          <t>EXPAT'S</t>
        </is>
      </c>
      <c r="C96" s="391" t="inlineStr">
        <is>
          <t>C</t>
        </is>
      </c>
      <c r="D96" s="167" t="inlineStr">
        <is>
          <t>DRIVER</t>
        </is>
      </c>
      <c r="E96" s="534" t="n">
        <v>0</v>
      </c>
      <c r="F96" s="534" t="inlineStr">
        <is>
          <t>-</t>
        </is>
      </c>
      <c r="G96" s="535" t="n"/>
      <c r="H96" s="534" t="n">
        <v>14</v>
      </c>
      <c r="I96" s="535" t="n">
        <v>14</v>
      </c>
      <c r="K96" s="535" t="n">
        <v>0</v>
      </c>
      <c r="L96" s="535" t="inlineStr">
        <is>
          <t>-</t>
        </is>
      </c>
      <c r="M96" s="535" t="n">
        <v>0</v>
      </c>
      <c r="N96" s="535" t="n">
        <v>6</v>
      </c>
      <c r="O96" s="535" t="n">
        <v>6</v>
      </c>
      <c r="Q96" s="535" t="n"/>
      <c r="R96" s="535" t="n"/>
      <c r="S96" s="535" t="n"/>
      <c r="T96" s="535" t="n"/>
      <c r="U96" s="535" t="n"/>
      <c r="W96" s="535" t="n">
        <v>1</v>
      </c>
      <c r="X96" s="535" t="n"/>
      <c r="Y96" s="535" t="n">
        <v>0</v>
      </c>
      <c r="Z96" s="535" t="n">
        <v>0</v>
      </c>
      <c r="AA96" s="535" t="n">
        <v>1</v>
      </c>
    </row>
    <row r="97" ht="21" customHeight="1">
      <c r="A97" s="164" t="n">
        <v>19</v>
      </c>
      <c r="B97" s="165" t="inlineStr">
        <is>
          <t>EXPAT'S</t>
        </is>
      </c>
      <c r="C97" s="166" t="inlineStr">
        <is>
          <t>B</t>
        </is>
      </c>
      <c r="D97" s="167" t="inlineStr">
        <is>
          <t>PURCHASER</t>
        </is>
      </c>
      <c r="E97" s="534" t="n"/>
      <c r="F97" s="534" t="n"/>
      <c r="G97" s="535" t="n"/>
      <c r="H97" s="534" t="n">
        <v>1</v>
      </c>
      <c r="I97" s="535" t="n">
        <v>1</v>
      </c>
      <c r="K97" s="535" t="n"/>
      <c r="L97" s="535" t="n"/>
      <c r="M97" s="535" t="n"/>
      <c r="N97" s="535" t="n">
        <v>0</v>
      </c>
      <c r="O97" s="535" t="n">
        <v>0</v>
      </c>
      <c r="Q97" s="535" t="n"/>
      <c r="R97" s="535" t="n"/>
      <c r="S97" s="535" t="n"/>
      <c r="T97" s="535" t="n"/>
      <c r="U97" s="535" t="n"/>
      <c r="W97" s="535" t="n"/>
      <c r="X97" s="535" t="n"/>
      <c r="Y97" s="535" t="n"/>
      <c r="Z97" s="535" t="n"/>
      <c r="AA97" s="535" t="n"/>
    </row>
    <row r="98" ht="21" customHeight="1">
      <c r="A98" s="164" t="n">
        <v>20</v>
      </c>
      <c r="B98" s="165" t="inlineStr">
        <is>
          <t>EXPAT'S</t>
        </is>
      </c>
      <c r="C98" s="166" t="inlineStr">
        <is>
          <t>B</t>
        </is>
      </c>
      <c r="D98" s="167" t="inlineStr">
        <is>
          <t>IVF COORDINATOR</t>
        </is>
      </c>
      <c r="E98" s="534" t="n"/>
      <c r="F98" s="534" t="n"/>
      <c r="G98" s="535" t="n"/>
      <c r="H98" s="534" t="n">
        <v>1</v>
      </c>
      <c r="I98" s="535" t="n">
        <v>1</v>
      </c>
      <c r="K98" s="535" t="n"/>
      <c r="L98" s="535" t="n"/>
      <c r="M98" s="535" t="n"/>
      <c r="N98" s="535" t="n">
        <v>0</v>
      </c>
      <c r="O98" s="535" t="n">
        <v>0</v>
      </c>
      <c r="Q98" s="535" t="n"/>
      <c r="R98" s="535" t="n"/>
      <c r="S98" s="535" t="n"/>
      <c r="T98" s="535" t="n"/>
      <c r="U98" s="535" t="n"/>
      <c r="W98" s="535" t="n"/>
      <c r="X98" s="535" t="n"/>
      <c r="Y98" s="535" t="n"/>
      <c r="Z98" s="535" t="n"/>
      <c r="AA98" s="535" t="n"/>
    </row>
    <row r="99" ht="21" customHeight="1">
      <c r="A99" s="164" t="n">
        <v>21</v>
      </c>
      <c r="B99" s="165" t="inlineStr">
        <is>
          <t>EXPAT'S</t>
        </is>
      </c>
      <c r="C99" s="166" t="inlineStr">
        <is>
          <t>B</t>
        </is>
      </c>
      <c r="D99" s="167" t="inlineStr">
        <is>
          <t>FLEET AND HOUSING COORDINATOR</t>
        </is>
      </c>
      <c r="E99" s="534" t="n">
        <v>0</v>
      </c>
      <c r="F99" s="534" t="inlineStr">
        <is>
          <t>-</t>
        </is>
      </c>
      <c r="G99" s="535" t="n"/>
      <c r="H99" s="534" t="n">
        <v>1</v>
      </c>
      <c r="I99" s="535" t="n">
        <v>1</v>
      </c>
      <c r="K99" s="535" t="n">
        <v>0</v>
      </c>
      <c r="L99" s="535" t="inlineStr">
        <is>
          <t>-</t>
        </is>
      </c>
      <c r="M99" s="535" t="n">
        <v>0</v>
      </c>
      <c r="N99" s="535" t="n">
        <v>0</v>
      </c>
      <c r="O99" s="535" t="n">
        <v>0</v>
      </c>
      <c r="Q99" s="535" t="n"/>
      <c r="R99" s="535" t="n"/>
      <c r="S99" s="535" t="n"/>
      <c r="T99" s="535" t="n"/>
      <c r="U99" s="535" t="n"/>
      <c r="W99" s="535" t="n"/>
      <c r="X99" s="535" t="n"/>
      <c r="Y99" s="535" t="n">
        <v>0</v>
      </c>
      <c r="Z99" s="535" t="n">
        <v>0</v>
      </c>
      <c r="AA99" s="535" t="n">
        <v>0</v>
      </c>
    </row>
    <row r="100" ht="18.75" customFormat="1" customHeight="1" s="163">
      <c r="A100" s="527" t="inlineStr">
        <is>
          <t>GOVERNMENT LIAISON SERVICES</t>
        </is>
      </c>
      <c r="B100" s="528" t="n"/>
      <c r="C100" s="529" t="n"/>
      <c r="D100" s="529" t="n"/>
      <c r="E100" s="530">
        <f>+SUM(E101)</f>
        <v/>
      </c>
      <c r="F100" s="530">
        <f>+SUM(F101)</f>
        <v/>
      </c>
      <c r="G100" s="531">
        <f>+SUM(G101)</f>
        <v/>
      </c>
      <c r="H100" s="530" t="n"/>
      <c r="I100" s="531">
        <f>+SUM(I101)</f>
        <v/>
      </c>
      <c r="K100" s="533" t="n">
        <v>0</v>
      </c>
      <c r="L100" s="533" t="n">
        <v>1</v>
      </c>
      <c r="M100" s="533">
        <f>+SUM(M101)</f>
        <v/>
      </c>
      <c r="N100" s="533">
        <f>+SUM(N101)</f>
        <v/>
      </c>
      <c r="O100" s="533">
        <f>SUM(M100:N100)</f>
        <v/>
      </c>
      <c r="Q100" s="533" t="n">
        <v>0</v>
      </c>
      <c r="R100" s="533" t="n"/>
      <c r="S100" s="533" t="n">
        <v>0</v>
      </c>
      <c r="T100" s="533" t="n"/>
      <c r="U100" s="533" t="n">
        <v>0</v>
      </c>
      <c r="W100" s="533" t="n"/>
      <c r="X100" s="533" t="n"/>
      <c r="Y100" s="533" t="n"/>
      <c r="Z100" s="533" t="n"/>
      <c r="AA100" s="533" t="n"/>
    </row>
    <row r="101" ht="21" customHeight="1">
      <c r="A101" s="164" t="n">
        <v>1</v>
      </c>
      <c r="B101" s="165" t="inlineStr">
        <is>
          <t>SAUDI'S</t>
        </is>
      </c>
      <c r="C101" s="166" t="inlineStr">
        <is>
          <t>B</t>
        </is>
      </c>
      <c r="D101" s="167" t="inlineStr">
        <is>
          <t>RELATIONSHIP OFFICER</t>
        </is>
      </c>
      <c r="E101" s="534" t="inlineStr">
        <is>
          <t>-</t>
        </is>
      </c>
      <c r="F101" s="534" t="n">
        <v>1</v>
      </c>
      <c r="G101" s="535">
        <f>SUM(E101:F101)</f>
        <v/>
      </c>
      <c r="H101" s="534" t="n"/>
      <c r="I101" s="535">
        <f>SUM(E101:F101)</f>
        <v/>
      </c>
      <c r="K101" s="535" t="inlineStr">
        <is>
          <t>-</t>
        </is>
      </c>
      <c r="L101" s="535" t="n">
        <v>1</v>
      </c>
      <c r="M101" s="535" t="n">
        <v>0</v>
      </c>
      <c r="N101" s="535" t="n">
        <v>0</v>
      </c>
      <c r="O101" s="535" t="n">
        <v>0</v>
      </c>
      <c r="Q101" s="535" t="n"/>
      <c r="R101" s="535" t="n"/>
      <c r="S101" s="535" t="n"/>
      <c r="T101" s="535" t="n"/>
      <c r="U101" s="535" t="n"/>
      <c r="W101" s="535" t="n"/>
      <c r="X101" s="535" t="n"/>
      <c r="Y101" s="535" t="n"/>
      <c r="Z101" s="535" t="n"/>
      <c r="AA101" s="535" t="n"/>
    </row>
    <row r="102" ht="18.75" customFormat="1" customHeight="1" s="163">
      <c r="A102" s="527" t="inlineStr">
        <is>
          <t>HOUSEKEEPING &amp; JANITORIAL SERVICES</t>
        </is>
      </c>
      <c r="B102" s="528" t="n"/>
      <c r="C102" s="529" t="n"/>
      <c r="D102" s="529" t="n"/>
      <c r="E102" s="530">
        <f>+SUM(E103:E112)</f>
        <v/>
      </c>
      <c r="F102" s="530">
        <f>+SUM(F103:F112)</f>
        <v/>
      </c>
      <c r="G102" s="531">
        <f>+SUM(G103:G112)</f>
        <v/>
      </c>
      <c r="H102" s="530">
        <f>SUM(H103:H112)</f>
        <v/>
      </c>
      <c r="I102" s="531">
        <f>+SUM(I103:I112)</f>
        <v/>
      </c>
      <c r="K102" s="533" t="n">
        <v>141</v>
      </c>
      <c r="L102" s="533" t="n">
        <v>0</v>
      </c>
      <c r="M102" s="533">
        <f>+SUM(M103:M112)</f>
        <v/>
      </c>
      <c r="N102" s="533">
        <f>+SUM(N103:N112)</f>
        <v/>
      </c>
      <c r="O102" s="533">
        <f>SUM(M102:N102)</f>
        <v/>
      </c>
      <c r="Q102" s="533" t="n">
        <v>16</v>
      </c>
      <c r="R102" s="533" t="n"/>
      <c r="S102" s="533">
        <f>SUM(S103:S112)</f>
        <v/>
      </c>
      <c r="T102" s="533" t="n">
        <v>6</v>
      </c>
      <c r="U102" s="533" t="n">
        <v>22</v>
      </c>
      <c r="W102" s="533" t="n">
        <v>10</v>
      </c>
      <c r="X102" s="533" t="n"/>
      <c r="Y102" s="533" t="n">
        <v>6</v>
      </c>
      <c r="Z102" s="533" t="n"/>
      <c r="AA102" s="533" t="n">
        <v>6</v>
      </c>
    </row>
    <row r="103" ht="21" customHeight="1">
      <c r="A103" s="164" t="n">
        <v>1</v>
      </c>
      <c r="B103" s="165" t="inlineStr">
        <is>
          <t>EXPAT'S</t>
        </is>
      </c>
      <c r="C103" s="166" t="inlineStr">
        <is>
          <t>C</t>
        </is>
      </c>
      <c r="D103" s="165" t="inlineStr">
        <is>
          <t>CLEANING SUPERVISOR</t>
        </is>
      </c>
      <c r="E103" s="534" t="n">
        <v>12</v>
      </c>
      <c r="F103" s="534" t="inlineStr">
        <is>
          <t>-</t>
        </is>
      </c>
      <c r="G103" s="535" t="n">
        <v>10</v>
      </c>
      <c r="H103" s="534" t="n"/>
      <c r="I103" s="535" t="n">
        <v>10</v>
      </c>
      <c r="K103" s="535" t="n">
        <v>12</v>
      </c>
      <c r="L103" s="535" t="inlineStr">
        <is>
          <t>-</t>
        </is>
      </c>
      <c r="M103" s="535" t="n">
        <v>12</v>
      </c>
      <c r="N103" s="535" t="n">
        <v>0</v>
      </c>
      <c r="O103" s="535" t="n">
        <v>12</v>
      </c>
      <c r="Q103" s="535" t="n">
        <v>2</v>
      </c>
      <c r="R103" s="535" t="n"/>
      <c r="S103" s="535" t="n">
        <v>2</v>
      </c>
      <c r="T103" s="535" t="n">
        <v>1</v>
      </c>
      <c r="U103" s="535" t="n">
        <v>3</v>
      </c>
      <c r="W103" s="535" t="n">
        <v>2</v>
      </c>
      <c r="X103" s="535" t="n"/>
      <c r="Y103" s="535" t="n">
        <v>2</v>
      </c>
      <c r="Z103" s="535" t="n"/>
      <c r="AA103" s="535" t="n">
        <v>2</v>
      </c>
    </row>
    <row r="104" ht="21" customHeight="1">
      <c r="A104" s="164" t="n">
        <v>2</v>
      </c>
      <c r="B104" s="165" t="inlineStr">
        <is>
          <t>EXPAT'S</t>
        </is>
      </c>
      <c r="C104" s="166" t="inlineStr">
        <is>
          <t>C</t>
        </is>
      </c>
      <c r="D104" s="165" t="inlineStr">
        <is>
          <t xml:space="preserve">HOUSEKEEPRS -MALE </t>
        </is>
      </c>
      <c r="E104" s="534" t="n">
        <v>92</v>
      </c>
      <c r="F104" s="534" t="inlineStr">
        <is>
          <t>-</t>
        </is>
      </c>
      <c r="G104" s="535" t="n">
        <v>92</v>
      </c>
      <c r="H104" s="534" t="n">
        <v>1</v>
      </c>
      <c r="I104" s="535" t="n">
        <v>93</v>
      </c>
      <c r="K104" s="535" t="n">
        <v>92</v>
      </c>
      <c r="L104" s="535" t="inlineStr">
        <is>
          <t>-</t>
        </is>
      </c>
      <c r="M104" s="535" t="n">
        <v>90</v>
      </c>
      <c r="N104" s="535" t="n">
        <v>0</v>
      </c>
      <c r="O104" s="535" t="n">
        <v>90</v>
      </c>
      <c r="Q104" s="535" t="n">
        <v>9</v>
      </c>
      <c r="R104" s="535" t="n"/>
      <c r="S104" s="535" t="n">
        <v>9</v>
      </c>
      <c r="T104" s="535" t="n">
        <v>1</v>
      </c>
      <c r="U104" s="535" t="n">
        <v>10</v>
      </c>
      <c r="W104" s="535" t="n"/>
      <c r="X104" s="535" t="n"/>
      <c r="Y104" s="535" t="n"/>
      <c r="Z104" s="535" t="n"/>
      <c r="AA104" s="535" t="n">
        <v>0</v>
      </c>
    </row>
    <row r="105" ht="21" customHeight="1">
      <c r="A105" s="164" t="n">
        <v>3</v>
      </c>
      <c r="B105" s="165" t="inlineStr">
        <is>
          <t>EXPAT'S</t>
        </is>
      </c>
      <c r="C105" s="166" t="inlineStr">
        <is>
          <t>C</t>
        </is>
      </c>
      <c r="D105" s="165" t="inlineStr">
        <is>
          <t xml:space="preserve">CLEANERS-MALE </t>
        </is>
      </c>
      <c r="E105" s="534" t="n">
        <v>16</v>
      </c>
      <c r="F105" s="534" t="inlineStr">
        <is>
          <t>-</t>
        </is>
      </c>
      <c r="G105" s="535" t="n">
        <v>16</v>
      </c>
      <c r="H105" s="534" t="n">
        <v>17</v>
      </c>
      <c r="I105" s="535" t="n">
        <v>33</v>
      </c>
      <c r="K105" s="535" t="n">
        <v>16</v>
      </c>
      <c r="L105" s="535" t="inlineStr">
        <is>
          <t>-</t>
        </is>
      </c>
      <c r="M105" s="535" t="n">
        <v>16</v>
      </c>
      <c r="N105" s="535" t="n">
        <v>1</v>
      </c>
      <c r="O105" s="535" t="n">
        <v>17</v>
      </c>
      <c r="Q105" s="535" t="n">
        <v>3</v>
      </c>
      <c r="R105" s="535" t="n"/>
      <c r="S105" s="535" t="n">
        <v>3</v>
      </c>
      <c r="T105" s="535" t="n">
        <v>4</v>
      </c>
      <c r="U105" s="535" t="n">
        <v>7</v>
      </c>
      <c r="W105" s="535" t="n">
        <v>4</v>
      </c>
      <c r="X105" s="535" t="n"/>
      <c r="Y105" s="535" t="n">
        <v>4</v>
      </c>
      <c r="Z105" s="535" t="n"/>
      <c r="AA105" s="535" t="n">
        <v>4</v>
      </c>
    </row>
    <row r="106" ht="21" customHeight="1">
      <c r="A106" s="164" t="n">
        <v>4</v>
      </c>
      <c r="B106" s="165" t="inlineStr">
        <is>
          <t>EXPAT'S</t>
        </is>
      </c>
      <c r="C106" s="166" t="inlineStr">
        <is>
          <t>C</t>
        </is>
      </c>
      <c r="D106" s="165" t="inlineStr">
        <is>
          <t xml:space="preserve">CLEANERS-FEMALE </t>
        </is>
      </c>
      <c r="E106" s="534" t="n">
        <v>0</v>
      </c>
      <c r="F106" s="534" t="inlineStr">
        <is>
          <t>-</t>
        </is>
      </c>
      <c r="G106" s="535" t="n"/>
      <c r="H106" s="534" t="n">
        <v>1</v>
      </c>
      <c r="I106" s="535" t="n">
        <v>1</v>
      </c>
      <c r="K106" s="535" t="n">
        <v>0</v>
      </c>
      <c r="L106" s="535" t="inlineStr">
        <is>
          <t>-</t>
        </is>
      </c>
      <c r="M106" s="535" t="n">
        <v>0</v>
      </c>
      <c r="N106" s="535" t="n">
        <v>0</v>
      </c>
      <c r="O106" s="535" t="n">
        <v>0</v>
      </c>
      <c r="Q106" s="535" t="n">
        <v>0</v>
      </c>
      <c r="R106" s="535" t="n"/>
      <c r="S106" s="535" t="n">
        <v>0</v>
      </c>
      <c r="T106" s="535" t="n"/>
      <c r="U106" s="535" t="n">
        <v>0</v>
      </c>
      <c r="W106" s="535" t="n">
        <v>4</v>
      </c>
      <c r="X106" s="535" t="n"/>
      <c r="Y106" s="535" t="n">
        <v>0</v>
      </c>
      <c r="Z106" s="535" t="n"/>
      <c r="AA106" s="535" t="n">
        <v>0</v>
      </c>
    </row>
    <row r="107" ht="21" customHeight="1">
      <c r="A107" s="164" t="n">
        <v>5</v>
      </c>
      <c r="B107" s="165" t="inlineStr">
        <is>
          <t>EXPAT'S</t>
        </is>
      </c>
      <c r="C107" s="166" t="inlineStr">
        <is>
          <t>C</t>
        </is>
      </c>
      <c r="D107" s="165" t="inlineStr">
        <is>
          <t>TEA BOY FM OPERATION OFFICE</t>
        </is>
      </c>
      <c r="E107" s="534" t="n">
        <v>2</v>
      </c>
      <c r="F107" s="534" t="inlineStr">
        <is>
          <t>-</t>
        </is>
      </c>
      <c r="G107" s="535">
        <f>SUM(E107:F107)</f>
        <v/>
      </c>
      <c r="H107" s="534" t="n"/>
      <c r="I107" s="535">
        <f>SUM(E107:F107)</f>
        <v/>
      </c>
      <c r="K107" s="535" t="n">
        <v>2</v>
      </c>
      <c r="L107" s="535" t="inlineStr">
        <is>
          <t>-</t>
        </is>
      </c>
      <c r="M107" s="535" t="n">
        <v>1</v>
      </c>
      <c r="N107" s="535" t="n">
        <v>0</v>
      </c>
      <c r="O107" s="535" t="n">
        <v>1</v>
      </c>
      <c r="Q107" s="535" t="n"/>
      <c r="R107" s="535" t="n"/>
      <c r="S107" s="535" t="n"/>
      <c r="T107" s="535" t="n"/>
      <c r="U107" s="535" t="n"/>
      <c r="W107" s="535" t="n"/>
      <c r="X107" s="535" t="n"/>
      <c r="Y107" s="535" t="n"/>
      <c r="Z107" s="535" t="n"/>
      <c r="AA107" s="535" t="n"/>
    </row>
    <row r="108" ht="21" customHeight="1">
      <c r="A108" s="164" t="n">
        <v>6</v>
      </c>
      <c r="B108" s="165" t="inlineStr">
        <is>
          <t>EXPAT'S</t>
        </is>
      </c>
      <c r="C108" s="166" t="inlineStr">
        <is>
          <t>C</t>
        </is>
      </c>
      <c r="D108" s="165" t="inlineStr">
        <is>
          <t xml:space="preserve">TEAM LEADER MESS HALL </t>
        </is>
      </c>
      <c r="E108" s="534" t="n">
        <v>2</v>
      </c>
      <c r="F108" s="534" t="inlineStr">
        <is>
          <t>-</t>
        </is>
      </c>
      <c r="G108" s="535" t="n">
        <v>0</v>
      </c>
      <c r="H108" s="534" t="n"/>
      <c r="I108" s="535" t="n">
        <v>0</v>
      </c>
      <c r="K108" s="535" t="n">
        <v>2</v>
      </c>
      <c r="L108" s="535" t="inlineStr">
        <is>
          <t>-</t>
        </is>
      </c>
      <c r="M108" s="535" t="n">
        <v>0</v>
      </c>
      <c r="N108" s="535" t="n">
        <v>0</v>
      </c>
      <c r="O108" s="535" t="n">
        <v>0</v>
      </c>
      <c r="Q108" s="535" t="n"/>
      <c r="R108" s="535" t="n"/>
      <c r="S108" s="535" t="n"/>
      <c r="T108" s="535" t="n"/>
      <c r="U108" s="535" t="n"/>
      <c r="W108" s="535" t="n"/>
      <c r="X108" s="535" t="n"/>
      <c r="Y108" s="535" t="n"/>
      <c r="Z108" s="535" t="n"/>
      <c r="AA108" s="535" t="n"/>
    </row>
    <row r="109" ht="21" customHeight="1">
      <c r="A109" s="164" t="n">
        <v>7</v>
      </c>
      <c r="B109" s="165" t="inlineStr">
        <is>
          <t>EXPAT'S</t>
        </is>
      </c>
      <c r="C109" s="166" t="inlineStr">
        <is>
          <t>C</t>
        </is>
      </c>
      <c r="D109" s="165" t="inlineStr">
        <is>
          <t>LITTER PICKER SUPERVISOR</t>
        </is>
      </c>
      <c r="E109" s="534" t="n">
        <v>2</v>
      </c>
      <c r="F109" s="534" t="inlineStr">
        <is>
          <t>-</t>
        </is>
      </c>
      <c r="G109" s="535" t="n">
        <v>0</v>
      </c>
      <c r="H109" s="534" t="n"/>
      <c r="I109" s="535" t="n">
        <v>0</v>
      </c>
      <c r="K109" s="535" t="n">
        <v>2</v>
      </c>
      <c r="L109" s="535" t="inlineStr">
        <is>
          <t>-</t>
        </is>
      </c>
      <c r="M109" s="535" t="n">
        <v>0</v>
      </c>
      <c r="N109" s="535" t="n">
        <v>0</v>
      </c>
      <c r="O109" s="535" t="n">
        <v>2</v>
      </c>
      <c r="Q109" s="535" t="n"/>
      <c r="R109" s="535" t="n"/>
      <c r="S109" s="535" t="n"/>
      <c r="T109" s="535" t="n"/>
      <c r="U109" s="535" t="n"/>
      <c r="W109" s="535" t="n"/>
      <c r="X109" s="535" t="n"/>
      <c r="Y109" s="535" t="n"/>
      <c r="Z109" s="535" t="n"/>
      <c r="AA109" s="535" t="n"/>
    </row>
    <row r="110" ht="21" customHeight="1">
      <c r="A110" s="164" t="n">
        <v>8</v>
      </c>
      <c r="B110" s="165" t="inlineStr">
        <is>
          <t>EXPAT'S</t>
        </is>
      </c>
      <c r="C110" s="166" t="inlineStr">
        <is>
          <t>C</t>
        </is>
      </c>
      <c r="D110" s="165" t="inlineStr">
        <is>
          <t xml:space="preserve">LITTER PICKER </t>
        </is>
      </c>
      <c r="E110" s="534" t="n">
        <v>10</v>
      </c>
      <c r="F110" s="534" t="inlineStr">
        <is>
          <t>-</t>
        </is>
      </c>
      <c r="G110" s="535" t="n">
        <v>10</v>
      </c>
      <c r="H110" s="534" t="n"/>
      <c r="I110" s="535" t="n">
        <v>10</v>
      </c>
      <c r="K110" s="535" t="n">
        <v>10</v>
      </c>
      <c r="L110" s="535" t="inlineStr">
        <is>
          <t>-</t>
        </is>
      </c>
      <c r="M110" s="535" t="n">
        <v>10</v>
      </c>
      <c r="N110" s="535" t="n">
        <v>0</v>
      </c>
      <c r="O110" s="535" t="n">
        <v>10</v>
      </c>
      <c r="Q110" s="535" t="n">
        <v>2</v>
      </c>
      <c r="R110" s="535" t="n"/>
      <c r="S110" s="535" t="n">
        <v>2</v>
      </c>
      <c r="T110" s="535" t="n"/>
      <c r="U110" s="535" t="n">
        <v>2</v>
      </c>
      <c r="W110" s="535" t="n"/>
      <c r="X110" s="535" t="n"/>
      <c r="Y110" s="535" t="n"/>
      <c r="Z110" s="535" t="n"/>
      <c r="AA110" s="535" t="n"/>
    </row>
    <row r="111" ht="21" customHeight="1">
      <c r="A111" s="164" t="n">
        <v>9</v>
      </c>
      <c r="B111" s="165" t="inlineStr">
        <is>
          <t>EXPAT'S</t>
        </is>
      </c>
      <c r="C111" s="166" t="inlineStr">
        <is>
          <t>C</t>
        </is>
      </c>
      <c r="D111" s="165" t="inlineStr">
        <is>
          <t>ROAD SWEEPER DRIVER</t>
        </is>
      </c>
      <c r="E111" s="534" t="n">
        <v>1</v>
      </c>
      <c r="F111" s="534" t="inlineStr">
        <is>
          <t>-</t>
        </is>
      </c>
      <c r="G111" s="535">
        <f>SUM(E111:F111)</f>
        <v/>
      </c>
      <c r="H111" s="534" t="n"/>
      <c r="I111" s="535">
        <f>SUM(E111:F111)</f>
        <v/>
      </c>
      <c r="K111" s="535" t="n">
        <v>1</v>
      </c>
      <c r="L111" s="535" t="inlineStr">
        <is>
          <t>-</t>
        </is>
      </c>
      <c r="M111" s="535" t="n">
        <v>1</v>
      </c>
      <c r="N111" s="535" t="n">
        <v>0</v>
      </c>
      <c r="O111" s="535" t="n">
        <v>1</v>
      </c>
      <c r="Q111" s="535" t="n"/>
      <c r="R111" s="535" t="n"/>
      <c r="S111" s="535" t="n"/>
      <c r="T111" s="535" t="n"/>
      <c r="U111" s="535" t="n"/>
      <c r="W111" s="535" t="n"/>
      <c r="X111" s="535" t="n"/>
      <c r="Y111" s="535" t="n"/>
      <c r="Z111" s="535" t="n"/>
      <c r="AA111" s="535" t="n"/>
    </row>
    <row r="112" ht="21" customHeight="1">
      <c r="A112" s="164" t="n">
        <v>10</v>
      </c>
      <c r="B112" s="165" t="inlineStr">
        <is>
          <t>EXPAT'S</t>
        </is>
      </c>
      <c r="C112" s="166" t="inlineStr">
        <is>
          <t>C</t>
        </is>
      </c>
      <c r="D112" s="165" t="inlineStr">
        <is>
          <t>BARBER</t>
        </is>
      </c>
      <c r="E112" s="534" t="n">
        <v>4</v>
      </c>
      <c r="F112" s="534" t="inlineStr">
        <is>
          <t>-</t>
        </is>
      </c>
      <c r="G112" s="535">
        <f>SUM(E112:F112)</f>
        <v/>
      </c>
      <c r="H112" s="534" t="n">
        <v>2</v>
      </c>
      <c r="I112" s="535" t="n">
        <v>6</v>
      </c>
      <c r="K112" s="535" t="n">
        <v>4</v>
      </c>
      <c r="L112" s="535" t="inlineStr">
        <is>
          <t>-</t>
        </is>
      </c>
      <c r="M112" s="535" t="n">
        <v>3</v>
      </c>
      <c r="N112" s="535" t="n">
        <v>0</v>
      </c>
      <c r="O112" s="535" t="n">
        <v>3</v>
      </c>
      <c r="Q112" s="535" t="n"/>
      <c r="R112" s="535" t="n"/>
      <c r="S112" s="535" t="n"/>
      <c r="T112" s="535" t="n"/>
      <c r="U112" s="535" t="n"/>
      <c r="W112" s="535" t="n"/>
      <c r="X112" s="535" t="n"/>
      <c r="Y112" s="535" t="n"/>
      <c r="Z112" s="535" t="n"/>
      <c r="AA112" s="535" t="n"/>
    </row>
    <row r="113" ht="18.75" customFormat="1" customHeight="1" s="163">
      <c r="A113" s="527" t="inlineStr">
        <is>
          <t>LAUNDRY SERVICES</t>
        </is>
      </c>
      <c r="B113" s="528" t="n"/>
      <c r="C113" s="529" t="n"/>
      <c r="D113" s="529" t="n"/>
      <c r="E113" s="530">
        <f>+SUM(E115:E118)</f>
        <v/>
      </c>
      <c r="F113" s="530">
        <f>+SUM(F115:F118)</f>
        <v/>
      </c>
      <c r="G113" s="531">
        <f>+SUM(G115:G118)</f>
        <v/>
      </c>
      <c r="H113" s="530">
        <f>SUM(H114:H118)</f>
        <v/>
      </c>
      <c r="I113" s="531">
        <f>SUM(I114:I118)</f>
        <v/>
      </c>
      <c r="K113" s="533" t="n">
        <v>42</v>
      </c>
      <c r="L113" s="533" t="n">
        <v>0</v>
      </c>
      <c r="M113" s="533">
        <f>+SUM(M114:M118)</f>
        <v/>
      </c>
      <c r="N113" s="533">
        <f>+SUM(N114:N118)</f>
        <v/>
      </c>
      <c r="O113" s="533">
        <f>SUM(M113:N113)</f>
        <v/>
      </c>
      <c r="Q113" s="533" t="n">
        <v>3</v>
      </c>
      <c r="R113" s="533" t="n"/>
      <c r="S113" s="533" t="n">
        <v>0</v>
      </c>
      <c r="T113" s="533" t="n"/>
      <c r="U113" s="533" t="n">
        <v>0</v>
      </c>
      <c r="W113" s="533" t="n"/>
      <c r="X113" s="533" t="n"/>
      <c r="Y113" s="533" t="n"/>
      <c r="Z113" s="533" t="n"/>
      <c r="AA113" s="533" t="n"/>
    </row>
    <row r="114" ht="21" customHeight="1">
      <c r="A114" s="164" t="n">
        <v>1</v>
      </c>
      <c r="B114" s="165" t="inlineStr">
        <is>
          <t>EXPAT'S</t>
        </is>
      </c>
      <c r="C114" s="166" t="inlineStr">
        <is>
          <t>A</t>
        </is>
      </c>
      <c r="D114" s="165" t="inlineStr">
        <is>
          <t>LAUNDRY MANAGER</t>
        </is>
      </c>
      <c r="E114" s="534" t="n">
        <v>0</v>
      </c>
      <c r="F114" s="534" t="inlineStr">
        <is>
          <t>-</t>
        </is>
      </c>
      <c r="G114" s="535" t="n"/>
      <c r="H114" s="534" t="n">
        <v>1</v>
      </c>
      <c r="I114" s="535" t="n">
        <v>1</v>
      </c>
      <c r="K114" s="535" t="n">
        <v>0</v>
      </c>
      <c r="L114" s="535" t="inlineStr">
        <is>
          <t>-</t>
        </is>
      </c>
      <c r="M114" s="535" t="n">
        <v>0</v>
      </c>
      <c r="N114" s="535" t="n">
        <v>0</v>
      </c>
      <c r="O114" s="535" t="n">
        <v>0</v>
      </c>
      <c r="Q114" s="535" t="n"/>
      <c r="R114" s="535" t="n"/>
      <c r="S114" s="535" t="n"/>
      <c r="T114" s="535" t="n"/>
      <c r="U114" s="535" t="n"/>
      <c r="W114" s="535" t="n"/>
      <c r="X114" s="535" t="n"/>
      <c r="Y114" s="535" t="n"/>
      <c r="Z114" s="535" t="n"/>
      <c r="AA114" s="535" t="n"/>
    </row>
    <row r="115" ht="21" customHeight="1">
      <c r="A115" s="164" t="n">
        <v>2</v>
      </c>
      <c r="B115" s="165" t="inlineStr">
        <is>
          <t>EXPAT'S</t>
        </is>
      </c>
      <c r="C115" s="166" t="inlineStr">
        <is>
          <t>A</t>
        </is>
      </c>
      <c r="D115" s="165" t="inlineStr">
        <is>
          <t>LAUNDRY SUPERVISOR</t>
        </is>
      </c>
      <c r="E115" s="534" t="n">
        <v>2</v>
      </c>
      <c r="F115" s="534" t="inlineStr">
        <is>
          <t>-</t>
        </is>
      </c>
      <c r="G115" s="535">
        <f>SUM(E115:F115)</f>
        <v/>
      </c>
      <c r="H115" s="534" t="n"/>
      <c r="I115" s="535">
        <f>SUM(E115:F115)</f>
        <v/>
      </c>
      <c r="K115" s="535" t="n">
        <v>2</v>
      </c>
      <c r="L115" s="535" t="inlineStr">
        <is>
          <t>-</t>
        </is>
      </c>
      <c r="M115" s="535" t="n">
        <v>2</v>
      </c>
      <c r="N115" s="535" t="n">
        <v>0</v>
      </c>
      <c r="O115" s="535" t="n">
        <v>2</v>
      </c>
      <c r="Q115" s="535" t="n"/>
      <c r="R115" s="535" t="n"/>
      <c r="S115" s="535" t="n"/>
      <c r="T115" s="535" t="n"/>
      <c r="U115" s="535" t="n"/>
      <c r="W115" s="535" t="n"/>
      <c r="X115" s="535" t="n"/>
      <c r="Y115" s="535" t="n"/>
      <c r="Z115" s="535" t="n"/>
      <c r="AA115" s="535" t="n"/>
    </row>
    <row r="116" ht="21" customHeight="1">
      <c r="A116" s="164">
        <f>+A115+1</f>
        <v/>
      </c>
      <c r="B116" s="165" t="inlineStr">
        <is>
          <t>EXPAT'S</t>
        </is>
      </c>
      <c r="C116" s="166" t="inlineStr">
        <is>
          <t>C</t>
        </is>
      </c>
      <c r="D116" s="165" t="inlineStr">
        <is>
          <t>LAUNDRY TEAM LEADER</t>
        </is>
      </c>
      <c r="E116" s="534" t="n">
        <v>2</v>
      </c>
      <c r="F116" s="534" t="inlineStr">
        <is>
          <t>-</t>
        </is>
      </c>
      <c r="G116" s="535">
        <f>SUM(E116:F116)</f>
        <v/>
      </c>
      <c r="H116" s="534" t="n">
        <v>1</v>
      </c>
      <c r="I116" s="535" t="n">
        <v>3</v>
      </c>
      <c r="K116" s="535" t="n">
        <v>2</v>
      </c>
      <c r="L116" s="535" t="inlineStr">
        <is>
          <t>-</t>
        </is>
      </c>
      <c r="M116" s="535" t="n">
        <v>2</v>
      </c>
      <c r="N116" s="535" t="n">
        <v>0</v>
      </c>
      <c r="O116" s="535" t="n">
        <v>2</v>
      </c>
      <c r="Q116" s="535" t="n"/>
      <c r="R116" s="535" t="n"/>
      <c r="S116" s="535" t="n"/>
      <c r="T116" s="535" t="n"/>
      <c r="U116" s="535" t="n"/>
      <c r="W116" s="535" t="n"/>
      <c r="X116" s="535" t="n"/>
      <c r="Y116" s="535" t="n"/>
      <c r="Z116" s="535" t="n"/>
      <c r="AA116" s="535" t="n"/>
    </row>
    <row r="117" ht="21" customHeight="1">
      <c r="A117" s="164">
        <f>+A116+1</f>
        <v/>
      </c>
      <c r="B117" s="165" t="inlineStr">
        <is>
          <t>EXPAT'S</t>
        </is>
      </c>
      <c r="C117" s="166" t="inlineStr">
        <is>
          <t>C</t>
        </is>
      </c>
      <c r="D117" s="165" t="inlineStr">
        <is>
          <t>LAUNDRY OPERATIVES</t>
        </is>
      </c>
      <c r="E117" s="534" t="n">
        <v>36</v>
      </c>
      <c r="F117" s="534" t="inlineStr">
        <is>
          <t>-</t>
        </is>
      </c>
      <c r="G117" s="535" t="n">
        <v>36</v>
      </c>
      <c r="H117" s="534" t="n">
        <v>3</v>
      </c>
      <c r="I117" s="535" t="n">
        <v>39</v>
      </c>
      <c r="K117" s="535" t="n">
        <v>36</v>
      </c>
      <c r="L117" s="535" t="inlineStr">
        <is>
          <t>-</t>
        </is>
      </c>
      <c r="M117" s="535" t="n">
        <v>32</v>
      </c>
      <c r="N117" s="535" t="n">
        <v>0</v>
      </c>
      <c r="O117" s="535" t="n">
        <v>36</v>
      </c>
      <c r="Q117" s="535" t="n">
        <v>3</v>
      </c>
      <c r="R117" s="535" t="n"/>
      <c r="S117" s="535" t="n">
        <v>0</v>
      </c>
      <c r="T117" s="535" t="n"/>
      <c r="U117" s="535" t="n">
        <v>0</v>
      </c>
      <c r="W117" s="535" t="n"/>
      <c r="X117" s="535" t="n"/>
      <c r="Y117" s="535" t="n"/>
      <c r="Z117" s="535" t="n"/>
      <c r="AA117" s="535" t="n"/>
    </row>
    <row r="118" ht="21" customHeight="1">
      <c r="A118" s="164" t="n">
        <v>3</v>
      </c>
      <c r="B118" s="165" t="inlineStr">
        <is>
          <t>EXPAT'S</t>
        </is>
      </c>
      <c r="C118" s="166" t="inlineStr">
        <is>
          <t>C</t>
        </is>
      </c>
      <c r="D118" s="165" t="inlineStr">
        <is>
          <t xml:space="preserve">LAUNDRY VEHCILE DRIVER </t>
        </is>
      </c>
      <c r="E118" s="534" t="n">
        <v>2</v>
      </c>
      <c r="F118" s="534" t="inlineStr">
        <is>
          <t>-</t>
        </is>
      </c>
      <c r="G118" s="535" t="n">
        <v>0</v>
      </c>
      <c r="H118" s="534" t="n"/>
      <c r="I118" s="535" t="n">
        <v>0</v>
      </c>
      <c r="K118" s="535" t="n">
        <v>2</v>
      </c>
      <c r="L118" s="535" t="inlineStr">
        <is>
          <t>-</t>
        </is>
      </c>
      <c r="M118" s="535" t="n">
        <v>0</v>
      </c>
      <c r="N118" s="535" t="n">
        <v>0</v>
      </c>
      <c r="O118" s="535" t="n">
        <v>0</v>
      </c>
      <c r="Q118" s="535" t="n"/>
      <c r="R118" s="535" t="n"/>
      <c r="S118" s="535" t="n"/>
      <c r="T118" s="535" t="n"/>
      <c r="U118" s="535" t="n"/>
      <c r="W118" s="535" t="n"/>
      <c r="X118" s="535" t="n"/>
      <c r="Y118" s="535" t="n"/>
      <c r="Z118" s="535" t="n"/>
      <c r="AA118" s="535" t="n"/>
    </row>
    <row r="119" ht="18.75" customFormat="1" customHeight="1" s="163">
      <c r="A119" s="538" t="n"/>
      <c r="B119" s="539" t="n"/>
      <c r="C119" s="539" t="n"/>
      <c r="D119" s="540" t="n"/>
      <c r="E119" s="530" t="n"/>
      <c r="F119" s="530" t="n"/>
      <c r="G119" s="531" t="n"/>
      <c r="H119" s="530">
        <f>SUM(H120:H144)</f>
        <v/>
      </c>
      <c r="I119" s="531">
        <f>SUM(I120:I137)</f>
        <v/>
      </c>
      <c r="K119" s="533" t="n"/>
      <c r="L119" s="533" t="n"/>
      <c r="M119" s="533" t="n"/>
      <c r="N119" s="533">
        <f>SUM(N120:N144)</f>
        <v/>
      </c>
      <c r="O119" s="533">
        <f>SUM(O120:O144)</f>
        <v/>
      </c>
      <c r="Q119" s="533" t="n"/>
      <c r="R119" s="533" t="n"/>
      <c r="S119" s="533" t="n"/>
      <c r="T119" s="533" t="n"/>
      <c r="U119" s="533" t="n"/>
      <c r="W119" s="533" t="n"/>
      <c r="X119" s="533" t="n"/>
      <c r="Y119" s="533" t="n"/>
      <c r="Z119" s="533" t="n"/>
      <c r="AA119" s="533" t="n"/>
    </row>
    <row r="120" ht="21" customHeight="1">
      <c r="A120" s="164" t="n">
        <v>1</v>
      </c>
      <c r="B120" s="165" t="inlineStr">
        <is>
          <t>EXPAT'S</t>
        </is>
      </c>
      <c r="C120" s="166" t="inlineStr">
        <is>
          <t>C</t>
        </is>
      </c>
      <c r="D120" s="165" t="inlineStr">
        <is>
          <t>SYSTEM ADMIN</t>
        </is>
      </c>
      <c r="E120" s="534" t="n">
        <v>0</v>
      </c>
      <c r="F120" s="534" t="inlineStr">
        <is>
          <t>-</t>
        </is>
      </c>
      <c r="G120" s="535">
        <f>SUM(E120:F120)</f>
        <v/>
      </c>
      <c r="H120" s="535" t="n">
        <v>1</v>
      </c>
      <c r="I120" s="535" t="n">
        <v>1</v>
      </c>
      <c r="K120" s="535" t="n">
        <v>0</v>
      </c>
      <c r="L120" s="535" t="inlineStr">
        <is>
          <t>-</t>
        </is>
      </c>
      <c r="M120" s="535" t="n">
        <v>0</v>
      </c>
      <c r="N120" s="535" t="n">
        <v>0</v>
      </c>
      <c r="O120" s="535" t="n">
        <v>0</v>
      </c>
      <c r="Q120" s="535" t="n">
        <v>0</v>
      </c>
      <c r="R120" s="535" t="n">
        <v>0</v>
      </c>
      <c r="S120" s="535" t="n">
        <v>0</v>
      </c>
      <c r="T120" s="535" t="n">
        <v>0</v>
      </c>
      <c r="U120" s="535" t="n">
        <v>0</v>
      </c>
      <c r="W120" s="535" t="n"/>
      <c r="X120" s="535" t="n"/>
      <c r="Y120" s="535" t="n"/>
      <c r="Z120" s="535" t="n"/>
      <c r="AA120" s="535" t="n"/>
    </row>
    <row r="121" ht="21" customHeight="1">
      <c r="A121" s="164" t="n">
        <v>2</v>
      </c>
      <c r="B121" s="165" t="inlineStr">
        <is>
          <t>EXPAT'S</t>
        </is>
      </c>
      <c r="C121" s="166" t="inlineStr">
        <is>
          <t>B</t>
        </is>
      </c>
      <c r="D121" s="165" t="inlineStr">
        <is>
          <t>LANDSCAPE ENGINEER</t>
        </is>
      </c>
      <c r="E121" s="534" t="n">
        <v>0</v>
      </c>
      <c r="F121" s="534" t="inlineStr">
        <is>
          <t>-</t>
        </is>
      </c>
      <c r="G121" s="535">
        <f>SUM(E121:F121)</f>
        <v/>
      </c>
      <c r="H121" s="535" t="n">
        <v>1</v>
      </c>
      <c r="I121" s="535" t="n">
        <v>1</v>
      </c>
      <c r="K121" s="535" t="n">
        <v>0</v>
      </c>
      <c r="L121" s="535" t="inlineStr">
        <is>
          <t>-</t>
        </is>
      </c>
      <c r="M121" s="535" t="n">
        <v>0</v>
      </c>
      <c r="N121" s="535" t="n">
        <v>0</v>
      </c>
      <c r="O121" s="535" t="n">
        <v>0</v>
      </c>
      <c r="Q121" s="535" t="n">
        <v>0</v>
      </c>
      <c r="R121" s="535" t="n">
        <v>0</v>
      </c>
      <c r="S121" s="535" t="n">
        <v>0</v>
      </c>
      <c r="T121" s="535" t="n">
        <v>0</v>
      </c>
      <c r="U121" s="535" t="n">
        <v>0</v>
      </c>
      <c r="W121" s="535" t="n"/>
      <c r="X121" s="535" t="n"/>
      <c r="Y121" s="535" t="n"/>
      <c r="Z121" s="535" t="n"/>
      <c r="AA121" s="535" t="n"/>
    </row>
    <row r="122" ht="21" customHeight="1">
      <c r="A122" s="164" t="n">
        <v>3</v>
      </c>
      <c r="B122" s="165" t="inlineStr">
        <is>
          <t>EXPAT'S</t>
        </is>
      </c>
      <c r="C122" s="166" t="inlineStr">
        <is>
          <t>C</t>
        </is>
      </c>
      <c r="D122" s="165" t="inlineStr">
        <is>
          <t>IRRIGATION SUPERVISOR</t>
        </is>
      </c>
      <c r="E122" s="534" t="n">
        <v>0</v>
      </c>
      <c r="F122" s="534" t="inlineStr">
        <is>
          <t>-</t>
        </is>
      </c>
      <c r="G122" s="535">
        <f>SUM(E122:F122)</f>
        <v/>
      </c>
      <c r="H122" s="535" t="n">
        <v>1</v>
      </c>
      <c r="I122" s="535" t="n">
        <v>1</v>
      </c>
      <c r="K122" s="535" t="n">
        <v>0</v>
      </c>
      <c r="L122" s="535" t="inlineStr">
        <is>
          <t>-</t>
        </is>
      </c>
      <c r="M122" s="535" t="n">
        <v>0</v>
      </c>
      <c r="N122" s="535" t="n">
        <v>0</v>
      </c>
      <c r="O122" s="535" t="n">
        <v>0</v>
      </c>
      <c r="Q122" s="535" t="n">
        <v>0</v>
      </c>
      <c r="R122" s="535" t="n">
        <v>0</v>
      </c>
      <c r="S122" s="535" t="n">
        <v>0</v>
      </c>
      <c r="T122" s="535" t="n">
        <v>0</v>
      </c>
      <c r="U122" s="535" t="n">
        <v>0</v>
      </c>
      <c r="W122" s="535" t="n"/>
      <c r="X122" s="535" t="n"/>
      <c r="Y122" s="535" t="n"/>
      <c r="Z122" s="535" t="n"/>
      <c r="AA122" s="535" t="n"/>
    </row>
    <row r="123" ht="21" customHeight="1">
      <c r="A123" s="164" t="n">
        <v>4</v>
      </c>
      <c r="B123" s="165" t="inlineStr">
        <is>
          <t>EXPAT'S</t>
        </is>
      </c>
      <c r="C123" s="166" t="inlineStr">
        <is>
          <t>C</t>
        </is>
      </c>
      <c r="D123" s="165" t="inlineStr">
        <is>
          <t>SWIMMING POOL SUPERVISOR</t>
        </is>
      </c>
      <c r="E123" s="536" t="n">
        <v>0</v>
      </c>
      <c r="F123" s="536" t="inlineStr">
        <is>
          <t>-</t>
        </is>
      </c>
      <c r="G123" s="535" t="n"/>
      <c r="H123" s="535" t="n">
        <v>2</v>
      </c>
      <c r="I123" s="535" t="n">
        <v>2</v>
      </c>
      <c r="K123" s="537" t="n">
        <v>0</v>
      </c>
      <c r="L123" s="537" t="inlineStr">
        <is>
          <t>-</t>
        </is>
      </c>
      <c r="M123" s="535" t="n">
        <v>0</v>
      </c>
      <c r="N123" s="537" t="n">
        <v>0</v>
      </c>
      <c r="O123" s="535" t="n">
        <v>0</v>
      </c>
      <c r="Q123" s="535" t="n">
        <v>0</v>
      </c>
      <c r="R123" s="535" t="n">
        <v>0</v>
      </c>
      <c r="S123" s="535" t="n">
        <v>0</v>
      </c>
      <c r="T123" s="535" t="n">
        <v>0</v>
      </c>
      <c r="U123" s="535" t="n">
        <v>0</v>
      </c>
      <c r="W123" s="537" t="n"/>
      <c r="X123" s="537" t="n"/>
      <c r="Y123" s="537" t="n"/>
      <c r="Z123" s="537" t="n"/>
      <c r="AA123" s="535" t="n"/>
    </row>
    <row r="124" ht="21" customHeight="1">
      <c r="A124" s="164" t="n">
        <v>5</v>
      </c>
      <c r="B124" s="165" t="inlineStr">
        <is>
          <t>EXPAT'S</t>
        </is>
      </c>
      <c r="C124" s="166" t="inlineStr">
        <is>
          <t>C</t>
        </is>
      </c>
      <c r="D124" s="165" t="inlineStr">
        <is>
          <t>LIFE GUARD</t>
        </is>
      </c>
      <c r="E124" s="536" t="n">
        <v>0</v>
      </c>
      <c r="F124" s="536" t="inlineStr">
        <is>
          <t>-</t>
        </is>
      </c>
      <c r="G124" s="535" t="n"/>
      <c r="H124" s="535" t="n">
        <v>7</v>
      </c>
      <c r="I124" s="535" t="n">
        <v>7</v>
      </c>
      <c r="K124" s="537" t="n">
        <v>0</v>
      </c>
      <c r="L124" s="537" t="inlineStr">
        <is>
          <t>-</t>
        </is>
      </c>
      <c r="M124" s="535" t="n">
        <v>0</v>
      </c>
      <c r="N124" s="537" t="n">
        <v>5</v>
      </c>
      <c r="O124" s="535" t="n">
        <v>5</v>
      </c>
      <c r="Q124" s="535" t="n">
        <v>0</v>
      </c>
      <c r="R124" s="535" t="n">
        <v>0</v>
      </c>
      <c r="S124" s="535" t="n">
        <v>0</v>
      </c>
      <c r="T124" s="535" t="n">
        <v>0</v>
      </c>
      <c r="U124" s="535" t="n">
        <v>0</v>
      </c>
      <c r="W124" s="537" t="n"/>
      <c r="X124" s="537" t="n"/>
      <c r="Y124" s="537" t="n"/>
      <c r="Z124" s="537" t="n"/>
      <c r="AA124" s="535" t="n"/>
    </row>
    <row r="125" ht="21" customHeight="1">
      <c r="A125" s="164" t="n">
        <v>6</v>
      </c>
      <c r="B125" s="165" t="inlineStr">
        <is>
          <t>EXPAT'S</t>
        </is>
      </c>
      <c r="C125" s="166" t="inlineStr">
        <is>
          <t>C</t>
        </is>
      </c>
      <c r="D125" s="165" t="inlineStr">
        <is>
          <t>STORE KEEPER</t>
        </is>
      </c>
      <c r="E125" s="534" t="n">
        <v>0</v>
      </c>
      <c r="F125" s="534" t="inlineStr">
        <is>
          <t>-</t>
        </is>
      </c>
      <c r="G125" s="535">
        <f>SUM(E125:F125)</f>
        <v/>
      </c>
      <c r="H125" s="535" t="n">
        <v>1</v>
      </c>
      <c r="I125" s="535" t="n">
        <v>1</v>
      </c>
      <c r="K125" s="537" t="n">
        <v>0</v>
      </c>
      <c r="L125" s="537" t="inlineStr">
        <is>
          <t>-</t>
        </is>
      </c>
      <c r="M125" s="535" t="n">
        <v>0</v>
      </c>
      <c r="N125" s="535" t="n">
        <v>0</v>
      </c>
      <c r="O125" s="535" t="n">
        <v>0</v>
      </c>
      <c r="Q125" s="535" t="n">
        <v>0</v>
      </c>
      <c r="R125" s="535" t="n">
        <v>0</v>
      </c>
      <c r="S125" s="535" t="n">
        <v>0</v>
      </c>
      <c r="T125" s="535" t="n">
        <v>0</v>
      </c>
      <c r="U125" s="535" t="n">
        <v>0</v>
      </c>
      <c r="W125" s="535" t="n"/>
      <c r="X125" s="535" t="n"/>
      <c r="Y125" s="535" t="n"/>
      <c r="Z125" s="535" t="n"/>
      <c r="AA125" s="535" t="n"/>
    </row>
    <row r="126" ht="21" customHeight="1">
      <c r="A126" s="164" t="n">
        <v>7</v>
      </c>
      <c r="B126" s="165" t="inlineStr">
        <is>
          <t>EXPAT'S</t>
        </is>
      </c>
      <c r="C126" s="166" t="inlineStr">
        <is>
          <t>D</t>
        </is>
      </c>
      <c r="D126" s="165" t="inlineStr">
        <is>
          <t>KITCHEN / LAUNDRY TECHNICIAN</t>
        </is>
      </c>
      <c r="E126" s="534" t="n">
        <v>0</v>
      </c>
      <c r="F126" s="534" t="inlineStr">
        <is>
          <t>-</t>
        </is>
      </c>
      <c r="G126" s="535">
        <f>SUM(E126:F126)</f>
        <v/>
      </c>
      <c r="H126" s="535" t="n">
        <v>2</v>
      </c>
      <c r="I126" s="535" t="n">
        <v>2</v>
      </c>
      <c r="K126" s="537" t="n">
        <v>0</v>
      </c>
      <c r="L126" s="537" t="inlineStr">
        <is>
          <t>-</t>
        </is>
      </c>
      <c r="M126" s="535" t="n">
        <v>0</v>
      </c>
      <c r="N126" s="535" t="n">
        <v>0</v>
      </c>
      <c r="O126" s="535" t="n">
        <v>0</v>
      </c>
      <c r="Q126" s="535" t="n">
        <v>0</v>
      </c>
      <c r="R126" s="535" t="n">
        <v>0</v>
      </c>
      <c r="S126" s="535" t="n">
        <v>0</v>
      </c>
      <c r="T126" s="535" t="n">
        <v>0</v>
      </c>
      <c r="U126" s="535" t="n">
        <v>0</v>
      </c>
      <c r="W126" s="535" t="n"/>
      <c r="X126" s="535" t="n"/>
      <c r="Y126" s="535" t="n"/>
      <c r="Z126" s="535" t="n"/>
      <c r="AA126" s="535" t="n"/>
    </row>
    <row r="127" ht="21" customHeight="1">
      <c r="A127" s="164" t="n">
        <v>8</v>
      </c>
      <c r="B127" s="165" t="inlineStr">
        <is>
          <t>EXPAT'S</t>
        </is>
      </c>
      <c r="C127" s="166" t="inlineStr">
        <is>
          <t>D</t>
        </is>
      </c>
      <c r="D127" s="165" t="inlineStr">
        <is>
          <t>TAILOR</t>
        </is>
      </c>
      <c r="E127" s="534" t="n">
        <v>0</v>
      </c>
      <c r="F127" s="534" t="inlineStr">
        <is>
          <t>-</t>
        </is>
      </c>
      <c r="G127" s="535">
        <f>SUM(E127:F127)</f>
        <v/>
      </c>
      <c r="H127" s="535" t="n">
        <v>1</v>
      </c>
      <c r="I127" s="535" t="n">
        <v>1</v>
      </c>
      <c r="K127" s="537" t="n">
        <v>0</v>
      </c>
      <c r="L127" s="537" t="inlineStr">
        <is>
          <t>-</t>
        </is>
      </c>
      <c r="M127" s="535" t="n">
        <v>0</v>
      </c>
      <c r="N127" s="535" t="n">
        <v>1</v>
      </c>
      <c r="O127" s="535" t="n">
        <v>1</v>
      </c>
      <c r="Q127" s="535" t="n">
        <v>0</v>
      </c>
      <c r="R127" s="535" t="n">
        <v>0</v>
      </c>
      <c r="S127" s="535" t="n">
        <v>0</v>
      </c>
      <c r="T127" s="535" t="n">
        <v>0</v>
      </c>
      <c r="U127" s="535" t="n">
        <v>0</v>
      </c>
      <c r="W127" s="535" t="n"/>
      <c r="X127" s="535" t="n"/>
      <c r="Y127" s="535" t="n"/>
      <c r="Z127" s="535" t="n"/>
      <c r="AA127" s="535" t="n"/>
    </row>
    <row r="128" ht="21" customHeight="1">
      <c r="A128" s="164" t="n">
        <v>9</v>
      </c>
      <c r="B128" s="165" t="inlineStr">
        <is>
          <t>EXPAT'S</t>
        </is>
      </c>
      <c r="C128" s="166" t="inlineStr">
        <is>
          <t>C</t>
        </is>
      </c>
      <c r="D128" s="165" t="inlineStr">
        <is>
          <t>SUPERVISOR / DRIVER</t>
        </is>
      </c>
      <c r="E128" s="534" t="n">
        <v>0</v>
      </c>
      <c r="F128" s="534" t="inlineStr">
        <is>
          <t>-</t>
        </is>
      </c>
      <c r="G128" s="535">
        <f>SUM(E128:F128)</f>
        <v/>
      </c>
      <c r="H128" s="535" t="n">
        <v>1</v>
      </c>
      <c r="I128" s="535" t="n">
        <v>1</v>
      </c>
      <c r="K128" s="537" t="n">
        <v>0</v>
      </c>
      <c r="L128" s="537" t="inlineStr">
        <is>
          <t>-</t>
        </is>
      </c>
      <c r="M128" s="535" t="n">
        <v>0</v>
      </c>
      <c r="N128" s="535" t="n">
        <v>0</v>
      </c>
      <c r="O128" s="535" t="n">
        <v>0</v>
      </c>
      <c r="Q128" s="535" t="n">
        <v>0</v>
      </c>
      <c r="R128" s="535" t="n">
        <v>0</v>
      </c>
      <c r="S128" s="535" t="n">
        <v>0</v>
      </c>
      <c r="T128" s="535" t="n">
        <v>0</v>
      </c>
      <c r="U128" s="535" t="n">
        <v>0</v>
      </c>
      <c r="W128" s="535" t="n"/>
      <c r="X128" s="535" t="n"/>
      <c r="Y128" s="535" t="n"/>
      <c r="Z128" s="535" t="n"/>
      <c r="AA128" s="535" t="n"/>
    </row>
    <row r="129" ht="21" customHeight="1">
      <c r="A129" s="164" t="n">
        <v>10</v>
      </c>
      <c r="B129" s="165" t="inlineStr">
        <is>
          <t>EXPAT'S</t>
        </is>
      </c>
      <c r="C129" s="166" t="inlineStr">
        <is>
          <t>D</t>
        </is>
      </c>
      <c r="D129" s="165" t="inlineStr">
        <is>
          <t>ADMINISTRATOR/ RECERATION</t>
        </is>
      </c>
      <c r="E129" s="534" t="n">
        <v>0</v>
      </c>
      <c r="F129" s="534" t="inlineStr">
        <is>
          <t>-</t>
        </is>
      </c>
      <c r="G129" s="535">
        <f>SUM(E129:F129)</f>
        <v/>
      </c>
      <c r="H129" s="535" t="n">
        <v>1</v>
      </c>
      <c r="I129" s="535" t="n">
        <v>1</v>
      </c>
      <c r="K129" s="537" t="n">
        <v>0</v>
      </c>
      <c r="L129" s="537" t="inlineStr">
        <is>
          <t>-</t>
        </is>
      </c>
      <c r="M129" s="535" t="n">
        <v>0</v>
      </c>
      <c r="N129" s="535" t="n">
        <v>1</v>
      </c>
      <c r="O129" s="535" t="n">
        <v>1</v>
      </c>
      <c r="Q129" s="535" t="n">
        <v>0</v>
      </c>
      <c r="R129" s="535" t="n">
        <v>0</v>
      </c>
      <c r="S129" s="535" t="n">
        <v>0</v>
      </c>
      <c r="T129" s="535" t="n">
        <v>0</v>
      </c>
      <c r="U129" s="535" t="n">
        <v>0</v>
      </c>
      <c r="W129" s="535" t="n"/>
      <c r="X129" s="535" t="n"/>
      <c r="Y129" s="535" t="n"/>
      <c r="Z129" s="535" t="n"/>
      <c r="AA129" s="535" t="n"/>
    </row>
    <row r="130" ht="21" customHeight="1">
      <c r="A130" s="164" t="n">
        <v>11</v>
      </c>
      <c r="B130" s="165" t="inlineStr">
        <is>
          <t>EXPAT'S</t>
        </is>
      </c>
      <c r="C130" s="166" t="inlineStr">
        <is>
          <t>D</t>
        </is>
      </c>
      <c r="D130" s="165" t="inlineStr">
        <is>
          <t>GENERATOR OPERATOR</t>
        </is>
      </c>
      <c r="E130" s="534" t="n">
        <v>0</v>
      </c>
      <c r="F130" s="534" t="inlineStr">
        <is>
          <t>-</t>
        </is>
      </c>
      <c r="G130" s="535">
        <f>SUM(E130:F130)</f>
        <v/>
      </c>
      <c r="H130" s="535" t="n">
        <v>1</v>
      </c>
      <c r="I130" s="535" t="n">
        <v>1</v>
      </c>
      <c r="K130" s="537" t="n">
        <v>0</v>
      </c>
      <c r="L130" s="537" t="inlineStr">
        <is>
          <t>-</t>
        </is>
      </c>
      <c r="M130" s="535" t="n">
        <v>0</v>
      </c>
      <c r="N130" s="535" t="n">
        <v>0</v>
      </c>
      <c r="O130" s="535" t="n">
        <v>0</v>
      </c>
      <c r="Q130" s="535" t="n">
        <v>0</v>
      </c>
      <c r="R130" s="535" t="n">
        <v>0</v>
      </c>
      <c r="S130" s="535" t="n">
        <v>0</v>
      </c>
      <c r="T130" s="535" t="n">
        <v>0</v>
      </c>
      <c r="U130" s="535" t="n">
        <v>0</v>
      </c>
      <c r="W130" s="535" t="n"/>
      <c r="X130" s="535" t="n"/>
      <c r="Y130" s="535" t="n"/>
      <c r="Z130" s="535" t="n"/>
      <c r="AA130" s="535" t="n"/>
    </row>
    <row r="131" ht="21" customHeight="1">
      <c r="A131" s="164" t="n">
        <v>12</v>
      </c>
      <c r="B131" s="165" t="inlineStr">
        <is>
          <t>EXPAT'S</t>
        </is>
      </c>
      <c r="C131" s="166" t="inlineStr">
        <is>
          <t>D</t>
        </is>
      </c>
      <c r="D131" s="165" t="inlineStr">
        <is>
          <t>DIESEL GENERATOR TECHNICIAN</t>
        </is>
      </c>
      <c r="E131" s="534" t="n">
        <v>0</v>
      </c>
      <c r="F131" s="534" t="inlineStr">
        <is>
          <t>-</t>
        </is>
      </c>
      <c r="G131" s="535">
        <f>SUM(E131:F131)</f>
        <v/>
      </c>
      <c r="H131" s="535" t="n">
        <v>1</v>
      </c>
      <c r="I131" s="535" t="n">
        <v>1</v>
      </c>
      <c r="K131" s="537" t="n">
        <v>0</v>
      </c>
      <c r="L131" s="537" t="inlineStr">
        <is>
          <t>-</t>
        </is>
      </c>
      <c r="M131" s="535" t="n">
        <v>0</v>
      </c>
      <c r="N131" s="535" t="n">
        <v>0</v>
      </c>
      <c r="O131" s="535" t="n">
        <v>0</v>
      </c>
      <c r="Q131" s="535" t="n">
        <v>0</v>
      </c>
      <c r="R131" s="535" t="n">
        <v>0</v>
      </c>
      <c r="S131" s="535" t="n">
        <v>0</v>
      </c>
      <c r="T131" s="535" t="n">
        <v>0</v>
      </c>
      <c r="U131" s="535" t="n">
        <v>0</v>
      </c>
      <c r="W131" s="535" t="n"/>
      <c r="X131" s="535" t="n"/>
      <c r="Y131" s="535" t="n"/>
      <c r="Z131" s="535" t="n"/>
      <c r="AA131" s="535" t="n"/>
    </row>
    <row r="132" ht="21" customHeight="1">
      <c r="A132" s="164" t="n">
        <v>13</v>
      </c>
      <c r="B132" s="165" t="inlineStr">
        <is>
          <t>EXPAT'S</t>
        </is>
      </c>
      <c r="C132" s="166" t="inlineStr">
        <is>
          <t>C</t>
        </is>
      </c>
      <c r="D132" s="165" t="inlineStr">
        <is>
          <t>SUPERVISOR HVAC</t>
        </is>
      </c>
      <c r="E132" s="534" t="n">
        <v>0</v>
      </c>
      <c r="F132" s="534" t="inlineStr">
        <is>
          <t>-</t>
        </is>
      </c>
      <c r="G132" s="535">
        <f>SUM(E132:F132)</f>
        <v/>
      </c>
      <c r="H132" s="535" t="n">
        <v>1</v>
      </c>
      <c r="I132" s="535" t="n">
        <v>1</v>
      </c>
      <c r="K132" s="537" t="n">
        <v>0</v>
      </c>
      <c r="L132" s="537" t="inlineStr">
        <is>
          <t>-</t>
        </is>
      </c>
      <c r="M132" s="535" t="n">
        <v>0</v>
      </c>
      <c r="N132" s="535" t="n">
        <v>0</v>
      </c>
      <c r="O132" s="535" t="n">
        <v>0</v>
      </c>
      <c r="Q132" s="535" t="n">
        <v>0</v>
      </c>
      <c r="R132" s="535" t="n">
        <v>0</v>
      </c>
      <c r="S132" s="535" t="n">
        <v>0</v>
      </c>
      <c r="T132" s="535" t="n">
        <v>0</v>
      </c>
      <c r="U132" s="535" t="n">
        <v>0</v>
      </c>
      <c r="W132" s="535" t="n"/>
      <c r="X132" s="535" t="n"/>
      <c r="Y132" s="535" t="n"/>
      <c r="Z132" s="535" t="n"/>
      <c r="AA132" s="535" t="n"/>
    </row>
    <row r="133" ht="22.5" customFormat="1" customHeight="1" s="520">
      <c r="A133" s="164" t="n">
        <v>14</v>
      </c>
      <c r="B133" s="165" t="inlineStr">
        <is>
          <t>EXPAT'S</t>
        </is>
      </c>
      <c r="C133" s="166" t="inlineStr">
        <is>
          <t>C</t>
        </is>
      </c>
      <c r="D133" s="165" t="inlineStr">
        <is>
          <t>LOGISTIC COORDINATOR</t>
        </is>
      </c>
      <c r="E133" s="534" t="n">
        <v>0</v>
      </c>
      <c r="F133" s="534" t="inlineStr">
        <is>
          <t>-</t>
        </is>
      </c>
      <c r="G133" s="535">
        <f>SUM(E133:F133)</f>
        <v/>
      </c>
      <c r="H133" s="535" t="n">
        <v>0</v>
      </c>
      <c r="I133" s="535" t="n">
        <v>0</v>
      </c>
      <c r="K133" s="537" t="n">
        <v>0</v>
      </c>
      <c r="L133" s="537" t="inlineStr">
        <is>
          <t>-</t>
        </is>
      </c>
      <c r="M133" s="535" t="n">
        <v>0</v>
      </c>
      <c r="N133" s="535" t="n">
        <v>1</v>
      </c>
      <c r="O133" s="535" t="n">
        <v>1</v>
      </c>
      <c r="Q133" s="535" t="n">
        <v>0</v>
      </c>
      <c r="R133" s="535" t="n">
        <v>0</v>
      </c>
      <c r="S133" s="535" t="n">
        <v>0</v>
      </c>
      <c r="T133" s="535" t="n">
        <v>0</v>
      </c>
      <c r="U133" s="535" t="n">
        <v>0</v>
      </c>
      <c r="W133" s="535" t="n"/>
      <c r="X133" s="535" t="n"/>
      <c r="Y133" s="535" t="n"/>
      <c r="Z133" s="535" t="n"/>
      <c r="AA133" s="535" t="n"/>
    </row>
    <row r="134" ht="22.5" customFormat="1" customHeight="1" s="520">
      <c r="A134" s="164" t="n">
        <v>15</v>
      </c>
      <c r="B134" s="165" t="inlineStr">
        <is>
          <t>EXPAT'S</t>
        </is>
      </c>
      <c r="C134" s="166" t="inlineStr">
        <is>
          <t>B</t>
        </is>
      </c>
      <c r="D134" s="165" t="inlineStr">
        <is>
          <t>CIVIL ENGINEER</t>
        </is>
      </c>
      <c r="E134" s="534" t="n">
        <v>0</v>
      </c>
      <c r="F134" s="534" t="inlineStr">
        <is>
          <t>-</t>
        </is>
      </c>
      <c r="G134" s="535">
        <f>SUM(E134:F134)</f>
        <v/>
      </c>
      <c r="H134" s="535" t="n">
        <v>0</v>
      </c>
      <c r="I134" s="535" t="n">
        <v>0</v>
      </c>
      <c r="K134" s="537" t="n">
        <v>0</v>
      </c>
      <c r="L134" s="537" t="inlineStr">
        <is>
          <t>-</t>
        </is>
      </c>
      <c r="M134" s="535" t="n">
        <v>0</v>
      </c>
      <c r="N134" s="535" t="n">
        <v>1</v>
      </c>
      <c r="O134" s="535" t="n">
        <v>1</v>
      </c>
      <c r="Q134" s="535" t="n">
        <v>0</v>
      </c>
      <c r="R134" s="535" t="n">
        <v>0</v>
      </c>
      <c r="S134" s="535" t="n">
        <v>0</v>
      </c>
      <c r="T134" s="535" t="n">
        <v>0</v>
      </c>
      <c r="U134" s="535" t="n">
        <v>0</v>
      </c>
      <c r="W134" s="535" t="n"/>
      <c r="X134" s="535" t="n"/>
      <c r="Y134" s="535" t="n"/>
      <c r="Z134" s="535" t="n"/>
      <c r="AA134" s="535" t="n"/>
    </row>
    <row r="135" ht="22.5" customFormat="1" customHeight="1" s="520">
      <c r="A135" s="164" t="n">
        <v>16</v>
      </c>
      <c r="B135" s="165" t="inlineStr">
        <is>
          <t>EXPAT'S</t>
        </is>
      </c>
      <c r="C135" s="166" t="inlineStr">
        <is>
          <t>D</t>
        </is>
      </c>
      <c r="D135" s="165" t="inlineStr">
        <is>
          <t>DG TECHINICIAN</t>
        </is>
      </c>
      <c r="E135" s="534" t="n">
        <v>0</v>
      </c>
      <c r="F135" s="534" t="inlineStr">
        <is>
          <t>-</t>
        </is>
      </c>
      <c r="G135" s="535">
        <f>SUM(E135:F135)</f>
        <v/>
      </c>
      <c r="H135" s="535" t="n">
        <v>0</v>
      </c>
      <c r="I135" s="535" t="n">
        <v>0</v>
      </c>
      <c r="K135" s="537" t="n">
        <v>0</v>
      </c>
      <c r="L135" s="537" t="inlineStr">
        <is>
          <t>-</t>
        </is>
      </c>
      <c r="M135" s="535" t="n">
        <v>0</v>
      </c>
      <c r="N135" s="535" t="n">
        <v>1</v>
      </c>
      <c r="O135" s="535" t="n">
        <v>1</v>
      </c>
      <c r="Q135" s="535" t="n">
        <v>0</v>
      </c>
      <c r="R135" s="535" t="n">
        <v>0</v>
      </c>
      <c r="S135" s="535" t="n">
        <v>0</v>
      </c>
      <c r="T135" s="535" t="n">
        <v>0</v>
      </c>
      <c r="U135" s="535" t="n">
        <v>0</v>
      </c>
      <c r="W135" s="535" t="n"/>
      <c r="X135" s="535" t="n"/>
      <c r="Y135" s="535" t="n"/>
      <c r="Z135" s="535" t="n"/>
      <c r="AA135" s="535" t="n"/>
    </row>
    <row r="136" ht="22.5" customFormat="1" customHeight="1" s="520">
      <c r="A136" s="164" t="n">
        <v>17</v>
      </c>
      <c r="B136" s="165" t="inlineStr">
        <is>
          <t>EXPAT'S</t>
        </is>
      </c>
      <c r="C136" s="166" t="inlineStr">
        <is>
          <t>C</t>
        </is>
      </c>
      <c r="D136" s="165" t="inlineStr">
        <is>
          <t>LV SUPERVISOR</t>
        </is>
      </c>
      <c r="E136" s="534" t="n">
        <v>0</v>
      </c>
      <c r="F136" s="534" t="inlineStr">
        <is>
          <t>-</t>
        </is>
      </c>
      <c r="G136" s="535">
        <f>SUM(E136:F136)</f>
        <v/>
      </c>
      <c r="H136" s="535" t="n">
        <v>0</v>
      </c>
      <c r="I136" s="535" t="n">
        <v>0</v>
      </c>
      <c r="K136" s="537" t="n">
        <v>0</v>
      </c>
      <c r="L136" s="537" t="inlineStr">
        <is>
          <t>-</t>
        </is>
      </c>
      <c r="M136" s="535" t="n">
        <v>0</v>
      </c>
      <c r="N136" s="535" t="n">
        <v>1</v>
      </c>
      <c r="O136" s="535" t="n">
        <v>1</v>
      </c>
      <c r="Q136" s="535" t="n">
        <v>0</v>
      </c>
      <c r="R136" s="535" t="n">
        <v>0</v>
      </c>
      <c r="S136" s="535" t="n">
        <v>0</v>
      </c>
      <c r="T136" s="535" t="n">
        <v>0</v>
      </c>
      <c r="U136" s="535" t="n">
        <v>0</v>
      </c>
      <c r="W136" s="535" t="n"/>
      <c r="X136" s="535" t="n"/>
      <c r="Y136" s="535" t="n"/>
      <c r="Z136" s="535" t="n"/>
      <c r="AA136" s="535" t="n"/>
    </row>
    <row r="137" ht="22.5" customFormat="1" customHeight="1" s="520">
      <c r="A137" s="164" t="n">
        <v>18</v>
      </c>
      <c r="B137" s="165" t="inlineStr">
        <is>
          <t>EXPAT'S</t>
        </is>
      </c>
      <c r="C137" s="166" t="inlineStr">
        <is>
          <t>D</t>
        </is>
      </c>
      <c r="D137" s="165" t="inlineStr">
        <is>
          <t>ICT TECHNICIAN</t>
        </is>
      </c>
      <c r="E137" s="534" t="n">
        <v>0</v>
      </c>
      <c r="F137" s="534" t="inlineStr">
        <is>
          <t>-</t>
        </is>
      </c>
      <c r="G137" s="535">
        <f>SUM(E137:F137)</f>
        <v/>
      </c>
      <c r="H137" s="535" t="n">
        <v>0</v>
      </c>
      <c r="I137" s="535" t="n">
        <v>0</v>
      </c>
      <c r="K137" s="537" t="n">
        <v>0</v>
      </c>
      <c r="L137" s="537" t="inlineStr">
        <is>
          <t>-</t>
        </is>
      </c>
      <c r="M137" s="535" t="n">
        <v>0</v>
      </c>
      <c r="N137" s="535" t="n">
        <v>2</v>
      </c>
      <c r="O137" s="535" t="n">
        <v>2</v>
      </c>
      <c r="Q137" s="535" t="n">
        <v>0</v>
      </c>
      <c r="R137" s="535" t="n">
        <v>0</v>
      </c>
      <c r="S137" s="535" t="n">
        <v>0</v>
      </c>
      <c r="T137" s="535" t="n">
        <v>0</v>
      </c>
      <c r="U137" s="535" t="n">
        <v>0</v>
      </c>
      <c r="W137" s="535" t="n"/>
      <c r="X137" s="535" t="n"/>
      <c r="Y137" s="535" t="n"/>
      <c r="Z137" s="535" t="n"/>
      <c r="AA137" s="535" t="n"/>
    </row>
    <row r="138" ht="22.5" customFormat="1" customHeight="1" s="520">
      <c r="A138" s="164" t="n">
        <v>19</v>
      </c>
      <c r="B138" s="165" t="inlineStr">
        <is>
          <t>EXPAT'S</t>
        </is>
      </c>
      <c r="C138" s="166" t="inlineStr">
        <is>
          <t>D</t>
        </is>
      </c>
      <c r="D138" s="165" t="inlineStr">
        <is>
          <t>MANLIFT OPEARTOR</t>
        </is>
      </c>
      <c r="E138" s="534" t="n">
        <v>0</v>
      </c>
      <c r="F138" s="534" t="inlineStr">
        <is>
          <t>-</t>
        </is>
      </c>
      <c r="G138" s="535">
        <f>SUM(E138:F138)</f>
        <v/>
      </c>
      <c r="H138" s="535" t="n">
        <v>0</v>
      </c>
      <c r="I138" s="535" t="n">
        <v>0</v>
      </c>
      <c r="K138" s="537" t="n">
        <v>0</v>
      </c>
      <c r="L138" s="537" t="inlineStr">
        <is>
          <t>-</t>
        </is>
      </c>
      <c r="M138" s="535" t="n">
        <v>0</v>
      </c>
      <c r="N138" s="535" t="n">
        <v>1</v>
      </c>
      <c r="O138" s="535" t="n">
        <v>1</v>
      </c>
      <c r="Q138" s="535" t="n">
        <v>0</v>
      </c>
      <c r="R138" s="535" t="n">
        <v>0</v>
      </c>
      <c r="S138" s="535" t="n">
        <v>0</v>
      </c>
      <c r="T138" s="535" t="n">
        <v>0</v>
      </c>
      <c r="U138" s="535" t="n">
        <v>0</v>
      </c>
      <c r="W138" s="535" t="n"/>
      <c r="X138" s="535" t="n"/>
      <c r="Y138" s="535" t="n"/>
      <c r="Z138" s="535" t="n"/>
      <c r="AA138" s="535" t="n"/>
    </row>
    <row r="139" ht="22.5" customFormat="1" customHeight="1" s="520">
      <c r="A139" s="164" t="n">
        <v>20</v>
      </c>
      <c r="B139" s="165" t="inlineStr">
        <is>
          <t>EXPAT'S</t>
        </is>
      </c>
      <c r="C139" s="166" t="inlineStr">
        <is>
          <t>C</t>
        </is>
      </c>
      <c r="D139" s="165" t="inlineStr">
        <is>
          <t>PLUMBING SUPERVISOR</t>
        </is>
      </c>
      <c r="E139" s="534" t="n">
        <v>0</v>
      </c>
      <c r="F139" s="534" t="inlineStr">
        <is>
          <t>-</t>
        </is>
      </c>
      <c r="G139" s="535">
        <f>SUM(E139:F139)</f>
        <v/>
      </c>
      <c r="H139" s="535" t="n">
        <v>0</v>
      </c>
      <c r="I139" s="535" t="n">
        <v>0</v>
      </c>
      <c r="K139" s="537" t="n">
        <v>0</v>
      </c>
      <c r="L139" s="537" t="inlineStr">
        <is>
          <t>-</t>
        </is>
      </c>
      <c r="M139" s="535" t="n">
        <v>0</v>
      </c>
      <c r="N139" s="535" t="n">
        <v>2</v>
      </c>
      <c r="O139" s="535" t="n">
        <v>2</v>
      </c>
      <c r="Q139" s="535" t="n">
        <v>0</v>
      </c>
      <c r="R139" s="535" t="n">
        <v>0</v>
      </c>
      <c r="S139" s="535" t="n">
        <v>0</v>
      </c>
      <c r="T139" s="535" t="n">
        <v>0</v>
      </c>
      <c r="U139" s="535" t="n">
        <v>0</v>
      </c>
      <c r="W139" s="535" t="n"/>
      <c r="X139" s="535" t="n"/>
      <c r="Y139" s="535" t="n"/>
      <c r="Z139" s="535" t="n"/>
      <c r="AA139" s="535" t="n"/>
    </row>
    <row r="140" ht="22.5" customFormat="1" customHeight="1" s="520">
      <c r="A140" s="164" t="n">
        <v>21</v>
      </c>
      <c r="B140" s="165" t="inlineStr">
        <is>
          <t>EXPAT'S</t>
        </is>
      </c>
      <c r="C140" s="166" t="inlineStr">
        <is>
          <t>B</t>
        </is>
      </c>
      <c r="D140" s="165" t="inlineStr">
        <is>
          <t>FACILITY INSPECTOR</t>
        </is>
      </c>
      <c r="E140" s="534" t="n">
        <v>0</v>
      </c>
      <c r="F140" s="534" t="inlineStr">
        <is>
          <t>-</t>
        </is>
      </c>
      <c r="G140" s="535">
        <f>SUM(E140:F140)</f>
        <v/>
      </c>
      <c r="H140" s="535" t="n">
        <v>0</v>
      </c>
      <c r="I140" s="535" t="n">
        <v>0</v>
      </c>
      <c r="K140" s="537" t="n">
        <v>0</v>
      </c>
      <c r="L140" s="537" t="inlineStr">
        <is>
          <t>-</t>
        </is>
      </c>
      <c r="M140" s="535" t="n">
        <v>0</v>
      </c>
      <c r="N140" s="535" t="n">
        <v>1</v>
      </c>
      <c r="O140" s="535" t="n">
        <v>1</v>
      </c>
      <c r="Q140" s="535" t="n">
        <v>0</v>
      </c>
      <c r="R140" s="535" t="n">
        <v>0</v>
      </c>
      <c r="S140" s="535" t="n">
        <v>0</v>
      </c>
      <c r="T140" s="535" t="n">
        <v>0</v>
      </c>
      <c r="U140" s="535" t="n">
        <v>0</v>
      </c>
      <c r="W140" s="535" t="n"/>
      <c r="X140" s="535" t="n"/>
      <c r="Y140" s="535" t="n"/>
      <c r="Z140" s="535" t="n"/>
      <c r="AA140" s="535" t="n"/>
    </row>
    <row r="141" ht="22.5" customFormat="1" customHeight="1" s="520">
      <c r="A141" s="164" t="n">
        <v>22</v>
      </c>
      <c r="B141" s="165" t="inlineStr">
        <is>
          <t>EXPAT'S</t>
        </is>
      </c>
      <c r="C141" s="166" t="inlineStr">
        <is>
          <t>C</t>
        </is>
      </c>
      <c r="D141" s="165" t="inlineStr">
        <is>
          <t>HOUSEKEEPING TEAM LEADER</t>
        </is>
      </c>
      <c r="E141" s="534" t="n">
        <v>0</v>
      </c>
      <c r="F141" s="534" t="inlineStr">
        <is>
          <t>-</t>
        </is>
      </c>
      <c r="G141" s="535">
        <f>SUM(E141:F141)</f>
        <v/>
      </c>
      <c r="H141" s="535" t="n">
        <v>0</v>
      </c>
      <c r="I141" s="535" t="n">
        <v>0</v>
      </c>
      <c r="K141" s="537" t="n">
        <v>0</v>
      </c>
      <c r="L141" s="537" t="inlineStr">
        <is>
          <t>-</t>
        </is>
      </c>
      <c r="M141" s="535" t="n">
        <v>0</v>
      </c>
      <c r="N141" s="535" t="n">
        <v>0</v>
      </c>
      <c r="O141" s="535" t="n">
        <v>0</v>
      </c>
      <c r="Q141" s="535" t="n">
        <v>0</v>
      </c>
      <c r="R141" s="535" t="n">
        <v>0</v>
      </c>
      <c r="S141" s="535" t="n">
        <v>0</v>
      </c>
      <c r="T141" s="535" t="n">
        <v>2</v>
      </c>
      <c r="U141" s="535" t="n">
        <v>2</v>
      </c>
      <c r="W141" s="535" t="n"/>
      <c r="X141" s="535" t="n"/>
      <c r="Y141" s="535" t="n"/>
      <c r="Z141" s="535" t="n"/>
      <c r="AA141" s="535" t="n"/>
    </row>
    <row r="142" ht="22.5" customFormat="1" customHeight="1" s="520">
      <c r="A142" s="164" t="n">
        <v>23</v>
      </c>
      <c r="B142" s="165" t="inlineStr">
        <is>
          <t>EXPAT'S</t>
        </is>
      </c>
      <c r="C142" s="166" t="inlineStr">
        <is>
          <t>B</t>
        </is>
      </c>
      <c r="D142" s="165" t="inlineStr">
        <is>
          <t>LOGISTIC ADMIN INCHARGE</t>
        </is>
      </c>
      <c r="E142" s="534" t="n">
        <v>0</v>
      </c>
      <c r="F142" s="534" t="n">
        <v>0</v>
      </c>
      <c r="G142" s="535" t="n">
        <v>0</v>
      </c>
      <c r="H142" s="535" t="n">
        <v>0</v>
      </c>
      <c r="I142" s="535" t="n">
        <v>0</v>
      </c>
      <c r="K142" s="537" t="n">
        <v>0</v>
      </c>
      <c r="L142" s="537" t="n">
        <v>0</v>
      </c>
      <c r="M142" s="535" t="n">
        <v>0</v>
      </c>
      <c r="N142" s="535" t="n">
        <v>1</v>
      </c>
      <c r="O142" s="535" t="n">
        <v>1</v>
      </c>
      <c r="Q142" s="535" t="n">
        <v>0</v>
      </c>
      <c r="R142" s="535" t="n">
        <v>0</v>
      </c>
      <c r="S142" s="535" t="n">
        <v>0</v>
      </c>
      <c r="T142" s="535" t="n">
        <v>0</v>
      </c>
      <c r="U142" s="535" t="n">
        <v>0</v>
      </c>
      <c r="W142" s="535" t="n">
        <v>0</v>
      </c>
      <c r="X142" s="535" t="n">
        <v>0</v>
      </c>
      <c r="Y142" s="535" t="n">
        <v>0</v>
      </c>
      <c r="Z142" s="535" t="n">
        <v>0</v>
      </c>
      <c r="AA142" s="535" t="n">
        <v>0</v>
      </c>
    </row>
    <row r="143" ht="22.5" customFormat="1" customHeight="1" s="520">
      <c r="A143" s="164" t="n">
        <v>24</v>
      </c>
      <c r="B143" s="165" t="inlineStr">
        <is>
          <t>EXPAT'S</t>
        </is>
      </c>
      <c r="C143" s="166" t="inlineStr">
        <is>
          <t>C</t>
        </is>
      </c>
      <c r="D143" s="165" t="inlineStr">
        <is>
          <t>OFFICE BOY</t>
        </is>
      </c>
      <c r="E143" s="534" t="n">
        <v>0</v>
      </c>
      <c r="F143" s="534" t="n">
        <v>0</v>
      </c>
      <c r="G143" s="535" t="n">
        <v>0</v>
      </c>
      <c r="H143" s="535" t="n">
        <v>0</v>
      </c>
      <c r="I143" s="535" t="n">
        <v>0</v>
      </c>
      <c r="K143" s="537" t="n">
        <v>0</v>
      </c>
      <c r="L143" s="537" t="n">
        <v>0</v>
      </c>
      <c r="M143" s="535" t="n">
        <v>0</v>
      </c>
      <c r="N143" s="535" t="n">
        <v>1</v>
      </c>
      <c r="O143" s="535" t="n">
        <v>1</v>
      </c>
      <c r="Q143" s="535" t="n">
        <v>0</v>
      </c>
      <c r="R143" s="535" t="n">
        <v>0</v>
      </c>
      <c r="S143" s="535" t="n">
        <v>0</v>
      </c>
      <c r="T143" s="535" t="n">
        <v>0</v>
      </c>
      <c r="U143" s="535" t="n">
        <v>0</v>
      </c>
      <c r="W143" s="535" t="n">
        <v>0</v>
      </c>
      <c r="X143" s="535" t="n">
        <v>0</v>
      </c>
      <c r="Y143" s="535" t="n">
        <v>0</v>
      </c>
      <c r="Z143" s="535" t="n">
        <v>0</v>
      </c>
      <c r="AA143" s="535" t="n">
        <v>0</v>
      </c>
    </row>
    <row r="144" ht="22.5" customHeight="1">
      <c r="A144" s="164" t="n">
        <v>22</v>
      </c>
      <c r="B144" s="165" t="inlineStr">
        <is>
          <t>EXPAT'S</t>
        </is>
      </c>
      <c r="C144" s="166" t="inlineStr">
        <is>
          <t>B</t>
        </is>
      </c>
      <c r="D144" s="165" t="inlineStr">
        <is>
          <t>PEST CONTROLL SPECILIST</t>
        </is>
      </c>
      <c r="E144" s="534" t="n">
        <v>0</v>
      </c>
      <c r="F144" s="534" t="inlineStr">
        <is>
          <t>-</t>
        </is>
      </c>
      <c r="G144" s="535">
        <f>SUM(E144:F144)</f>
        <v/>
      </c>
      <c r="H144" s="535" t="n">
        <v>0</v>
      </c>
      <c r="I144" s="535" t="n">
        <v>0</v>
      </c>
      <c r="K144" s="537" t="n">
        <v>0</v>
      </c>
      <c r="L144" s="537" t="inlineStr">
        <is>
          <t>-</t>
        </is>
      </c>
      <c r="M144" s="535" t="n">
        <v>0</v>
      </c>
      <c r="N144" s="535" t="n">
        <v>1</v>
      </c>
      <c r="O144" s="535" t="n">
        <v>1</v>
      </c>
      <c r="Q144" s="535" t="n"/>
      <c r="R144" s="535" t="n"/>
      <c r="S144" s="535" t="n"/>
      <c r="T144" s="535" t="n"/>
      <c r="U144" s="535" t="n"/>
      <c r="W144" s="535" t="n"/>
      <c r="X144" s="535" t="n"/>
      <c r="Y144" s="535" t="n"/>
      <c r="Z144" s="535" t="n"/>
      <c r="AA144" s="535" t="n"/>
    </row>
    <row r="145" ht="22.5" customHeight="1">
      <c r="A145" s="172" t="n"/>
      <c r="B145" s="172" t="n"/>
      <c r="C145" s="173" t="n"/>
      <c r="D145" s="172" t="n"/>
      <c r="E145" s="541">
        <f>+E4+E12+E17+E20+E25+E27+E31+E49+E53+E56+E59+E61+E67+E74+E78+E100+E102+E113</f>
        <v/>
      </c>
      <c r="F145" s="541">
        <f>+F4+F12+F17+F20+F25+F27+F31+F49+F53+F56+F59+F61+F67+F74+F78+F100+F102+F113</f>
        <v/>
      </c>
      <c r="G145" s="541">
        <f>SUM(G113,G102,G100,G78,G74,G67,G61,G59,G56,G53,G49,G31,G27,G25,G20,G17,G12,G4)</f>
        <v/>
      </c>
      <c r="H145" s="541">
        <f>SUM(H119,H113,H102,H100,H78,H74,H67,H61,H59,H56,H53,H49,H31,H27,H25,H20,H17,H12,H4)</f>
        <v/>
      </c>
      <c r="I145" s="541">
        <f>SUM(G145:H145)</f>
        <v/>
      </c>
      <c r="K145" s="542" t="n">
        <v>402</v>
      </c>
      <c r="L145" s="542" t="n">
        <v>90</v>
      </c>
      <c r="M145" s="542">
        <f>SUM(M113,M102,M100,M78,M74,M67,M61,M59,M56,M53,M49,M31,M27,M25,M20,M17,M12,M4)</f>
        <v/>
      </c>
      <c r="N145" s="542">
        <f>SUM(N119,N113,N102,N100,N78,N74,N67,N61,N59,N56,N53,N49,N31,N27,N25,N20,N17,N12,N4)</f>
        <v/>
      </c>
      <c r="O145" s="542">
        <f>SUM(M145:N145)</f>
        <v/>
      </c>
      <c r="Q145" s="542">
        <f>SUM(Q113,Q102,Q100,Q78,Q74,Q67,Q61,Q56,Q59,Q53,Q49,Q31,Q27,Q25,Q20,Q17,Q12,Q4)</f>
        <v/>
      </c>
      <c r="R145" s="542">
        <f>SUM(R113,R102,R100,R78,R74,R67,R61,R59,R56,R53,R49,R31,R27,R25,R20,R17,R12,R4)</f>
        <v/>
      </c>
      <c r="S145" s="542">
        <f>SUM(S113,S102,S100,S78,S74,S67,S61,S56,S53,S49,S31,S27,S25,S20,S17,S12,S4)</f>
        <v/>
      </c>
      <c r="T145" s="542">
        <f>SUM(T113,T102,T100,T78,T74,T67,T61,T59,T56,T53,T49,T31,T27,T25,T20,T17,T12,T4)</f>
        <v/>
      </c>
      <c r="U145" s="542">
        <f>SUM(U4,U12,U17,U20,U25,U27,U31,U49,U53,U56,U59,U61,U67,U74,U78,U100,U102,U113)</f>
        <v/>
      </c>
      <c r="W145" s="542">
        <f>SUM(W113,W102,W100,W78,W74,W67,W61,W59,W56,W53,W49,W31,W27,W25,W20,W17,W12)</f>
        <v/>
      </c>
      <c r="X145" s="542">
        <f>SUM(X113,X102,X100,X78,X74,X67,X61,X59,X56,X53,X49,X31,X27,X25,X20,X17,X12,X4)</f>
        <v/>
      </c>
      <c r="Y145" s="542">
        <f>SUM(Y113,Y102,Y100,Y78,Y74,Y67,Y61,Y59,Y56,Y53,Y49,Y31,Y27,Y25,Y20,Y17,Y12,Y4)</f>
        <v/>
      </c>
      <c r="Z145" s="542">
        <f>SUM(Z113,Z102,Z100,Z78,Z74,Z67,Z61,Z59,Z56,Z53,Z49,Z31,Z27,Z25,Z20,Z17,Z12,Z4)</f>
        <v/>
      </c>
      <c r="AA145" s="542">
        <f>SUM(AA113,AA102,AA100,AA78,AA74,AA67,AA61,AA59,AA56,AA53,AA49,AA31,AA27,AA25,AA20,AA17,AA12,AA4)</f>
        <v/>
      </c>
    </row>
    <row r="146" ht="15" customFormat="1" customHeight="1" s="520">
      <c r="C146" s="543" t="n"/>
      <c r="K146" s="544" t="n"/>
      <c r="Q146" s="544" t="n"/>
      <c r="W146" s="544" t="n"/>
    </row>
    <row r="147" ht="15" customFormat="1" customHeight="1" s="520">
      <c r="C147" s="543" t="n"/>
      <c r="K147" s="544" t="n"/>
      <c r="Q147" s="544" t="n"/>
      <c r="W147" s="544" t="n"/>
    </row>
    <row r="148" ht="15" customFormat="1" customHeight="1" s="520">
      <c r="C148" s="543" t="n"/>
      <c r="K148" s="544" t="n"/>
      <c r="Q148" s="544" t="n"/>
      <c r="W148" s="544" t="n"/>
    </row>
    <row r="149" ht="15" customFormat="1" customHeight="1" s="520">
      <c r="C149" s="543" t="n"/>
      <c r="K149" s="544" t="n"/>
      <c r="Q149" s="544" t="n"/>
      <c r="W149" s="544" t="n"/>
    </row>
    <row r="150" ht="15" customFormat="1" customHeight="1" s="520">
      <c r="C150" s="543" t="n"/>
      <c r="K150" s="544" t="n"/>
      <c r="Q150" s="544" t="n"/>
      <c r="W150" s="544" t="n"/>
    </row>
    <row r="151" ht="15" customFormat="1" customHeight="1" s="520">
      <c r="C151" s="543" t="n"/>
      <c r="K151" s="544" t="n"/>
      <c r="Q151" s="544" t="n"/>
      <c r="W151" s="544" t="n"/>
    </row>
    <row r="152" ht="15" customFormat="1" customHeight="1" s="520">
      <c r="C152" s="543" t="n"/>
      <c r="K152" s="544" t="n"/>
      <c r="Q152" s="544" t="n"/>
      <c r="W152" s="544" t="n"/>
    </row>
    <row r="153" ht="15" customFormat="1" customHeight="1" s="520">
      <c r="C153" s="543" t="n"/>
      <c r="K153" s="544" t="n"/>
      <c r="Q153" s="544" t="n"/>
      <c r="W153" s="544" t="n"/>
    </row>
    <row r="154" ht="15" customFormat="1" customHeight="1" s="520">
      <c r="C154" s="543" t="n"/>
      <c r="K154" s="544" t="n"/>
      <c r="Q154" s="544" t="n"/>
      <c r="W154" s="544" t="n"/>
    </row>
    <row r="155" ht="15" customFormat="1" customHeight="1" s="520">
      <c r="C155" s="543" t="n"/>
      <c r="K155" s="544" t="n"/>
      <c r="Q155" s="544" t="n"/>
      <c r="W155" s="544" t="n"/>
    </row>
    <row r="156" ht="15" customFormat="1" customHeight="1" s="520">
      <c r="C156" s="543" t="n"/>
      <c r="K156" s="544" t="n"/>
      <c r="Q156" s="544" t="n"/>
      <c r="W156" s="544" t="n"/>
    </row>
    <row r="158" ht="15" customFormat="1" customHeight="1" s="520">
      <c r="C158" s="543" t="n"/>
      <c r="K158" s="544" t="n"/>
      <c r="Q158" s="544" t="n"/>
      <c r="W158" s="544" t="n"/>
    </row>
    <row r="159" ht="15" customFormat="1" customHeight="1" s="520">
      <c r="C159" s="543" t="n"/>
      <c r="K159" s="544" t="n"/>
      <c r="Q159" s="544" t="n"/>
      <c r="W159" s="544" t="n"/>
    </row>
    <row r="160" ht="15" customFormat="1" customHeight="1" s="520">
      <c r="C160" s="543" t="n"/>
      <c r="K160" s="544" t="n"/>
      <c r="Q160" s="544" t="n"/>
      <c r="W160" s="544" t="n"/>
    </row>
    <row r="161" ht="15" customFormat="1" customHeight="1" s="520">
      <c r="C161" s="543" t="n"/>
      <c r="K161" s="544" t="n"/>
      <c r="Q161" s="544" t="n"/>
      <c r="W161" s="544" t="n"/>
    </row>
    <row r="162" ht="15" customFormat="1" customHeight="1" s="520">
      <c r="C162" s="543" t="n"/>
      <c r="K162" s="544" t="n"/>
      <c r="Q162" s="544" t="n"/>
      <c r="W162" s="544" t="n"/>
    </row>
    <row r="163" ht="15" customFormat="1" customHeight="1" s="520">
      <c r="C163" s="543" t="n"/>
      <c r="K163" s="544" t="n"/>
      <c r="Q163" s="544" t="n"/>
      <c r="W163" s="544" t="n"/>
    </row>
    <row r="164" ht="15" customFormat="1" customHeight="1" s="520">
      <c r="C164" s="543" t="n"/>
      <c r="K164" s="544" t="n"/>
      <c r="Q164" s="544" t="n"/>
      <c r="W164" s="544" t="n"/>
    </row>
    <row r="165" ht="15" customFormat="1" customHeight="1" s="520">
      <c r="C165" s="543" t="n"/>
      <c r="K165" s="544" t="n"/>
      <c r="Q165" s="544" t="n"/>
      <c r="W165" s="544" t="n"/>
    </row>
    <row r="166" ht="15" customFormat="1" customHeight="1" s="520">
      <c r="C166" s="543" t="n"/>
      <c r="K166" s="544" t="n"/>
      <c r="Q166" s="544" t="n"/>
      <c r="W166" s="544" t="n"/>
    </row>
    <row r="167" ht="15" customFormat="1" customHeight="1" s="520">
      <c r="C167" s="543" t="n"/>
      <c r="K167" s="544" t="n"/>
      <c r="Q167" s="544" t="n"/>
      <c r="W167" s="544" t="n"/>
    </row>
    <row r="168" ht="15" customFormat="1" customHeight="1" s="520">
      <c r="C168" s="543" t="n"/>
      <c r="K168" s="544" t="n"/>
      <c r="Q168" s="544" t="n"/>
      <c r="W168" s="544"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6" text="SAUDI'S">
      <formula>NOT(ISERROR(SEARCH("SAUDI'S",B4)))</formula>
    </cfRule>
  </conditionalFormatting>
  <conditionalFormatting sqref="B120:C144">
    <cfRule type="containsText" priority="2" operator="containsText" dxfId="6" text="SAUDI'S">
      <formula>NOT(ISERROR(SEARCH("SAUDI'S",B120)))</formula>
    </cfRule>
  </conditionalFormatting>
  <conditionalFormatting sqref="D114:D118">
    <cfRule type="expression" priority="33" dxfId="3">
      <formula>IF(#REF!="CLOSED",1)</formula>
    </cfRule>
    <cfRule type="expression" priority="34" dxfId="2">
      <formula>IF(#REF!="OPEN",1)</formula>
    </cfRule>
    <cfRule type="expression" priority="35" dxfId="3">
      <formula>IF(#REF!="CLOSED",1)</formula>
    </cfRule>
    <cfRule type="expression" priority="36" dxfId="2">
      <formula>IF(#REF!="OPEN",1)</formula>
    </cfRule>
  </conditionalFormatting>
  <conditionalFormatting sqref="D120:D121">
    <cfRule type="expression" priority="13" dxfId="3">
      <formula>IF(#REF!="CLOSED",1)</formula>
    </cfRule>
    <cfRule type="expression" priority="14" dxfId="2">
      <formula>IF(#REF!="OPEN",1)</formula>
    </cfRule>
    <cfRule type="expression" priority="15" dxfId="3">
      <formula>IF(#REF!="CLOSED",1)</formula>
    </cfRule>
    <cfRule type="expression" priority="16" dxfId="2">
      <formula>IF(#REF!="OPEN",1)</formula>
    </cfRule>
  </conditionalFormatting>
  <dataValidations count="1">
    <dataValidation sqref="B5:B26 B28:B30 B32:B48 B50:B52 B54:B101 B103:B112 B114:B118 B120:B144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4"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4"/>
  <sheetViews>
    <sheetView zoomScale="80" zoomScaleNormal="80" workbookViewId="0">
      <pane ySplit="3" topLeftCell="A568" activePane="bottomLeft" state="frozen"/>
      <selection pane="bottomLeft" activeCell="K587" sqref="K587"/>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40" t="inlineStr">
        <is>
          <t>Relationship Officer</t>
        </is>
      </c>
      <c r="B4" s="429" t="n">
        <v>1</v>
      </c>
      <c r="C4" s="426">
        <f>COUNTIF(E4,"&lt;&gt;")</f>
        <v/>
      </c>
      <c r="D4" s="427">
        <f>C4-B4</f>
        <v/>
      </c>
      <c r="E4" s="18" t="inlineStr">
        <is>
          <t>Dhaiallah Turki Alrooqi</t>
        </is>
      </c>
      <c r="F4" s="446" t="inlineStr">
        <is>
          <t>Site Management</t>
        </is>
      </c>
      <c r="G4" s="445" t="n">
        <v>703568</v>
      </c>
      <c r="H4" s="445" t="n">
        <v>1092777745</v>
      </c>
      <c r="I4" s="446" t="inlineStr">
        <is>
          <t>Approved</t>
        </is>
      </c>
      <c r="J4" s="551" t="n">
        <v>45594</v>
      </c>
      <c r="K4" s="18" t="inlineStr">
        <is>
          <t>FMCO</t>
        </is>
      </c>
      <c r="L4" s="18" t="inlineStr">
        <is>
          <t>-</t>
        </is>
      </c>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24" t="inlineStr">
        <is>
          <t>Facility Manager</t>
        </is>
      </c>
      <c r="B5" s="425" t="n">
        <v>1</v>
      </c>
      <c r="C5" s="426">
        <f>COUNTIF(E5,"&lt;&gt;")</f>
        <v/>
      </c>
      <c r="D5" s="427">
        <f>C5-B5</f>
        <v/>
      </c>
      <c r="E5" s="31" t="n"/>
      <c r="F5" s="446" t="inlineStr">
        <is>
          <t>Site Management</t>
        </is>
      </c>
      <c r="G5" s="32" t="inlineStr">
        <is>
          <t>-</t>
        </is>
      </c>
      <c r="H5" s="445" t="inlineStr">
        <is>
          <t>-</t>
        </is>
      </c>
      <c r="I5" s="446" t="inlineStr">
        <is>
          <t>Vacant</t>
        </is>
      </c>
      <c r="J5" s="552" t="n"/>
      <c r="K5" s="18" t="inlineStr">
        <is>
          <t>-</t>
        </is>
      </c>
      <c r="L5" s="34" t="inlineStr">
        <is>
          <t>-</t>
        </is>
      </c>
      <c r="N5" s="35" t="inlineStr">
        <is>
          <t>Approved</t>
        </is>
      </c>
      <c r="O5" s="420">
        <f>COUNTIF(I4:I519,"approved")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24" t="inlineStr">
        <is>
          <t>Hard Service Manager</t>
        </is>
      </c>
      <c r="B6" s="425" t="n">
        <v>1</v>
      </c>
      <c r="C6" s="426">
        <f>COUNTIF(E6,"&lt;&gt;")</f>
        <v/>
      </c>
      <c r="D6" s="427">
        <f>C6-B6</f>
        <v/>
      </c>
      <c r="E6" s="36" t="inlineStr">
        <is>
          <t>Aman Hassan Khan</t>
        </is>
      </c>
      <c r="F6" s="446" t="inlineStr">
        <is>
          <t>Site Management</t>
        </is>
      </c>
      <c r="G6" s="32" t="inlineStr">
        <is>
          <t>-</t>
        </is>
      </c>
      <c r="H6" s="445" t="n">
        <v>2639647003</v>
      </c>
      <c r="I6" s="446" t="inlineStr">
        <is>
          <t>Approved</t>
        </is>
      </c>
      <c r="J6" s="552" t="n"/>
      <c r="K6" s="18" t="inlineStr">
        <is>
          <t>-</t>
        </is>
      </c>
      <c r="L6" s="37" t="inlineStr">
        <is>
          <t>-</t>
        </is>
      </c>
      <c r="N6" s="38" t="inlineStr">
        <is>
          <t>Rejected</t>
        </is>
      </c>
      <c r="O6" s="421">
        <f>COUNTIF(I4:I335,"Rejected")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24" t="inlineStr">
        <is>
          <t>Soft Service Manager</t>
        </is>
      </c>
      <c r="B7" s="425" t="n">
        <v>1</v>
      </c>
      <c r="C7" s="426">
        <f>COUNTIF(E7,"&lt;&gt;")</f>
        <v/>
      </c>
      <c r="D7" s="427">
        <f>C7-B7</f>
        <v/>
      </c>
      <c r="E7" s="36" t="inlineStr">
        <is>
          <t>Mohammad Fawaaz</t>
        </is>
      </c>
      <c r="F7" s="446" t="inlineStr">
        <is>
          <t>Site Management</t>
        </is>
      </c>
      <c r="G7" s="445" t="n">
        <v>700503</v>
      </c>
      <c r="H7" s="445" t="n">
        <v>2509595225</v>
      </c>
      <c r="I7" s="446" t="inlineStr">
        <is>
          <t>Approved</t>
        </is>
      </c>
      <c r="J7" s="551" t="n">
        <v>45936</v>
      </c>
      <c r="K7" s="18" t="inlineStr">
        <is>
          <t>FMCO</t>
        </is>
      </c>
      <c r="L7" s="34" t="n"/>
      <c r="N7" s="39" t="inlineStr">
        <is>
          <t xml:space="preserve">Vacant Positions </t>
        </is>
      </c>
      <c r="O7" s="422">
        <f>COUNTIF(I4:I156,"Vacant")+COUNTIF(I161:I519,"Vacant")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28" t="inlineStr">
        <is>
          <t>Office/HR Manager</t>
        </is>
      </c>
      <c r="B8" s="429" t="n">
        <v>1</v>
      </c>
      <c r="C8" s="429">
        <f>COUNTIF(E8,"&lt;&gt;")</f>
        <v/>
      </c>
      <c r="D8" s="430">
        <f>C8-B8</f>
        <v/>
      </c>
      <c r="E8" s="36" t="inlineStr">
        <is>
          <t>Ibrahim Khalid Alzabari</t>
        </is>
      </c>
      <c r="F8" s="42" t="inlineStr">
        <is>
          <t>Site Management</t>
        </is>
      </c>
      <c r="G8" s="43" t="n">
        <v>704105</v>
      </c>
      <c r="H8" s="32" t="n">
        <v>1090531748</v>
      </c>
      <c r="I8" s="446" t="inlineStr">
        <is>
          <t>Approved</t>
        </is>
      </c>
      <c r="J8" s="551" t="n">
        <v>46054</v>
      </c>
      <c r="K8" s="44" t="inlineStr">
        <is>
          <t>FMCO</t>
        </is>
      </c>
      <c r="L8" s="37" t="n"/>
      <c r="N8" s="35" t="inlineStr">
        <is>
          <t>Total Workforce on Site</t>
        </is>
      </c>
      <c r="O8" s="420">
        <f>COUNTIF(E4:E30,"&lt;&gt;")+COUNTIF(E35:E156,"&lt;&gt;")+COUNTIF(E161:E397,"&lt;&gt;")+COUNTIF(E402:E410,"&lt;&gt;")+COUNTIF(E415:E424,"&lt;&gt;")+COUNTIF(E429:E513,"&lt;&gt;")+COUNTIF(E518:E519,"&lt;&gt;")</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28" t="inlineStr">
        <is>
          <t>Hard Service Coordinator</t>
        </is>
      </c>
      <c r="B9" s="429" t="n">
        <v>1</v>
      </c>
      <c r="C9" s="429">
        <f>COUNTIF(E9,"&lt;&gt;")</f>
        <v/>
      </c>
      <c r="D9" s="430">
        <f>C9-B9</f>
        <v/>
      </c>
      <c r="E9" s="18" t="inlineStr">
        <is>
          <t>AFTAB ALAM</t>
        </is>
      </c>
      <c r="F9" s="446" t="inlineStr">
        <is>
          <t>Site Management</t>
        </is>
      </c>
      <c r="G9" s="446" t="n">
        <v>704409</v>
      </c>
      <c r="H9" s="45" t="n">
        <v>2641660333</v>
      </c>
      <c r="I9" s="446" t="inlineStr">
        <is>
          <t>Approved</t>
        </is>
      </c>
      <c r="J9" s="551" t="n">
        <v>46236</v>
      </c>
      <c r="K9" s="18" t="inlineStr">
        <is>
          <t>FMCO</t>
        </is>
      </c>
      <c r="L9" s="37"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24" t="inlineStr">
        <is>
          <t>Soft Service Coordinator</t>
        </is>
      </c>
      <c r="B10" s="425" t="n">
        <v>1</v>
      </c>
      <c r="C10" s="426">
        <f>COUNTIF(E10,"&lt;&gt;")</f>
        <v/>
      </c>
      <c r="D10" s="427">
        <f>C10-B10</f>
        <v/>
      </c>
      <c r="E10" s="46" t="inlineStr">
        <is>
          <t>Zahid Mehmood Mukhtar AR Rasool</t>
        </is>
      </c>
      <c r="F10" s="446" t="inlineStr">
        <is>
          <t>Site Management</t>
        </is>
      </c>
      <c r="G10" s="445" t="n">
        <v>701802</v>
      </c>
      <c r="H10" s="445" t="n">
        <v>2537616134</v>
      </c>
      <c r="I10" s="446" t="inlineStr">
        <is>
          <t>Approved</t>
        </is>
      </c>
      <c r="J10" s="551" t="n">
        <v>46148</v>
      </c>
      <c r="K10" s="18" t="inlineStr">
        <is>
          <t>FMCO</t>
        </is>
      </c>
      <c r="L10" s="34" t="n"/>
      <c r="N10" s="47" t="inlineStr">
        <is>
          <t>Back-End/Additional Staff</t>
        </is>
      </c>
      <c r="O10" s="423">
        <f>COUNTIF(E524:E630,"&lt;&gt;")</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24" t="inlineStr">
        <is>
          <t>Project Admin</t>
        </is>
      </c>
      <c r="B11" s="425" t="n">
        <v>2</v>
      </c>
      <c r="C11" s="426">
        <f>COUNTIF(E11:E12,"&lt;&gt;")</f>
        <v/>
      </c>
      <c r="D11" s="427">
        <f>C11-B11</f>
        <v/>
      </c>
      <c r="E11" s="46" t="inlineStr">
        <is>
          <t>Hamsappa Kanjiramkunnath</t>
        </is>
      </c>
      <c r="F11" s="446" t="inlineStr">
        <is>
          <t>Site Management</t>
        </is>
      </c>
      <c r="G11" s="445" t="n">
        <v>702232</v>
      </c>
      <c r="H11" s="445" t="n">
        <v>2546258522</v>
      </c>
      <c r="I11" s="446" t="inlineStr">
        <is>
          <t>Approved</t>
        </is>
      </c>
      <c r="J11" s="551" t="n">
        <v>46157</v>
      </c>
      <c r="K11" s="18" t="inlineStr">
        <is>
          <t>FMCO</t>
        </is>
      </c>
      <c r="L11" s="37"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553" t="n"/>
      <c r="B12" s="553" t="n"/>
      <c r="C12" s="553" t="n"/>
      <c r="D12" s="553" t="n"/>
      <c r="E12" s="48" t="inlineStr">
        <is>
          <t>Md Shadab Khan</t>
        </is>
      </c>
      <c r="F12" s="446" t="inlineStr">
        <is>
          <t>Site Management</t>
        </is>
      </c>
      <c r="G12" s="445" t="inlineStr">
        <is>
          <t>EM-0003026</t>
        </is>
      </c>
      <c r="H12" s="445" t="n">
        <v>2617052853</v>
      </c>
      <c r="I12" s="446" t="inlineStr">
        <is>
          <t>Approved</t>
        </is>
      </c>
      <c r="J12" s="551" t="n">
        <v>45954</v>
      </c>
      <c r="K12" s="18" t="inlineStr">
        <is>
          <t>AL-FALAK VISA</t>
        </is>
      </c>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24" t="inlineStr">
        <is>
          <t>IMAM for Mosque</t>
        </is>
      </c>
      <c r="B13" s="425" t="n">
        <v>2</v>
      </c>
      <c r="C13" s="426">
        <f>COUNTIF(E13:E14,"&lt;&gt;")</f>
        <v/>
      </c>
      <c r="D13" s="427">
        <f>C13-B13</f>
        <v/>
      </c>
      <c r="E13" s="46" t="inlineStr">
        <is>
          <t>Mohammed Wajahatullah Khan</t>
        </is>
      </c>
      <c r="F13" s="446" t="inlineStr">
        <is>
          <t>Site Management</t>
        </is>
      </c>
      <c r="G13" s="445" t="n">
        <v>703211</v>
      </c>
      <c r="H13" s="445" t="n">
        <v>2578280436</v>
      </c>
      <c r="I13" s="446" t="inlineStr">
        <is>
          <t>Approved</t>
        </is>
      </c>
      <c r="J13" s="551" t="n">
        <v>45702</v>
      </c>
      <c r="K13" s="18" t="inlineStr">
        <is>
          <t>FMCO</t>
        </is>
      </c>
      <c r="L13" s="34"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553" t="n"/>
      <c r="B14" s="553" t="n"/>
      <c r="C14" s="553" t="n"/>
      <c r="D14" s="553" t="n"/>
      <c r="E14" s="46" t="inlineStr">
        <is>
          <t>Mohsen Fahhad Alqahtani</t>
        </is>
      </c>
      <c r="F14" s="446" t="inlineStr">
        <is>
          <t>Site Management</t>
        </is>
      </c>
      <c r="G14" s="445" t="n">
        <v>703619</v>
      </c>
      <c r="H14" s="445" t="n">
        <v>1003053392</v>
      </c>
      <c r="I14" s="446" t="inlineStr">
        <is>
          <t>Approved</t>
        </is>
      </c>
      <c r="J14" s="551" t="n">
        <v>45620</v>
      </c>
      <c r="K14" s="18" t="inlineStr">
        <is>
          <t>FMCO</t>
        </is>
      </c>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24" t="inlineStr">
        <is>
          <t>Warehouse In-Charge</t>
        </is>
      </c>
      <c r="B15" s="425" t="n">
        <v>1</v>
      </c>
      <c r="C15" s="426">
        <f>COUNTIF(E15,"&lt;&gt;")</f>
        <v/>
      </c>
      <c r="D15" s="427">
        <f>C15-B15</f>
        <v/>
      </c>
      <c r="E15" s="46" t="inlineStr">
        <is>
          <t xml:space="preserve">Imran Shareef </t>
        </is>
      </c>
      <c r="F15" s="446" t="inlineStr">
        <is>
          <t>Site Management</t>
        </is>
      </c>
      <c r="G15" s="445" t="n">
        <v>700730</v>
      </c>
      <c r="H15" s="445" t="n">
        <v>2519688010</v>
      </c>
      <c r="I15" s="446" t="inlineStr">
        <is>
          <t>Approved</t>
        </is>
      </c>
      <c r="J15" s="551" t="n">
        <v>46075</v>
      </c>
      <c r="K15" s="18" t="inlineStr">
        <is>
          <t>FMCO</t>
        </is>
      </c>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24" t="inlineStr">
        <is>
          <t>CAFM/Helpdesk Operator</t>
        </is>
      </c>
      <c r="B16" s="425" t="n">
        <v>3</v>
      </c>
      <c r="C16" s="426">
        <f>COUNTIF(E16:E18,"&lt;&gt;")</f>
        <v/>
      </c>
      <c r="D16" s="427">
        <f>C16-B16</f>
        <v/>
      </c>
      <c r="E16" s="46" t="inlineStr">
        <is>
          <t>Laurence Nino Conoza Caniban</t>
        </is>
      </c>
      <c r="F16" s="446" t="inlineStr">
        <is>
          <t>Site Management</t>
        </is>
      </c>
      <c r="G16" s="445" t="n">
        <v>704182</v>
      </c>
      <c r="H16" s="445" t="n">
        <v>2460720101</v>
      </c>
      <c r="I16" s="446" t="inlineStr">
        <is>
          <t>Approved</t>
        </is>
      </c>
      <c r="J16" s="551" t="n">
        <v>46116</v>
      </c>
      <c r="K16" s="18" t="inlineStr">
        <is>
          <t>FMCO</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48" t="inlineStr">
        <is>
          <t>Mohammad Wasim Khan</t>
        </is>
      </c>
      <c r="F17" s="446" t="inlineStr">
        <is>
          <t>Site Management</t>
        </is>
      </c>
      <c r="G17" s="445" t="inlineStr">
        <is>
          <t>C00716</t>
        </is>
      </c>
      <c r="H17" s="445" t="n">
        <v>2582388803</v>
      </c>
      <c r="I17" s="446" t="inlineStr">
        <is>
          <t>Approved</t>
        </is>
      </c>
      <c r="J17" s="551" t="n">
        <v>45586</v>
      </c>
      <c r="K17" s="18" t="inlineStr">
        <is>
          <t>MEHAN VISA</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3" t="n"/>
      <c r="B18" s="553" t="n"/>
      <c r="C18" s="553" t="n"/>
      <c r="D18" s="553" t="n"/>
      <c r="E18" s="48" t="inlineStr">
        <is>
          <t>ALMUTAIRI LAYALI AWWADH B</t>
        </is>
      </c>
      <c r="F18" s="446" t="inlineStr">
        <is>
          <t>Site Management</t>
        </is>
      </c>
      <c r="G18" s="445" t="n">
        <v>704424</v>
      </c>
      <c r="H18" s="445" t="inlineStr">
        <is>
          <t>1091247682</t>
        </is>
      </c>
      <c r="I18" s="446" t="inlineStr">
        <is>
          <t>Approved</t>
        </is>
      </c>
      <c r="J18" s="551" t="inlineStr">
        <is>
          <t>2026-07-19 00:00:00</t>
        </is>
      </c>
      <c r="K18" s="18" t="inlineStr">
        <is>
          <t>FMCO</t>
        </is>
      </c>
      <c r="L18" s="34"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4" t="inlineStr">
        <is>
          <t>Accomodation In-Charge</t>
        </is>
      </c>
      <c r="B19" s="425" t="n">
        <v>1</v>
      </c>
      <c r="C19" s="426">
        <f>COUNTIF(E19,"&lt;&gt;")</f>
        <v/>
      </c>
      <c r="D19" s="427">
        <f>C19-B19</f>
        <v/>
      </c>
      <c r="E19" s="48" t="inlineStr">
        <is>
          <t>Faik Fakir</t>
        </is>
      </c>
      <c r="F19" s="446" t="inlineStr">
        <is>
          <t>Site Management</t>
        </is>
      </c>
      <c r="G19" s="445" t="n">
        <v>704070</v>
      </c>
      <c r="H19" s="445" t="n">
        <v>2519913814</v>
      </c>
      <c r="I19" s="446" t="inlineStr">
        <is>
          <t>Approved</t>
        </is>
      </c>
      <c r="J19" s="551" t="n">
        <v>46004</v>
      </c>
      <c r="K19" s="18" t="inlineStr">
        <is>
          <t>FMCO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4" t="inlineStr">
        <is>
          <t>I'D Issuing In-Charge</t>
        </is>
      </c>
      <c r="B20" s="425" t="n">
        <v>2</v>
      </c>
      <c r="C20" s="426">
        <f>COUNTIF(E20:E21,"&lt;&gt;")</f>
        <v/>
      </c>
      <c r="D20" s="427">
        <f>C20-B20</f>
        <v/>
      </c>
      <c r="E20" s="48" t="inlineStr">
        <is>
          <t>MD. Noor Alam</t>
        </is>
      </c>
      <c r="F20" s="446" t="inlineStr">
        <is>
          <t>Site Management</t>
        </is>
      </c>
      <c r="G20" s="445" t="inlineStr">
        <is>
          <t>EM-0002489</t>
        </is>
      </c>
      <c r="H20" s="445" t="n">
        <v>2582875890</v>
      </c>
      <c r="I20" s="446" t="inlineStr">
        <is>
          <t>Approved</t>
        </is>
      </c>
      <c r="J20" s="551" t="n">
        <v>45586</v>
      </c>
      <c r="K20" s="18" t="inlineStr">
        <is>
          <t>AL-FALAK VISA</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3" t="n"/>
      <c r="B21" s="553" t="n"/>
      <c r="C21" s="553" t="n"/>
      <c r="D21" s="553" t="n"/>
      <c r="E21" s="48" t="inlineStr">
        <is>
          <t>Mohammad Arif Mohammad Haque</t>
        </is>
      </c>
      <c r="F21" s="446" t="inlineStr">
        <is>
          <t>Site Management</t>
        </is>
      </c>
      <c r="G21" s="445" t="n">
        <v>701122</v>
      </c>
      <c r="H21" s="445" t="n">
        <v>2482105208</v>
      </c>
      <c r="I21" s="446" t="inlineStr">
        <is>
          <t>Approved</t>
        </is>
      </c>
      <c r="J21" s="551" t="n">
        <v>45932</v>
      </c>
      <c r="K21" s="18" t="inlineStr">
        <is>
          <t>FMCO</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4" t="inlineStr">
        <is>
          <t>Accomodation Admin</t>
        </is>
      </c>
      <c r="B22" s="425" t="n">
        <v>4</v>
      </c>
      <c r="C22" s="426">
        <f>COUNTIF(E22:E25,"&lt;&gt;")</f>
        <v/>
      </c>
      <c r="D22" s="427">
        <f>C22-B22</f>
        <v/>
      </c>
      <c r="E22" s="48" t="inlineStr">
        <is>
          <t>Mahammadu Imriyas</t>
        </is>
      </c>
      <c r="F22" s="446" t="inlineStr">
        <is>
          <t>Site Management</t>
        </is>
      </c>
      <c r="G22" s="445" t="inlineStr">
        <is>
          <t>-</t>
        </is>
      </c>
      <c r="H22" s="445" t="n">
        <v>2522862370</v>
      </c>
      <c r="I22" s="446" t="inlineStr">
        <is>
          <t>Approved</t>
        </is>
      </c>
      <c r="J22" s="551" t="n">
        <v>46168</v>
      </c>
      <c r="K22" s="18" t="inlineStr">
        <is>
          <t>AL-FALAK VISA</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48" t="n"/>
      <c r="F23" s="446" t="inlineStr">
        <is>
          <t>Site Management</t>
        </is>
      </c>
      <c r="G23" s="445" t="n"/>
      <c r="H23" s="445" t="n"/>
      <c r="I23" s="446" t="inlineStr">
        <is>
          <t>Vacant</t>
        </is>
      </c>
      <c r="J23" s="551" t="n"/>
      <c r="K23" s="18" t="n"/>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4" t="n"/>
      <c r="B24" s="554" t="n"/>
      <c r="C24" s="554" t="n"/>
      <c r="D24" s="554" t="n"/>
      <c r="E24" s="46" t="inlineStr">
        <is>
          <t>Sheik Najbudeen</t>
        </is>
      </c>
      <c r="F24" s="446" t="inlineStr">
        <is>
          <t>Site Management</t>
        </is>
      </c>
      <c r="G24" s="445" t="inlineStr">
        <is>
          <t>-</t>
        </is>
      </c>
      <c r="H24" s="445" t="n">
        <v>2582156854</v>
      </c>
      <c r="I24" s="446" t="inlineStr">
        <is>
          <t>Additional</t>
        </is>
      </c>
      <c r="J24" s="551" t="n">
        <v>46220</v>
      </c>
      <c r="K24" s="18" t="inlineStr">
        <is>
          <t>-</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553" t="n"/>
      <c r="B25" s="553" t="n"/>
      <c r="C25" s="553" t="n"/>
      <c r="D25" s="553" t="n"/>
      <c r="E25" s="48" t="inlineStr">
        <is>
          <t>Mohammed Shahadat</t>
        </is>
      </c>
      <c r="F25" s="446" t="inlineStr">
        <is>
          <t>Site Management</t>
        </is>
      </c>
      <c r="G25" s="445" t="inlineStr">
        <is>
          <t>-</t>
        </is>
      </c>
      <c r="H25" s="445" t="n">
        <v>2627936251</v>
      </c>
      <c r="I25" s="446" t="inlineStr">
        <is>
          <t>Approved</t>
        </is>
      </c>
      <c r="J25" s="551" t="n">
        <v>46208</v>
      </c>
      <c r="K25" s="18" t="inlineStr">
        <is>
          <t>MEHAN VISA</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4" t="inlineStr">
        <is>
          <t>Key Custodian</t>
        </is>
      </c>
      <c r="B26" s="425" t="n">
        <v>2</v>
      </c>
      <c r="C26" s="426">
        <f>COUNTIF(E26:E27,"&lt;&gt;")</f>
        <v/>
      </c>
      <c r="D26" s="427">
        <f>C26-B26</f>
        <v/>
      </c>
      <c r="E26" s="48" t="inlineStr">
        <is>
          <t>Syadehtesham Askari</t>
        </is>
      </c>
      <c r="F26" s="446" t="inlineStr">
        <is>
          <t>Site Management</t>
        </is>
      </c>
      <c r="G26" s="445" t="inlineStr">
        <is>
          <t>C00767</t>
        </is>
      </c>
      <c r="H26" s="445" t="n">
        <v>2583742446</v>
      </c>
      <c r="I26" s="446" t="inlineStr">
        <is>
          <t>Approved</t>
        </is>
      </c>
      <c r="J26" s="551" t="n">
        <v>45586</v>
      </c>
      <c r="K26" s="18" t="inlineStr">
        <is>
          <t>MEHAN VISA</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48" t="inlineStr">
        <is>
          <t>Abdul Kalam</t>
        </is>
      </c>
      <c r="F27" s="446" t="inlineStr">
        <is>
          <t>Site Management</t>
        </is>
      </c>
      <c r="G27" s="445" t="inlineStr">
        <is>
          <t>GV105</t>
        </is>
      </c>
      <c r="H27" s="445" t="n">
        <v>2584233916</v>
      </c>
      <c r="I27" s="446" t="inlineStr">
        <is>
          <t>Approved</t>
        </is>
      </c>
      <c r="J27" s="551" t="n">
        <v>45585</v>
      </c>
      <c r="K27" s="18" t="inlineStr">
        <is>
          <t>Gulf Vision ( RENTAL)</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24" t="inlineStr">
        <is>
          <t>Document Controller</t>
        </is>
      </c>
      <c r="B28" s="425" t="n">
        <v>2</v>
      </c>
      <c r="C28" s="426">
        <f>COUNTIF(E28:E28,"&lt;&gt;")</f>
        <v/>
      </c>
      <c r="D28" s="427">
        <f>C28-B28</f>
        <v/>
      </c>
      <c r="E28" s="48" t="inlineStr">
        <is>
          <t>Yawar Abbas Naqvi</t>
        </is>
      </c>
      <c r="F28" s="446" t="inlineStr">
        <is>
          <t>Site Management</t>
        </is>
      </c>
      <c r="G28" s="445" t="inlineStr">
        <is>
          <t>C00779</t>
        </is>
      </c>
      <c r="H28" s="445" t="n">
        <v>2584343483</v>
      </c>
      <c r="I28" s="446" t="inlineStr">
        <is>
          <t>Approved</t>
        </is>
      </c>
      <c r="J28" s="551" t="n">
        <v>45586</v>
      </c>
      <c r="K28" s="18" t="inlineStr">
        <is>
          <t>MEHAN VISA</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48" t="inlineStr">
        <is>
          <t>VASANTHAN RAJAVENI DHANASEKARAN</t>
        </is>
      </c>
      <c r="F29" s="446" t="inlineStr">
        <is>
          <t>Site Management</t>
        </is>
      </c>
      <c r="G29" s="49" t="inlineStr">
        <is>
          <t>-</t>
        </is>
      </c>
      <c r="H29" s="445" t="inlineStr">
        <is>
          <t>T6995483-</t>
        </is>
      </c>
      <c r="I29" s="446" t="inlineStr">
        <is>
          <t>Approved</t>
        </is>
      </c>
      <c r="J29" s="551" t="n">
        <v>46268</v>
      </c>
      <c r="K29" s="51" t="inlineStr">
        <is>
          <t>-</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24" t="inlineStr">
        <is>
          <t>Procuement Officer</t>
        </is>
      </c>
      <c r="B30" s="425" t="n">
        <v>1</v>
      </c>
      <c r="C30" s="426">
        <f>COUNTIF(E30,"&lt;&gt;")</f>
        <v/>
      </c>
      <c r="D30" s="427">
        <f>C30-B30</f>
        <v/>
      </c>
      <c r="E30" s="48" t="inlineStr">
        <is>
          <t>Anand Shankar Awasthi</t>
        </is>
      </c>
      <c r="F30" s="446" t="inlineStr">
        <is>
          <t>Site Management</t>
        </is>
      </c>
      <c r="G30" s="445" t="inlineStr">
        <is>
          <t>C00544</t>
        </is>
      </c>
      <c r="H30" s="445" t="n">
        <v>2580204234</v>
      </c>
      <c r="I30" s="446" t="inlineStr">
        <is>
          <t>Approved</t>
        </is>
      </c>
      <c r="J30" s="551" t="n">
        <v>45736</v>
      </c>
      <c r="K30" s="18" t="inlineStr">
        <is>
          <t>MEHAN VISA</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52" t="inlineStr">
        <is>
          <t>Total Team 
Site Management</t>
        </is>
      </c>
      <c r="B31" s="53" t="inlineStr">
        <is>
          <t>Contractual Requirement</t>
        </is>
      </c>
      <c r="C31" s="53" t="inlineStr">
        <is>
          <t>Approved</t>
        </is>
      </c>
      <c r="D31" s="53" t="inlineStr">
        <is>
          <t>Vacant Position</t>
        </is>
      </c>
      <c r="E31" s="54" t="inlineStr">
        <is>
          <t>Rejected</t>
        </is>
      </c>
      <c r="F31" s="55" t="inlineStr">
        <is>
          <t xml:space="preserve">Additional </t>
        </is>
      </c>
      <c r="G31" s="55" t="inlineStr">
        <is>
          <t>ID</t>
        </is>
      </c>
      <c r="H31" s="55" t="inlineStr">
        <is>
          <t>Iqama</t>
        </is>
      </c>
      <c r="I31" s="56" t="n"/>
      <c r="J31" s="555" t="n"/>
      <c r="K31" s="58" t="n"/>
      <c r="L31" s="54"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3">
        <f>COUNTIF(E5:E30,"&lt;&gt;")</f>
        <v/>
      </c>
      <c r="B32" s="53">
        <f>SUM(B4:B30)</f>
        <v/>
      </c>
      <c r="C32" s="53">
        <f>COUNTIF(I4:I30,"Approved")</f>
        <v/>
      </c>
      <c r="D32" s="53">
        <f>COUNTIF(I4:I30,"Vacant")</f>
        <v/>
      </c>
      <c r="E32" s="59">
        <f>COUNTIF(I4:I30,"Rejected")</f>
        <v/>
      </c>
      <c r="F32" s="55">
        <f>COUNTIF(I4:I30,"Additional ")</f>
        <v/>
      </c>
      <c r="G32" s="55">
        <f>COUNTIF(G4:G30,"-")</f>
        <v/>
      </c>
      <c r="H32" s="55">
        <f>COUNTIF(H4:H30,"-")</f>
        <v/>
      </c>
      <c r="I32" s="60" t="n"/>
      <c r="J32" s="556" t="n"/>
      <c r="K32" s="62" t="n"/>
      <c r="L32" s="60"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63" t="n"/>
      <c r="B33" s="64" t="n"/>
      <c r="C33" s="64" t="n"/>
      <c r="D33" s="64" t="n"/>
      <c r="E33" s="65" t="n"/>
      <c r="F33" s="65" t="n"/>
      <c r="G33" s="65" t="n"/>
      <c r="H33" s="65" t="n"/>
      <c r="I33" s="65" t="n"/>
      <c r="J33" s="557" t="n"/>
      <c r="K33" s="67" t="n"/>
      <c r="L33" s="6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11" t="inlineStr">
        <is>
          <t>Position</t>
        </is>
      </c>
      <c r="B34" s="12" t="inlineStr">
        <is>
          <t>Contractual Requirement</t>
        </is>
      </c>
      <c r="C34" s="12" t="inlineStr">
        <is>
          <t>Current Availability</t>
        </is>
      </c>
      <c r="D34" s="12" t="inlineStr">
        <is>
          <t>Vacant Position</t>
        </is>
      </c>
      <c r="E34" s="13" t="inlineStr">
        <is>
          <t>Emaployee Name</t>
        </is>
      </c>
      <c r="F34" s="14" t="inlineStr">
        <is>
          <t>Decipline</t>
        </is>
      </c>
      <c r="G34" s="15" t="inlineStr">
        <is>
          <t>ID</t>
        </is>
      </c>
      <c r="H34" s="14" t="inlineStr">
        <is>
          <t>Shift</t>
        </is>
      </c>
      <c r="I34" s="15" t="inlineStr">
        <is>
          <t>Status</t>
        </is>
      </c>
      <c r="J34" s="558" t="n"/>
      <c r="K34" s="70" t="n"/>
      <c r="L34" s="17"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4" t="inlineStr">
        <is>
          <t>Facility Engineer</t>
        </is>
      </c>
      <c r="B35" s="425" t="n">
        <v>2</v>
      </c>
      <c r="C35" s="426">
        <f>COUNTIF(E35:E36,"&lt;&gt;")</f>
        <v/>
      </c>
      <c r="D35" s="427">
        <f>C35-B35</f>
        <v/>
      </c>
      <c r="E35" s="36" t="inlineStr">
        <is>
          <t>Abdullah Sifat Ullah</t>
        </is>
      </c>
      <c r="F35" s="42" t="inlineStr">
        <is>
          <t>Hard Service</t>
        </is>
      </c>
      <c r="G35" s="43" t="n">
        <v>704252</v>
      </c>
      <c r="H35" s="32" t="n">
        <v>2530865985</v>
      </c>
      <c r="I35" s="446" t="inlineStr">
        <is>
          <t>Approved</t>
        </is>
      </c>
      <c r="J35" s="551" t="n">
        <v>46149</v>
      </c>
      <c r="K35" s="44" t="inlineStr">
        <is>
          <t>FMCO</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3" t="n"/>
      <c r="B36" s="553" t="n"/>
      <c r="C36" s="553" t="n"/>
      <c r="D36" s="553" t="n"/>
      <c r="E36" s="48" t="inlineStr">
        <is>
          <t>Mir Asif Ali</t>
        </is>
      </c>
      <c r="F36" s="71" t="inlineStr">
        <is>
          <t>Hard Service</t>
        </is>
      </c>
      <c r="G36" s="445" t="n">
        <v>700554</v>
      </c>
      <c r="H36" s="445" t="n">
        <v>2335527848</v>
      </c>
      <c r="I36" s="446" t="inlineStr">
        <is>
          <t>Approved</t>
        </is>
      </c>
      <c r="J36" s="551" t="n">
        <v>45839</v>
      </c>
      <c r="K36" s="18" t="inlineStr">
        <is>
          <t>FMCO</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4" t="inlineStr">
        <is>
          <t>Supervisor MEP</t>
        </is>
      </c>
      <c r="B37" s="425" t="n">
        <v>4</v>
      </c>
      <c r="C37" s="426">
        <f>COUNTIF(E37:E40,"&lt;&gt;")</f>
        <v/>
      </c>
      <c r="D37" s="427">
        <f>C37-B37</f>
        <v/>
      </c>
      <c r="E37" s="48" t="inlineStr">
        <is>
          <t>Danish Ahmed</t>
        </is>
      </c>
      <c r="F37" s="71" t="inlineStr">
        <is>
          <t>Hard Service</t>
        </is>
      </c>
      <c r="G37" s="445" t="n">
        <v>700517</v>
      </c>
      <c r="H37" s="445" t="n">
        <v>2510865138</v>
      </c>
      <c r="I37" s="446" t="inlineStr">
        <is>
          <t>Approved</t>
        </is>
      </c>
      <c r="J37" s="551" t="n">
        <v>45592</v>
      </c>
      <c r="K37" s="18" t="inlineStr">
        <is>
          <t>FMCO</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6" t="inlineStr">
        <is>
          <t>Mohammad Sabuz</t>
        </is>
      </c>
      <c r="F38" s="42" t="inlineStr">
        <is>
          <t>Hard Service</t>
        </is>
      </c>
      <c r="G38" s="43" t="n">
        <v>702132</v>
      </c>
      <c r="H38" s="32" t="n">
        <v>2397519402</v>
      </c>
      <c r="I38" s="446" t="inlineStr">
        <is>
          <t>Approved</t>
        </is>
      </c>
      <c r="J38" s="551" t="n">
        <v>46015</v>
      </c>
      <c r="K38" s="44" t="inlineStr">
        <is>
          <t>FMCO VISA</t>
        </is>
      </c>
      <c r="L38" s="37"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48" t="inlineStr">
        <is>
          <t>Habeeb Mohammed Mizauddin</t>
        </is>
      </c>
      <c r="F39" s="71" t="inlineStr">
        <is>
          <t>Hard Service</t>
        </is>
      </c>
      <c r="G39" s="445" t="n">
        <v>700633</v>
      </c>
      <c r="H39" s="445" t="n">
        <v>2516599863</v>
      </c>
      <c r="I39" s="446" t="inlineStr">
        <is>
          <t>Approved</t>
        </is>
      </c>
      <c r="J39" s="551" t="n">
        <v>45902</v>
      </c>
      <c r="K39" s="18" t="inlineStr">
        <is>
          <t>FMCO</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3" t="n"/>
      <c r="B40" s="553" t="n"/>
      <c r="C40" s="553" t="n"/>
      <c r="D40" s="553" t="n"/>
      <c r="E40" s="48" t="inlineStr">
        <is>
          <t>Mohammad Tarique Anwar</t>
        </is>
      </c>
      <c r="F40" s="71" t="inlineStr">
        <is>
          <t>Hard Service</t>
        </is>
      </c>
      <c r="G40" s="445" t="inlineStr">
        <is>
          <t>EM-0001932</t>
        </is>
      </c>
      <c r="H40" s="445" t="n">
        <v>2583856360</v>
      </c>
      <c r="I40" s="446" t="inlineStr">
        <is>
          <t>Approved</t>
        </is>
      </c>
      <c r="J40" s="551" t="n">
        <v>45600</v>
      </c>
      <c r="K40" s="18" t="inlineStr">
        <is>
          <t>AL-FALAK VISA</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4" t="inlineStr">
        <is>
          <t>Utility/GEN</t>
        </is>
      </c>
      <c r="B41" s="425" t="n">
        <v>4</v>
      </c>
      <c r="C41" s="426">
        <f>COUNTIF(E41:E44,"&lt;&gt;")</f>
        <v/>
      </c>
      <c r="D41" s="427">
        <f>C41-B41</f>
        <v/>
      </c>
      <c r="E41" s="48" t="inlineStr">
        <is>
          <t xml:space="preserve">Satendra Yadav </t>
        </is>
      </c>
      <c r="F41" s="71" t="inlineStr">
        <is>
          <t>Hard Service</t>
        </is>
      </c>
      <c r="G41" s="445" t="inlineStr">
        <is>
          <t>EM-0003046</t>
        </is>
      </c>
      <c r="H41" s="445" t="n">
        <v>2618552034</v>
      </c>
      <c r="I41" s="446" t="inlineStr">
        <is>
          <t>Approved</t>
        </is>
      </c>
      <c r="J41" s="551" t="n">
        <v>46087</v>
      </c>
      <c r="K41" s="18" t="inlineStr">
        <is>
          <t>AL-FALAK VISA</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72" t="inlineStr">
        <is>
          <t>Sugriv Yadav</t>
        </is>
      </c>
      <c r="F42" s="71" t="inlineStr">
        <is>
          <t>Hard Service</t>
        </is>
      </c>
      <c r="G42" s="32" t="inlineStr">
        <is>
          <t>-</t>
        </is>
      </c>
      <c r="H42" s="445" t="n">
        <v>2519689133</v>
      </c>
      <c r="I42" s="446" t="inlineStr">
        <is>
          <t>Approved</t>
        </is>
      </c>
      <c r="J42" s="551" t="n">
        <v>46087</v>
      </c>
      <c r="K42" s="18" t="inlineStr">
        <is>
          <t>FMCO</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73" t="n"/>
      <c r="F43" s="45" t="inlineStr">
        <is>
          <t>Hard Service</t>
        </is>
      </c>
      <c r="G43" s="446" t="inlineStr">
        <is>
          <t>-</t>
        </is>
      </c>
      <c r="H43" s="45" t="inlineStr">
        <is>
          <t>-</t>
        </is>
      </c>
      <c r="I43" s="446" t="inlineStr">
        <is>
          <t>Vacant</t>
        </is>
      </c>
      <c r="J43" s="552" t="n"/>
      <c r="K43" s="18" t="inlineStr">
        <is>
          <t>-</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73" t="n"/>
      <c r="F44" s="45" t="inlineStr">
        <is>
          <t>Hard Service</t>
        </is>
      </c>
      <c r="G44" s="446" t="inlineStr">
        <is>
          <t>-</t>
        </is>
      </c>
      <c r="H44" s="45" t="inlineStr">
        <is>
          <t>-</t>
        </is>
      </c>
      <c r="I44" s="446" t="inlineStr">
        <is>
          <t>Vacant</t>
        </is>
      </c>
      <c r="J44" s="552" t="n"/>
      <c r="K44" s="18" t="inlineStr">
        <is>
          <t>-</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24" t="inlineStr">
        <is>
          <t>Multi-Skilled Technician</t>
        </is>
      </c>
      <c r="B45" s="425" t="n">
        <v>4</v>
      </c>
      <c r="C45" s="426">
        <f>COUNTIF(E45:E48,"&lt;&gt;")</f>
        <v/>
      </c>
      <c r="D45" s="427">
        <f>C45-B45</f>
        <v/>
      </c>
      <c r="E45" s="48" t="inlineStr">
        <is>
          <t>MD. Saiyadain Alam</t>
        </is>
      </c>
      <c r="F45" s="71" t="inlineStr">
        <is>
          <t>Hard Service</t>
        </is>
      </c>
      <c r="G45" s="445" t="inlineStr">
        <is>
          <t>EM-0001934</t>
        </is>
      </c>
      <c r="H45" s="445" t="n">
        <v>2583857301</v>
      </c>
      <c r="I45" s="446" t="inlineStr">
        <is>
          <t>Approved</t>
        </is>
      </c>
      <c r="J45" s="551" t="n">
        <v>45600</v>
      </c>
      <c r="K45" s="18" t="inlineStr">
        <is>
          <t>AL-FALAK VISA</t>
        </is>
      </c>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inlineStr">
        <is>
          <t>Danish Qamar</t>
        </is>
      </c>
      <c r="F46" s="71" t="inlineStr">
        <is>
          <t>Hard Service</t>
        </is>
      </c>
      <c r="G46" s="445" t="inlineStr">
        <is>
          <t>EM-0001948</t>
        </is>
      </c>
      <c r="H46" s="445" t="n">
        <v>2585395508</v>
      </c>
      <c r="I46" s="446" t="inlineStr">
        <is>
          <t>Approved</t>
        </is>
      </c>
      <c r="J46" s="551" t="n">
        <v>45586</v>
      </c>
      <c r="K46" s="18" t="inlineStr">
        <is>
          <t>AL-FALAK VISA</t>
        </is>
      </c>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4" t="n"/>
      <c r="B47" s="554" t="n"/>
      <c r="C47" s="554" t="n"/>
      <c r="D47" s="554" t="n"/>
      <c r="E47" s="48" t="inlineStr">
        <is>
          <t>Waqar Younus Nisar Khan</t>
        </is>
      </c>
      <c r="F47" s="71" t="inlineStr">
        <is>
          <t>Hard Service</t>
        </is>
      </c>
      <c r="G47" s="445" t="n">
        <v>701764</v>
      </c>
      <c r="H47" s="445" t="n">
        <v>2537299311</v>
      </c>
      <c r="I47" s="446" t="inlineStr">
        <is>
          <t>Approved</t>
        </is>
      </c>
      <c r="J47" s="551" t="n">
        <v>46087</v>
      </c>
      <c r="K47" s="18" t="inlineStr">
        <is>
          <t>FMCO</t>
        </is>
      </c>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553" t="n"/>
      <c r="B48" s="553" t="n"/>
      <c r="C48" s="553" t="n"/>
      <c r="D48" s="553" t="n"/>
      <c r="E48" s="26" t="n"/>
      <c r="F48" s="71" t="inlineStr">
        <is>
          <t>Hard Service</t>
        </is>
      </c>
      <c r="G48" s="446" t="inlineStr">
        <is>
          <t>-</t>
        </is>
      </c>
      <c r="H48" s="45" t="inlineStr">
        <is>
          <t>-</t>
        </is>
      </c>
      <c r="I48" s="446" t="inlineStr">
        <is>
          <t>Vacant</t>
        </is>
      </c>
      <c r="J48" s="552" t="n"/>
      <c r="K48" s="18" t="inlineStr">
        <is>
          <t>-</t>
        </is>
      </c>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24" t="inlineStr">
        <is>
          <t>Mechanical Technician</t>
        </is>
      </c>
      <c r="B49" s="425" t="n">
        <v>4</v>
      </c>
      <c r="C49" s="426">
        <f>COUNTIF(E49:E52,"&lt;&gt;")</f>
        <v/>
      </c>
      <c r="D49" s="427">
        <f>C49-B49</f>
        <v/>
      </c>
      <c r="E49" s="48" t="inlineStr">
        <is>
          <t>Ali Hassan</t>
        </is>
      </c>
      <c r="F49" s="71" t="inlineStr">
        <is>
          <t>Hard Service</t>
        </is>
      </c>
      <c r="G49" s="445" t="inlineStr">
        <is>
          <t>C00673</t>
        </is>
      </c>
      <c r="H49" s="445" t="n">
        <v>2582096554</v>
      </c>
      <c r="I49" s="446" t="inlineStr">
        <is>
          <t>Approved</t>
        </is>
      </c>
      <c r="J49" s="551" t="n">
        <v>45600</v>
      </c>
      <c r="K49" s="18" t="inlineStr">
        <is>
          <t>MEHAN VISA</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554" t="n"/>
      <c r="B50" s="554" t="n"/>
      <c r="C50" s="554" t="n"/>
      <c r="D50" s="554" t="n"/>
      <c r="E50" s="48" t="inlineStr">
        <is>
          <t>Abdullah Tallat Mehmood</t>
        </is>
      </c>
      <c r="F50" s="71" t="inlineStr">
        <is>
          <t>Hard Service</t>
        </is>
      </c>
      <c r="G50" s="445" t="inlineStr">
        <is>
          <t>C00464</t>
        </is>
      </c>
      <c r="H50" s="445" t="n">
        <v>2581349426</v>
      </c>
      <c r="I50" s="446" t="inlineStr">
        <is>
          <t>Approved</t>
        </is>
      </c>
      <c r="J50" s="551" t="n">
        <v>45663</v>
      </c>
      <c r="K50" s="18" t="inlineStr">
        <is>
          <t>MEHAN VISA</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554" t="n"/>
      <c r="B51" s="554" t="n"/>
      <c r="C51" s="554" t="n"/>
      <c r="D51" s="554" t="n"/>
      <c r="F51" s="71" t="inlineStr">
        <is>
          <t>Hard Service</t>
        </is>
      </c>
      <c r="G51" s="49" t="inlineStr">
        <is>
          <t>-</t>
        </is>
      </c>
      <c r="H51" s="49" t="inlineStr">
        <is>
          <t>-</t>
        </is>
      </c>
      <c r="I51" s="446" t="inlineStr">
        <is>
          <t>Vacant</t>
        </is>
      </c>
      <c r="J51" s="559" t="n"/>
      <c r="K51" s="51" t="inlineStr">
        <is>
          <t>-</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553" t="n"/>
      <c r="B52" s="553" t="n"/>
      <c r="C52" s="553" t="n"/>
      <c r="D52" s="553" t="n"/>
      <c r="E52" s="73" t="n"/>
      <c r="F52" s="71" t="inlineStr">
        <is>
          <t>Hard Service</t>
        </is>
      </c>
      <c r="G52" s="446" t="inlineStr">
        <is>
          <t>-</t>
        </is>
      </c>
      <c r="H52" s="45" t="inlineStr">
        <is>
          <t>-</t>
        </is>
      </c>
      <c r="I52" s="446" t="inlineStr">
        <is>
          <t>Vacant</t>
        </is>
      </c>
      <c r="J52" s="552" t="n"/>
      <c r="K52" s="18" t="inlineStr">
        <is>
          <t>-</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24" t="inlineStr">
        <is>
          <t>AC Technician</t>
        </is>
      </c>
      <c r="B53" s="425" t="n">
        <v>16</v>
      </c>
      <c r="C53" s="426">
        <f>COUNTIF(E53:E68,"&lt;&gt;")</f>
        <v/>
      </c>
      <c r="D53" s="427">
        <f>C53-B53</f>
        <v/>
      </c>
      <c r="E53" s="48" t="inlineStr">
        <is>
          <t>Ali Hasan</t>
        </is>
      </c>
      <c r="F53" s="71" t="inlineStr">
        <is>
          <t>Hard Service</t>
        </is>
      </c>
      <c r="G53" s="445" t="n">
        <v>703447</v>
      </c>
      <c r="H53" s="445" t="n">
        <v>2581992878</v>
      </c>
      <c r="I53" s="446" t="inlineStr">
        <is>
          <t>Approved</t>
        </is>
      </c>
      <c r="J53" s="551" t="n">
        <v>45586</v>
      </c>
      <c r="K53" s="18" t="inlineStr">
        <is>
          <t>FMCO</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554" t="n"/>
      <c r="B54" s="554" t="n"/>
      <c r="C54" s="554" t="n"/>
      <c r="D54" s="554" t="n"/>
      <c r="E54" s="48" t="inlineStr">
        <is>
          <t>MR. Asif Ashfaq</t>
        </is>
      </c>
      <c r="F54" s="71" t="inlineStr">
        <is>
          <t>Hard Service</t>
        </is>
      </c>
      <c r="G54" s="445" t="n">
        <v>703495</v>
      </c>
      <c r="H54" s="445" t="n">
        <v>2585448638</v>
      </c>
      <c r="I54" s="446" t="inlineStr">
        <is>
          <t>Approved</t>
        </is>
      </c>
      <c r="J54" s="551" t="n">
        <v>45586</v>
      </c>
      <c r="K54" s="18"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554" t="n"/>
      <c r="B55" s="554" t="n"/>
      <c r="C55" s="554" t="n"/>
      <c r="D55" s="554" t="n"/>
      <c r="E55" s="48" t="inlineStr">
        <is>
          <t>Muhammad Abdullah</t>
        </is>
      </c>
      <c r="F55" s="71" t="inlineStr">
        <is>
          <t>Hard Service</t>
        </is>
      </c>
      <c r="G55" s="445" t="n">
        <v>703496</v>
      </c>
      <c r="H55" s="445" t="n">
        <v>2585448729</v>
      </c>
      <c r="I55" s="446" t="inlineStr">
        <is>
          <t>Approved</t>
        </is>
      </c>
      <c r="J55" s="551" t="n">
        <v>45586</v>
      </c>
      <c r="K55" s="18" t="inlineStr">
        <is>
          <t>FMCO</t>
        </is>
      </c>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48" t="inlineStr">
        <is>
          <t>Dilip Kori</t>
        </is>
      </c>
      <c r="F56" s="71" t="inlineStr">
        <is>
          <t>Hard Service</t>
        </is>
      </c>
      <c r="G56" s="445" t="inlineStr">
        <is>
          <t>C00305</t>
        </is>
      </c>
      <c r="H56" s="445" t="n">
        <v>2580190433</v>
      </c>
      <c r="I56" s="446" t="inlineStr">
        <is>
          <t>Approved</t>
        </is>
      </c>
      <c r="J56" s="551" t="n">
        <v>45491</v>
      </c>
      <c r="K56" s="18" t="inlineStr">
        <is>
          <t>MEHAN VISA</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4" t="n"/>
      <c r="B57" s="554" t="n"/>
      <c r="C57" s="554" t="n"/>
      <c r="D57" s="554" t="n"/>
      <c r="E57" s="48" t="inlineStr">
        <is>
          <t>Usman Ramzan</t>
        </is>
      </c>
      <c r="F57" s="71" t="inlineStr">
        <is>
          <t>Hard Service</t>
        </is>
      </c>
      <c r="G57" s="445" t="inlineStr">
        <is>
          <t>C00698</t>
        </is>
      </c>
      <c r="H57" s="445" t="n">
        <v>2582098345</v>
      </c>
      <c r="I57" s="446" t="inlineStr">
        <is>
          <t>Approved</t>
        </is>
      </c>
      <c r="J57" s="551" t="n">
        <v>45586</v>
      </c>
      <c r="K57" s="18" t="inlineStr">
        <is>
          <t>MEHAN VISA</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554" t="n"/>
      <c r="B58" s="554" t="n"/>
      <c r="C58" s="554" t="n"/>
      <c r="D58" s="554" t="n"/>
      <c r="E58" s="48" t="inlineStr">
        <is>
          <t>MEHEDI HASAN NAYEM</t>
        </is>
      </c>
      <c r="F58" s="71" t="inlineStr">
        <is>
          <t>Hard Service</t>
        </is>
      </c>
      <c r="G58" s="445" t="inlineStr">
        <is>
          <t>-</t>
        </is>
      </c>
      <c r="H58" s="445" t="inlineStr">
        <is>
          <t>-</t>
        </is>
      </c>
      <c r="I58" s="446" t="inlineStr">
        <is>
          <t>Approved</t>
        </is>
      </c>
      <c r="J58" s="551" t="inlineStr">
        <is>
          <t>26/8/2026</t>
        </is>
      </c>
      <c r="K58" s="18" t="inlineStr">
        <is>
          <t>-</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4" t="n"/>
      <c r="B59" s="554" t="n"/>
      <c r="C59" s="554" t="n"/>
      <c r="D59" s="554" t="n"/>
      <c r="E59" s="48" t="inlineStr">
        <is>
          <t>KAZI GULAM MURTUJA</t>
        </is>
      </c>
      <c r="F59" s="71" t="inlineStr">
        <is>
          <t>Hard Service</t>
        </is>
      </c>
      <c r="G59" s="445" t="inlineStr">
        <is>
          <t>-</t>
        </is>
      </c>
      <c r="H59" s="445" t="inlineStr">
        <is>
          <t>-</t>
        </is>
      </c>
      <c r="I59" s="446" t="inlineStr">
        <is>
          <t>Approved</t>
        </is>
      </c>
      <c r="J59" s="551" t="inlineStr">
        <is>
          <t>26/8/2026</t>
        </is>
      </c>
      <c r="K59" s="18" t="inlineStr">
        <is>
          <t>-</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554" t="n"/>
      <c r="B60" s="554" t="n"/>
      <c r="C60" s="554" t="n"/>
      <c r="D60" s="554" t="n"/>
      <c r="E60" s="48" t="inlineStr">
        <is>
          <t>Mohammad Nabiullah</t>
        </is>
      </c>
      <c r="F60" s="71" t="inlineStr">
        <is>
          <t>Hard Service</t>
        </is>
      </c>
      <c r="G60" s="445" t="inlineStr">
        <is>
          <t>EM-0002276</t>
        </is>
      </c>
      <c r="H60" s="445" t="n">
        <v>2581681372</v>
      </c>
      <c r="I60" s="446" t="inlineStr">
        <is>
          <t>Approved</t>
        </is>
      </c>
      <c r="J60" s="551" t="n">
        <v>45600</v>
      </c>
      <c r="K60" s="18" t="inlineStr">
        <is>
          <t>AL-FALAK VISA</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554" t="n"/>
      <c r="B61" s="554" t="n"/>
      <c r="C61" s="554" t="n"/>
      <c r="D61" s="554" t="n"/>
      <c r="E61" s="48" t="inlineStr">
        <is>
          <t>ABDUR RAHMAN</t>
        </is>
      </c>
      <c r="F61" s="71" t="inlineStr">
        <is>
          <t>Hard Service</t>
        </is>
      </c>
      <c r="G61" s="445" t="inlineStr">
        <is>
          <t>-</t>
        </is>
      </c>
      <c r="H61" s="445" t="inlineStr">
        <is>
          <t>-</t>
        </is>
      </c>
      <c r="I61" s="446" t="inlineStr">
        <is>
          <t>Approved</t>
        </is>
      </c>
      <c r="J61" s="551" t="inlineStr">
        <is>
          <t>26/8/2026</t>
        </is>
      </c>
      <c r="K61" s="18" t="inlineStr">
        <is>
          <t>-</t>
        </is>
      </c>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554" t="n"/>
      <c r="B62" s="554" t="n"/>
      <c r="C62" s="554" t="n"/>
      <c r="D62" s="554" t="n"/>
      <c r="E62" s="48" t="inlineStr">
        <is>
          <t>Mohammed Ismail</t>
        </is>
      </c>
      <c r="F62" s="71" t="inlineStr">
        <is>
          <t>Hard Service</t>
        </is>
      </c>
      <c r="G62" s="445" t="inlineStr">
        <is>
          <t>EM-0002526</t>
        </is>
      </c>
      <c r="H62" s="445" t="n">
        <v>2582813966</v>
      </c>
      <c r="I62" s="446" t="inlineStr">
        <is>
          <t>Approved</t>
        </is>
      </c>
      <c r="J62" s="551" t="n">
        <v>45599</v>
      </c>
      <c r="K62" s="18" t="inlineStr">
        <is>
          <t>AL-FALAK VISA</t>
        </is>
      </c>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4" t="n"/>
      <c r="B63" s="554" t="n"/>
      <c r="C63" s="554" t="n"/>
      <c r="D63" s="554" t="n"/>
      <c r="E63" s="48" t="n"/>
      <c r="F63" s="71" t="inlineStr">
        <is>
          <t>Hard Service</t>
        </is>
      </c>
      <c r="G63" s="445" t="n"/>
      <c r="H63" s="445" t="n"/>
      <c r="I63" s="446" t="inlineStr">
        <is>
          <t>Vacant</t>
        </is>
      </c>
      <c r="J63" s="551"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554" t="n"/>
      <c r="B64" s="554" t="n"/>
      <c r="C64" s="554" t="n"/>
      <c r="D64" s="554" t="n"/>
      <c r="E64" s="48" t="inlineStr">
        <is>
          <t>Mohammad Ehsan Siddique</t>
        </is>
      </c>
      <c r="F64" s="71" t="inlineStr">
        <is>
          <t>Hard Service</t>
        </is>
      </c>
      <c r="G64" s="445" t="inlineStr">
        <is>
          <t>EM-0002695</t>
        </is>
      </c>
      <c r="H64" s="445" t="n">
        <v>2586439453</v>
      </c>
      <c r="I64" s="446" t="inlineStr">
        <is>
          <t>Approved</t>
        </is>
      </c>
      <c r="J64" s="551" t="n">
        <v>45600</v>
      </c>
      <c r="K64" s="18" t="inlineStr">
        <is>
          <t>AL-FALAK VISA</t>
        </is>
      </c>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554" t="n"/>
      <c r="B65" s="554" t="n"/>
      <c r="C65" s="554" t="n"/>
      <c r="D65" s="554" t="n"/>
      <c r="E65" s="48" t="inlineStr">
        <is>
          <t>Sharif Hussain</t>
        </is>
      </c>
      <c r="F65" s="71" t="inlineStr">
        <is>
          <t>Hard Service</t>
        </is>
      </c>
      <c r="G65" s="445" t="inlineStr">
        <is>
          <t>EM-0002697</t>
        </is>
      </c>
      <c r="H65" s="445" t="n">
        <v>2586783736</v>
      </c>
      <c r="I65" s="446" t="inlineStr">
        <is>
          <t>Approved</t>
        </is>
      </c>
      <c r="J65" s="551" t="n">
        <v>45600</v>
      </c>
      <c r="K65" s="18" t="inlineStr">
        <is>
          <t>AL-FALAK VISA</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554" t="n"/>
      <c r="B66" s="554" t="n"/>
      <c r="C66" s="554" t="n"/>
      <c r="D66" s="554" t="n"/>
      <c r="E66" s="48" t="inlineStr">
        <is>
          <t>Fesal Ansari</t>
        </is>
      </c>
      <c r="F66" s="71" t="inlineStr">
        <is>
          <t>Hard Service</t>
        </is>
      </c>
      <c r="G66" s="445" t="inlineStr">
        <is>
          <t>EM-0002500</t>
        </is>
      </c>
      <c r="H66" s="445" t="n">
        <v>2582874661</v>
      </c>
      <c r="I66" s="446" t="inlineStr">
        <is>
          <t>Approved</t>
        </is>
      </c>
      <c r="J66" s="551" t="n">
        <v>45586</v>
      </c>
      <c r="K66" s="18" t="inlineStr">
        <is>
          <t>AL-FALAK VISA</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554" t="n"/>
      <c r="B67" s="554" t="n"/>
      <c r="C67" s="554" t="n"/>
      <c r="D67" s="554" t="n"/>
      <c r="E67" s="48" t="inlineStr">
        <is>
          <t>Ajaj Ansari</t>
        </is>
      </c>
      <c r="F67" s="71" t="inlineStr">
        <is>
          <t>Hard Service</t>
        </is>
      </c>
      <c r="G67" s="445" t="n">
        <v>704352</v>
      </c>
      <c r="H67" s="445" t="n">
        <v>2640393308</v>
      </c>
      <c r="I67" s="446" t="inlineStr">
        <is>
          <t>Approved</t>
        </is>
      </c>
      <c r="J67" s="551" t="n">
        <v>46212</v>
      </c>
      <c r="K67" s="18" t="inlineStr">
        <is>
          <t>FMCO</t>
        </is>
      </c>
      <c r="L67" s="74"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553" t="n"/>
      <c r="B68" s="553" t="n"/>
      <c r="C68" s="553" t="n"/>
      <c r="D68" s="553" t="n"/>
      <c r="E68" s="48" t="inlineStr">
        <is>
          <t>MD SHAHABUDDIN ANSARI</t>
        </is>
      </c>
      <c r="F68" s="71" t="inlineStr">
        <is>
          <t>Hard Service</t>
        </is>
      </c>
      <c r="G68" s="446" t="inlineStr">
        <is>
          <t>-</t>
        </is>
      </c>
      <c r="H68" s="45" t="inlineStr">
        <is>
          <t>-</t>
        </is>
      </c>
      <c r="I68" s="446" t="inlineStr">
        <is>
          <t>Approved</t>
        </is>
      </c>
      <c r="J68" s="551" t="inlineStr">
        <is>
          <t>26/8/2026</t>
        </is>
      </c>
      <c r="K68" s="18" t="inlineStr">
        <is>
          <t>-</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8" t="inlineStr">
        <is>
          <t>Assitant AC Techncian</t>
        </is>
      </c>
      <c r="B69" s="429" t="n">
        <v>6</v>
      </c>
      <c r="C69" s="429">
        <f>COUNTIF(E69:E74,"&lt;&gt;")</f>
        <v/>
      </c>
      <c r="D69" s="430">
        <f>C69-B69</f>
        <v/>
      </c>
      <c r="E69" s="31" t="n"/>
      <c r="F69" s="71" t="inlineStr">
        <is>
          <t>Hard Service</t>
        </is>
      </c>
      <c r="G69" s="446" t="inlineStr">
        <is>
          <t>-</t>
        </is>
      </c>
      <c r="H69" s="45" t="inlineStr">
        <is>
          <t>-</t>
        </is>
      </c>
      <c r="I69" s="446" t="inlineStr">
        <is>
          <t>Vacant</t>
        </is>
      </c>
      <c r="J69" s="552" t="n"/>
      <c r="K69" s="18" t="inlineStr">
        <is>
          <t>-</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73" t="n"/>
      <c r="F70" s="71" t="inlineStr">
        <is>
          <t>Hard Service</t>
        </is>
      </c>
      <c r="G70" s="446" t="inlineStr">
        <is>
          <t>-</t>
        </is>
      </c>
      <c r="H70" s="45" t="inlineStr">
        <is>
          <t>-</t>
        </is>
      </c>
      <c r="I70" s="446" t="inlineStr">
        <is>
          <t>Vacant</t>
        </is>
      </c>
      <c r="J70" s="552" t="n"/>
      <c r="K70" s="18" t="inlineStr">
        <is>
          <t>-</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73" t="n"/>
      <c r="F71" s="71" t="inlineStr">
        <is>
          <t>Hard Service</t>
        </is>
      </c>
      <c r="G71" s="446" t="inlineStr">
        <is>
          <t>-</t>
        </is>
      </c>
      <c r="H71" s="45" t="inlineStr">
        <is>
          <t>-</t>
        </is>
      </c>
      <c r="I71" s="446" t="inlineStr">
        <is>
          <t>Vacant</t>
        </is>
      </c>
      <c r="J71" s="552" t="n"/>
      <c r="K71" s="18" t="inlineStr">
        <is>
          <t>-</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73" t="n"/>
      <c r="F72" s="71" t="inlineStr">
        <is>
          <t>Hard Service</t>
        </is>
      </c>
      <c r="G72" s="446" t="inlineStr">
        <is>
          <t>-</t>
        </is>
      </c>
      <c r="H72" s="45" t="inlineStr">
        <is>
          <t>-</t>
        </is>
      </c>
      <c r="I72" s="446" t="inlineStr">
        <is>
          <t>Vacant</t>
        </is>
      </c>
      <c r="J72" s="552" t="n"/>
      <c r="K72" s="18" t="inlineStr">
        <is>
          <t>-</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73" t="n"/>
      <c r="F73" s="71" t="inlineStr">
        <is>
          <t>Hard Service</t>
        </is>
      </c>
      <c r="G73" s="446" t="inlineStr">
        <is>
          <t>-</t>
        </is>
      </c>
      <c r="H73" s="45" t="inlineStr">
        <is>
          <t>-</t>
        </is>
      </c>
      <c r="I73" s="446" t="inlineStr">
        <is>
          <t>Vacant</t>
        </is>
      </c>
      <c r="J73" s="552" t="n"/>
      <c r="K73" s="18" t="inlineStr">
        <is>
          <t>-</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3" t="n"/>
      <c r="B74" s="553" t="n"/>
      <c r="C74" s="553" t="n"/>
      <c r="D74" s="553" t="n"/>
      <c r="E74" s="73" t="n"/>
      <c r="F74" s="71" t="inlineStr">
        <is>
          <t>Hard Service</t>
        </is>
      </c>
      <c r="G74" s="446" t="inlineStr">
        <is>
          <t>-</t>
        </is>
      </c>
      <c r="H74" s="45" t="inlineStr">
        <is>
          <t>-</t>
        </is>
      </c>
      <c r="I74" s="446" t="inlineStr">
        <is>
          <t>Vacant</t>
        </is>
      </c>
      <c r="J74" s="552" t="n"/>
      <c r="K74" s="18" t="inlineStr">
        <is>
          <t>-</t>
        </is>
      </c>
      <c r="L74" s="37"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4" t="inlineStr">
        <is>
          <t>Plumber</t>
        </is>
      </c>
      <c r="B75" s="425" t="n">
        <v>14</v>
      </c>
      <c r="C75" s="426">
        <f>COUNTIF(E75:E88,"&lt;&gt;")</f>
        <v/>
      </c>
      <c r="D75" s="427">
        <f>C75-B75</f>
        <v/>
      </c>
      <c r="E75" s="48" t="inlineStr">
        <is>
          <t>Kalim Vasi Khan</t>
        </is>
      </c>
      <c r="F75" s="71" t="inlineStr">
        <is>
          <t>Hard Service</t>
        </is>
      </c>
      <c r="G75" s="445" t="n">
        <v>702059</v>
      </c>
      <c r="H75" s="445" t="n">
        <v>2543087932</v>
      </c>
      <c r="I75" s="446" t="inlineStr">
        <is>
          <t>Approved</t>
        </is>
      </c>
      <c r="J75" s="551" t="n">
        <v>45858</v>
      </c>
      <c r="K75" s="18"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48" t="inlineStr">
        <is>
          <t>Ayan Khan</t>
        </is>
      </c>
      <c r="F76" s="71" t="inlineStr">
        <is>
          <t>Hard Service</t>
        </is>
      </c>
      <c r="G76" s="445" t="n">
        <v>703910</v>
      </c>
      <c r="H76" s="445" t="n">
        <v>2587606654</v>
      </c>
      <c r="I76" s="446" t="inlineStr">
        <is>
          <t>Approved</t>
        </is>
      </c>
      <c r="J76" s="551" t="n">
        <v>45586</v>
      </c>
      <c r="K76" s="18"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48" t="inlineStr">
        <is>
          <t>MD SHAKE FORID NOYAN</t>
        </is>
      </c>
      <c r="F77" s="71" t="inlineStr">
        <is>
          <t>Hard Service</t>
        </is>
      </c>
      <c r="G77" s="445" t="inlineStr">
        <is>
          <t>-</t>
        </is>
      </c>
      <c r="H77" s="445" t="inlineStr">
        <is>
          <t>-</t>
        </is>
      </c>
      <c r="I77" s="446" t="inlineStr">
        <is>
          <t>Approved</t>
        </is>
      </c>
      <c r="J77" s="551" t="inlineStr">
        <is>
          <t>26/08/2026</t>
        </is>
      </c>
      <c r="K77" s="18" t="inlineStr">
        <is>
          <t>-</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48" t="n"/>
      <c r="F78" s="71" t="inlineStr">
        <is>
          <t>Hard Service</t>
        </is>
      </c>
      <c r="G78" s="445" t="inlineStr">
        <is>
          <t>-</t>
        </is>
      </c>
      <c r="H78" s="445" t="inlineStr">
        <is>
          <t>-</t>
        </is>
      </c>
      <c r="I78" s="446" t="inlineStr">
        <is>
          <t>Vacant</t>
        </is>
      </c>
      <c r="J78" s="551" t="n"/>
      <c r="K78" s="18" t="inlineStr">
        <is>
          <t>-</t>
        </is>
      </c>
      <c r="L78" s="37"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4" t="n"/>
      <c r="B79" s="554" t="n"/>
      <c r="C79" s="554" t="n"/>
      <c r="D79" s="554" t="n"/>
      <c r="E79" s="48" t="inlineStr">
        <is>
          <t>Mohammad Asif</t>
        </is>
      </c>
      <c r="F79" s="71" t="inlineStr">
        <is>
          <t>Hard Service</t>
        </is>
      </c>
      <c r="G79" s="445" t="inlineStr">
        <is>
          <t>EM-0002685</t>
        </is>
      </c>
      <c r="H79" s="445" t="n">
        <v>2586130524</v>
      </c>
      <c r="I79" s="446" t="inlineStr">
        <is>
          <t>Approved</t>
        </is>
      </c>
      <c r="J79" s="551" t="n">
        <v>45600</v>
      </c>
      <c r="K79" s="18" t="inlineStr">
        <is>
          <t>AL-FALAK VISA</t>
        </is>
      </c>
      <c r="L79" s="37"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554" t="n"/>
      <c r="B80" s="554" t="n"/>
      <c r="C80" s="554" t="n"/>
      <c r="D80" s="554" t="n"/>
      <c r="E80" s="48" t="inlineStr">
        <is>
          <t>HARIS SAUD</t>
        </is>
      </c>
      <c r="F80" s="71" t="inlineStr">
        <is>
          <t>Hard Service</t>
        </is>
      </c>
      <c r="G80" s="445" t="n">
        <v>701157</v>
      </c>
      <c r="H80" s="445" t="inlineStr">
        <is>
          <t>2526386327</t>
        </is>
      </c>
      <c r="I80" s="446" t="inlineStr">
        <is>
          <t>Approved</t>
        </is>
      </c>
      <c r="J80" s="551" t="inlineStr">
        <is>
          <t>2026-03-17 00:00:00</t>
        </is>
      </c>
      <c r="K80" s="18" t="inlineStr">
        <is>
          <t>FMCO</t>
        </is>
      </c>
      <c r="L80" s="37"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554" t="n"/>
      <c r="B81" s="554" t="n"/>
      <c r="C81" s="554" t="n"/>
      <c r="D81" s="554" t="n"/>
      <c r="E81" s="48" t="inlineStr">
        <is>
          <t>Mohammad Imran</t>
        </is>
      </c>
      <c r="F81" s="71" t="inlineStr">
        <is>
          <t>Hard Service</t>
        </is>
      </c>
      <c r="G81" s="445" t="inlineStr">
        <is>
          <t>EM-0003043</t>
        </is>
      </c>
      <c r="H81" s="445" t="n">
        <v>2618551689</v>
      </c>
      <c r="I81" s="446" t="inlineStr">
        <is>
          <t>Approved</t>
        </is>
      </c>
      <c r="J81" s="551" t="n">
        <v>46137</v>
      </c>
      <c r="K81" s="18" t="inlineStr">
        <is>
          <t>AL-FALAK VISA</t>
        </is>
      </c>
      <c r="L81" s="37"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54" t="n"/>
      <c r="B82" s="554" t="n"/>
      <c r="C82" s="554" t="n"/>
      <c r="D82" s="554" t="n"/>
      <c r="E82" s="48" t="inlineStr">
        <is>
          <t>MD. Ohid Mia</t>
        </is>
      </c>
      <c r="F82" s="71" t="inlineStr">
        <is>
          <t>Hard Service</t>
        </is>
      </c>
      <c r="G82" s="445" t="inlineStr">
        <is>
          <t>-</t>
        </is>
      </c>
      <c r="H82" s="445" t="n">
        <v>2619975978</v>
      </c>
      <c r="I82" s="446" t="inlineStr">
        <is>
          <t>Approved</t>
        </is>
      </c>
      <c r="J82" s="551" t="n">
        <v>46167</v>
      </c>
      <c r="K82" s="18" t="inlineStr">
        <is>
          <t>AL-FALAK VISA</t>
        </is>
      </c>
      <c r="L82" s="37"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554" t="n"/>
      <c r="B83" s="554" t="n"/>
      <c r="C83" s="554" t="n"/>
      <c r="D83" s="554" t="n"/>
      <c r="E83" s="48" t="inlineStr">
        <is>
          <t>Mohd Tauhid Alam</t>
        </is>
      </c>
      <c r="F83" s="71" t="inlineStr">
        <is>
          <t>Hard Service</t>
        </is>
      </c>
      <c r="G83" s="445" t="inlineStr">
        <is>
          <t>-</t>
        </is>
      </c>
      <c r="H83" s="45" t="inlineStr">
        <is>
          <t>-</t>
        </is>
      </c>
      <c r="I83" s="446" t="inlineStr">
        <is>
          <t>Approved</t>
        </is>
      </c>
      <c r="J83" s="551" t="n">
        <v>46225</v>
      </c>
      <c r="K83" s="18" t="inlineStr">
        <is>
          <t>-</t>
        </is>
      </c>
      <c r="L83" s="37"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554" t="n"/>
      <c r="B84" s="554" t="n"/>
      <c r="C84" s="554" t="n"/>
      <c r="D84" s="554" t="n"/>
      <c r="E84" s="48" t="inlineStr">
        <is>
          <t>JUBER KHAN</t>
        </is>
      </c>
      <c r="F84" s="71" t="inlineStr">
        <is>
          <t>Hard Service</t>
        </is>
      </c>
      <c r="G84" s="446" t="inlineStr">
        <is>
          <t>EM-0002575</t>
        </is>
      </c>
      <c r="H84" s="45" t="n">
        <v>2579371697</v>
      </c>
      <c r="I84" s="446" t="inlineStr">
        <is>
          <t>Approved</t>
        </is>
      </c>
      <c r="J84" s="551" t="n">
        <v>46246</v>
      </c>
      <c r="K84" s="18" t="inlineStr">
        <is>
          <t>AL-FALAK VISA</t>
        </is>
      </c>
      <c r="L84" s="37"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54" t="n"/>
      <c r="B85" s="554" t="n"/>
      <c r="C85" s="554" t="n"/>
      <c r="D85" s="554" t="n"/>
      <c r="E85" s="48" t="inlineStr">
        <is>
          <t>SHIV KUMAR RAM</t>
        </is>
      </c>
      <c r="F85" s="71" t="inlineStr">
        <is>
          <t>Hard Service</t>
        </is>
      </c>
      <c r="G85" s="446" t="inlineStr">
        <is>
          <t>C00289</t>
        </is>
      </c>
      <c r="H85" s="45" t="n">
        <v>2580194468</v>
      </c>
      <c r="I85" s="446" t="inlineStr">
        <is>
          <t>Approved</t>
        </is>
      </c>
      <c r="J85" s="551" t="n">
        <v>46246</v>
      </c>
      <c r="K85" s="18" t="inlineStr">
        <is>
          <t>MEHAN VISA</t>
        </is>
      </c>
      <c r="L85" s="37"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554" t="n"/>
      <c r="B86" s="554" t="n"/>
      <c r="C86" s="554" t="n"/>
      <c r="D86" s="554" t="n"/>
      <c r="E86" t="inlineStr">
        <is>
          <t>MOHAMMAD TAUHID ALAM</t>
        </is>
      </c>
      <c r="F86" s="71" t="inlineStr">
        <is>
          <t>Hard Service</t>
        </is>
      </c>
      <c r="G86" s="49" t="inlineStr">
        <is>
          <t>C02142</t>
        </is>
      </c>
      <c r="H86" s="49" t="inlineStr">
        <is>
          <t>2642516591</t>
        </is>
      </c>
      <c r="I86" s="446" t="inlineStr">
        <is>
          <t>Approved</t>
        </is>
      </c>
      <c r="J86" s="559" t="inlineStr">
        <is>
          <t>2026-07-22 00:00:00</t>
        </is>
      </c>
      <c r="K86" s="51" t="inlineStr">
        <is>
          <t>MEHAN VISA</t>
        </is>
      </c>
      <c r="L86" s="37"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554" t="n"/>
      <c r="B87" s="554" t="n"/>
      <c r="C87" s="554" t="n"/>
      <c r="D87" s="554" t="n"/>
      <c r="E87" s="73" t="n"/>
      <c r="F87" s="71" t="inlineStr">
        <is>
          <t>Hard Service</t>
        </is>
      </c>
      <c r="G87" s="446" t="inlineStr">
        <is>
          <t>-</t>
        </is>
      </c>
      <c r="H87" s="45" t="inlineStr">
        <is>
          <t>-</t>
        </is>
      </c>
      <c r="I87" s="446" t="inlineStr">
        <is>
          <t>Vacant</t>
        </is>
      </c>
      <c r="J87" s="552" t="n"/>
      <c r="K87" s="18" t="inlineStr">
        <is>
          <t>-</t>
        </is>
      </c>
      <c r="L87" s="37"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53" t="n"/>
      <c r="B88" s="553" t="n"/>
      <c r="C88" s="553" t="n"/>
      <c r="D88" s="553" t="n"/>
      <c r="E88" s="73" t="n"/>
      <c r="F88" s="71" t="inlineStr">
        <is>
          <t>Hard Service</t>
        </is>
      </c>
      <c r="G88" s="446" t="inlineStr">
        <is>
          <t>-</t>
        </is>
      </c>
      <c r="H88" s="45" t="inlineStr">
        <is>
          <t>-</t>
        </is>
      </c>
      <c r="I88" s="446" t="inlineStr">
        <is>
          <t>Vacant</t>
        </is>
      </c>
      <c r="J88" s="552" t="n"/>
      <c r="K88" s="18" t="inlineStr">
        <is>
          <t>-</t>
        </is>
      </c>
      <c r="L88" s="37"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24" t="inlineStr">
        <is>
          <t>Trade Helper</t>
        </is>
      </c>
      <c r="B89" s="425" t="n">
        <v>14</v>
      </c>
      <c r="C89" s="426">
        <f>COUNTIF(E89:E102,"&lt;&gt;")</f>
        <v/>
      </c>
      <c r="D89" s="427">
        <f>C89-B89</f>
        <v/>
      </c>
      <c r="E89" s="31" t="n"/>
      <c r="F89" s="71" t="inlineStr">
        <is>
          <t>Hard Service</t>
        </is>
      </c>
      <c r="G89" s="445" t="inlineStr">
        <is>
          <t>-</t>
        </is>
      </c>
      <c r="H89" s="445" t="inlineStr">
        <is>
          <t>-</t>
        </is>
      </c>
      <c r="I89" s="446" t="inlineStr">
        <is>
          <t>Vacant</t>
        </is>
      </c>
      <c r="J89" s="552" t="n"/>
      <c r="K89" s="18" t="inlineStr">
        <is>
          <t>-</t>
        </is>
      </c>
      <c r="L89" s="37"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31" t="n"/>
      <c r="F90" s="71" t="inlineStr">
        <is>
          <t>Hard Service</t>
        </is>
      </c>
      <c r="G90" s="445" t="inlineStr">
        <is>
          <t>-</t>
        </is>
      </c>
      <c r="H90" s="445" t="inlineStr">
        <is>
          <t>-</t>
        </is>
      </c>
      <c r="I90" s="446" t="inlineStr">
        <is>
          <t>Vacant</t>
        </is>
      </c>
      <c r="J90" s="552" t="n"/>
      <c r="K90" s="18" t="inlineStr">
        <is>
          <t>-</t>
        </is>
      </c>
      <c r="L90" s="37"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73" t="n"/>
      <c r="F91" s="71" t="inlineStr">
        <is>
          <t>Hard Service</t>
        </is>
      </c>
      <c r="G91" s="446" t="inlineStr">
        <is>
          <t>-</t>
        </is>
      </c>
      <c r="H91" s="45" t="inlineStr">
        <is>
          <t>-</t>
        </is>
      </c>
      <c r="I91" s="446" t="inlineStr">
        <is>
          <t>Vacant</t>
        </is>
      </c>
      <c r="J91" s="552" t="n"/>
      <c r="K91" s="18" t="inlineStr">
        <is>
          <t>-</t>
        </is>
      </c>
      <c r="L91" s="37"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73" t="n"/>
      <c r="F92" s="71" t="inlineStr">
        <is>
          <t>Hard Service</t>
        </is>
      </c>
      <c r="G92" s="446" t="inlineStr">
        <is>
          <t>-</t>
        </is>
      </c>
      <c r="H92" s="45" t="inlineStr">
        <is>
          <t>-</t>
        </is>
      </c>
      <c r="I92" s="446" t="inlineStr">
        <is>
          <t>Vacant</t>
        </is>
      </c>
      <c r="J92" s="552" t="n"/>
      <c r="K92" s="18" t="inlineStr">
        <is>
          <t>-</t>
        </is>
      </c>
      <c r="L92" s="37"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73" t="n"/>
      <c r="F93" s="71" t="inlineStr">
        <is>
          <t>Hard Service</t>
        </is>
      </c>
      <c r="G93" s="446" t="inlineStr">
        <is>
          <t>-</t>
        </is>
      </c>
      <c r="H93" s="45" t="inlineStr">
        <is>
          <t>-</t>
        </is>
      </c>
      <c r="I93" s="446" t="inlineStr">
        <is>
          <t>Vacant</t>
        </is>
      </c>
      <c r="J93" s="552" t="n"/>
      <c r="K93" s="18" t="inlineStr">
        <is>
          <t>-</t>
        </is>
      </c>
      <c r="L93" s="37"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73" t="n"/>
      <c r="F94" s="71" t="inlineStr">
        <is>
          <t>Hard Service</t>
        </is>
      </c>
      <c r="G94" s="446" t="inlineStr">
        <is>
          <t>-</t>
        </is>
      </c>
      <c r="H94" s="45" t="inlineStr">
        <is>
          <t>-</t>
        </is>
      </c>
      <c r="I94" s="446" t="inlineStr">
        <is>
          <t>Vacant</t>
        </is>
      </c>
      <c r="J94" s="552" t="n"/>
      <c r="K94" s="18" t="inlineStr">
        <is>
          <t>-</t>
        </is>
      </c>
      <c r="L94" s="37"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73" t="n"/>
      <c r="F95" s="71" t="inlineStr">
        <is>
          <t>Hard Service</t>
        </is>
      </c>
      <c r="G95" s="446" t="inlineStr">
        <is>
          <t>-</t>
        </is>
      </c>
      <c r="H95" s="45" t="inlineStr">
        <is>
          <t>-</t>
        </is>
      </c>
      <c r="I95" s="446" t="inlineStr">
        <is>
          <t>Vacant</t>
        </is>
      </c>
      <c r="J95" s="552" t="n"/>
      <c r="K95" s="18" t="inlineStr">
        <is>
          <t>-</t>
        </is>
      </c>
      <c r="L95" s="37"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73" t="n"/>
      <c r="F96" s="71" t="inlineStr">
        <is>
          <t>Hard Service</t>
        </is>
      </c>
      <c r="G96" s="446" t="inlineStr">
        <is>
          <t>-</t>
        </is>
      </c>
      <c r="H96" s="45" t="inlineStr">
        <is>
          <t>-</t>
        </is>
      </c>
      <c r="I96" s="446" t="inlineStr">
        <is>
          <t>Vacant</t>
        </is>
      </c>
      <c r="J96" s="552" t="n"/>
      <c r="K96" s="18" t="inlineStr">
        <is>
          <t>-</t>
        </is>
      </c>
      <c r="L96" s="37"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73" t="n"/>
      <c r="F97" s="71" t="inlineStr">
        <is>
          <t>Hard Service</t>
        </is>
      </c>
      <c r="G97" s="446" t="inlineStr">
        <is>
          <t>-</t>
        </is>
      </c>
      <c r="H97" s="45" t="inlineStr">
        <is>
          <t>-</t>
        </is>
      </c>
      <c r="I97" s="446" t="inlineStr">
        <is>
          <t>Vacant</t>
        </is>
      </c>
      <c r="J97" s="552" t="n"/>
      <c r="K97" s="18" t="inlineStr">
        <is>
          <t>-</t>
        </is>
      </c>
      <c r="L97" s="37"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4" t="n"/>
      <c r="B98" s="554" t="n"/>
      <c r="C98" s="554" t="n"/>
      <c r="D98" s="554" t="n"/>
      <c r="E98" s="73" t="n"/>
      <c r="F98" s="71" t="inlineStr">
        <is>
          <t>Hard Service</t>
        </is>
      </c>
      <c r="G98" s="446" t="inlineStr">
        <is>
          <t>-</t>
        </is>
      </c>
      <c r="H98" s="45" t="inlineStr">
        <is>
          <t>-</t>
        </is>
      </c>
      <c r="I98" s="446" t="inlineStr">
        <is>
          <t>Vacant</t>
        </is>
      </c>
      <c r="J98" s="552" t="n"/>
      <c r="K98" s="18" t="inlineStr">
        <is>
          <t>-</t>
        </is>
      </c>
      <c r="L98" s="37"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54" t="n"/>
      <c r="B99" s="554" t="n"/>
      <c r="C99" s="554" t="n"/>
      <c r="D99" s="554" t="n"/>
      <c r="E99" s="73" t="n"/>
      <c r="F99" s="71" t="inlineStr">
        <is>
          <t>Hard Service</t>
        </is>
      </c>
      <c r="G99" s="446" t="inlineStr">
        <is>
          <t>-</t>
        </is>
      </c>
      <c r="H99" s="45" t="inlineStr">
        <is>
          <t>-</t>
        </is>
      </c>
      <c r="I99" s="446" t="inlineStr">
        <is>
          <t>Vacant</t>
        </is>
      </c>
      <c r="J99" s="552" t="n"/>
      <c r="K99" s="18" t="inlineStr">
        <is>
          <t>-</t>
        </is>
      </c>
      <c r="L99" s="37"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4" t="n"/>
      <c r="B100" s="554" t="n"/>
      <c r="C100" s="554" t="n"/>
      <c r="D100" s="554" t="n"/>
      <c r="E100" s="73" t="n"/>
      <c r="F100" s="71" t="inlineStr">
        <is>
          <t>Hard Service</t>
        </is>
      </c>
      <c r="G100" s="446" t="inlineStr">
        <is>
          <t>-</t>
        </is>
      </c>
      <c r="H100" s="45" t="inlineStr">
        <is>
          <t>-</t>
        </is>
      </c>
      <c r="I100" s="446" t="inlineStr">
        <is>
          <t>Vacant</t>
        </is>
      </c>
      <c r="J100" s="552" t="n"/>
      <c r="K100" s="18" t="inlineStr">
        <is>
          <t>-</t>
        </is>
      </c>
      <c r="L100" s="37"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54" t="n"/>
      <c r="B101" s="554" t="n"/>
      <c r="C101" s="554" t="n"/>
      <c r="D101" s="554" t="n"/>
      <c r="E101" s="73" t="n"/>
      <c r="F101" s="71" t="inlineStr">
        <is>
          <t>Hard Service</t>
        </is>
      </c>
      <c r="G101" s="446" t="inlineStr">
        <is>
          <t>-</t>
        </is>
      </c>
      <c r="H101" s="45" t="inlineStr">
        <is>
          <t>-</t>
        </is>
      </c>
      <c r="I101" s="446" t="inlineStr">
        <is>
          <t>Vacant</t>
        </is>
      </c>
      <c r="J101" s="552" t="n"/>
      <c r="K101" s="18" t="inlineStr">
        <is>
          <t>-</t>
        </is>
      </c>
      <c r="L101" s="37"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53" t="n"/>
      <c r="B102" s="553" t="n"/>
      <c r="C102" s="553" t="n"/>
      <c r="D102" s="553" t="n"/>
      <c r="E102" s="73" t="n"/>
      <c r="F102" s="71" t="inlineStr">
        <is>
          <t>Hard Service</t>
        </is>
      </c>
      <c r="G102" s="446" t="inlineStr">
        <is>
          <t>-</t>
        </is>
      </c>
      <c r="H102" s="45" t="inlineStr">
        <is>
          <t>-</t>
        </is>
      </c>
      <c r="I102" s="446" t="inlineStr">
        <is>
          <t>Vacant</t>
        </is>
      </c>
      <c r="J102" s="552" t="n"/>
      <c r="K102" s="18" t="inlineStr">
        <is>
          <t>-</t>
        </is>
      </c>
      <c r="L102" s="37"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4" t="inlineStr">
        <is>
          <t>Supervisor Electrical</t>
        </is>
      </c>
      <c r="B103" s="425" t="n">
        <v>2</v>
      </c>
      <c r="C103" s="426">
        <f>COUNTIF(E103:E104,"&lt;&gt;")</f>
        <v/>
      </c>
      <c r="D103" s="427">
        <f>C103-B103</f>
        <v/>
      </c>
      <c r="E103" s="48" t="inlineStr">
        <is>
          <t>Zaheer Ahmad</t>
        </is>
      </c>
      <c r="F103" s="71" t="inlineStr">
        <is>
          <t>Hard Service</t>
        </is>
      </c>
      <c r="G103" s="445" t="inlineStr">
        <is>
          <t>C00700</t>
        </is>
      </c>
      <c r="H103" s="445" t="n">
        <v>2582098931</v>
      </c>
      <c r="I103" s="446" t="inlineStr">
        <is>
          <t>Approved</t>
        </is>
      </c>
      <c r="J103" s="551" t="n">
        <v>45586</v>
      </c>
      <c r="K103" s="18" t="inlineStr">
        <is>
          <t>MEHAN VISA</t>
        </is>
      </c>
      <c r="L103" s="37"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3" t="n"/>
      <c r="B104" s="553" t="n"/>
      <c r="C104" s="553" t="n"/>
      <c r="D104" s="553" t="n"/>
      <c r="E104" s="48" t="inlineStr">
        <is>
          <t>Rahul Yadav</t>
        </is>
      </c>
      <c r="F104" s="71" t="inlineStr">
        <is>
          <t>Hard Service</t>
        </is>
      </c>
      <c r="G104" s="445" t="inlineStr">
        <is>
          <t>EM-0003025</t>
        </is>
      </c>
      <c r="H104" s="445" t="n">
        <v>2617053018</v>
      </c>
      <c r="I104" s="446" t="inlineStr">
        <is>
          <t>Approved</t>
        </is>
      </c>
      <c r="J104" s="551" t="n">
        <v>45954</v>
      </c>
      <c r="K104" s="18" t="inlineStr">
        <is>
          <t>AL-FALAK VISA</t>
        </is>
      </c>
      <c r="L104" s="37"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4" t="inlineStr">
        <is>
          <t>Electrical Team Leader</t>
        </is>
      </c>
      <c r="B105" s="425" t="n">
        <v>2</v>
      </c>
      <c r="C105" s="426">
        <f>COUNTIF(E105:E106,"&lt;&gt;")</f>
        <v/>
      </c>
      <c r="D105" s="427">
        <f>C105-B105</f>
        <v/>
      </c>
      <c r="E105" s="48" t="inlineStr">
        <is>
          <t xml:space="preserve">Mozammil Alam </t>
        </is>
      </c>
      <c r="F105" s="71" t="inlineStr">
        <is>
          <t>Hard Service</t>
        </is>
      </c>
      <c r="G105" s="445" t="inlineStr">
        <is>
          <t>EM-0002696</t>
        </is>
      </c>
      <c r="H105" s="445" t="n">
        <v>2586783421</v>
      </c>
      <c r="I105" s="446" t="inlineStr">
        <is>
          <t>Approved</t>
        </is>
      </c>
      <c r="J105" s="551" t="n">
        <v>45599</v>
      </c>
      <c r="K105" s="18" t="inlineStr">
        <is>
          <t>AL-FALAK VISA</t>
        </is>
      </c>
      <c r="L105" s="37"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3" t="n"/>
      <c r="C106" s="553" t="n"/>
      <c r="D106" s="553" t="n"/>
      <c r="E106" s="73" t="n"/>
      <c r="F106" s="71" t="inlineStr">
        <is>
          <t>Hard Service</t>
        </is>
      </c>
      <c r="G106" s="446" t="inlineStr">
        <is>
          <t>-</t>
        </is>
      </c>
      <c r="H106" s="45" t="inlineStr">
        <is>
          <t>-</t>
        </is>
      </c>
      <c r="I106" s="446" t="inlineStr">
        <is>
          <t>Vacant</t>
        </is>
      </c>
      <c r="J106" s="552" t="n"/>
      <c r="K106" s="18" t="inlineStr">
        <is>
          <t>-</t>
        </is>
      </c>
      <c r="L106" s="37"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24" t="inlineStr">
        <is>
          <t>Electrician</t>
        </is>
      </c>
      <c r="B107" s="425" t="n">
        <v>18</v>
      </c>
      <c r="C107" s="426">
        <f>COUNTIF(E107:E124,"&lt;&gt;")</f>
        <v/>
      </c>
      <c r="D107" s="427">
        <f>C107-B107</f>
        <v/>
      </c>
      <c r="E107" s="48" t="inlineStr">
        <is>
          <t>MD. Ali Khan</t>
        </is>
      </c>
      <c r="F107" s="71" t="inlineStr">
        <is>
          <t>Hard Service</t>
        </is>
      </c>
      <c r="G107" s="445" t="n">
        <v>703904</v>
      </c>
      <c r="H107" s="445" t="n">
        <v>2587532165</v>
      </c>
      <c r="I107" s="446" t="inlineStr">
        <is>
          <t>Approved</t>
        </is>
      </c>
      <c r="J107" s="551" t="n">
        <v>45586</v>
      </c>
      <c r="K107" s="18" t="inlineStr">
        <is>
          <t>FMCO</t>
        </is>
      </c>
      <c r="L107" s="37"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4" t="n"/>
      <c r="B108" s="554" t="n"/>
      <c r="C108" s="554" t="n"/>
      <c r="D108" s="554" t="n"/>
      <c r="E108" s="48" t="inlineStr">
        <is>
          <t xml:space="preserve">Imran Ahmad </t>
        </is>
      </c>
      <c r="F108" s="71" t="inlineStr">
        <is>
          <t>Hard Service</t>
        </is>
      </c>
      <c r="G108" s="445" t="n">
        <v>703905</v>
      </c>
      <c r="H108" s="445" t="n">
        <v>2587530946</v>
      </c>
      <c r="I108" s="446" t="inlineStr">
        <is>
          <t>Approved</t>
        </is>
      </c>
      <c r="J108" s="551" t="n">
        <v>45586</v>
      </c>
      <c r="K108" s="18" t="inlineStr">
        <is>
          <t>FMCO</t>
        </is>
      </c>
      <c r="L108" s="37"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554" t="n"/>
      <c r="B109" s="554" t="n"/>
      <c r="C109" s="554" t="n"/>
      <c r="D109" s="554" t="n"/>
      <c r="E109" s="48" t="inlineStr">
        <is>
          <t xml:space="preserve">MD. Arwaz </t>
        </is>
      </c>
      <c r="F109" s="71" t="inlineStr">
        <is>
          <t>Hard Service</t>
        </is>
      </c>
      <c r="G109" s="445" t="n">
        <v>703912</v>
      </c>
      <c r="H109" s="445" t="n">
        <v>2587608239</v>
      </c>
      <c r="I109" s="446" t="inlineStr">
        <is>
          <t>Approved</t>
        </is>
      </c>
      <c r="J109" s="551" t="n">
        <v>45586</v>
      </c>
      <c r="K109" s="18" t="inlineStr">
        <is>
          <t>FMCO</t>
        </is>
      </c>
      <c r="L109" s="37"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554" t="n"/>
      <c r="B110" s="554" t="n"/>
      <c r="C110" s="554" t="n"/>
      <c r="D110" s="554" t="n"/>
      <c r="E110" s="48" t="inlineStr">
        <is>
          <t xml:space="preserve">Jalal Mohammad </t>
        </is>
      </c>
      <c r="F110" s="71" t="inlineStr">
        <is>
          <t>Hard Service</t>
        </is>
      </c>
      <c r="G110" s="445" t="n">
        <v>703924</v>
      </c>
      <c r="H110" s="445" t="n">
        <v>2587606811</v>
      </c>
      <c r="I110" s="446" t="inlineStr">
        <is>
          <t>Approved</t>
        </is>
      </c>
      <c r="J110" s="551" t="n">
        <v>45586</v>
      </c>
      <c r="K110" s="18" t="inlineStr">
        <is>
          <t>FMCO</t>
        </is>
      </c>
      <c r="L110" s="37"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554" t="n"/>
      <c r="B111" s="554" t="n"/>
      <c r="C111" s="554" t="n"/>
      <c r="D111" s="554" t="n"/>
      <c r="E111" s="48" t="inlineStr">
        <is>
          <t>Alfez Khan</t>
        </is>
      </c>
      <c r="F111" s="71" t="inlineStr">
        <is>
          <t>Hard Service</t>
        </is>
      </c>
      <c r="G111" s="445" t="inlineStr">
        <is>
          <t>E-022-810</t>
        </is>
      </c>
      <c r="H111" s="445" t="n">
        <v>2584116533</v>
      </c>
      <c r="I111" s="446" t="inlineStr">
        <is>
          <t>Approved</t>
        </is>
      </c>
      <c r="J111" s="551" t="n">
        <v>45599</v>
      </c>
      <c r="K111" s="18" t="inlineStr">
        <is>
          <t>TALENT HOUSE VISA</t>
        </is>
      </c>
      <c r="L111" s="37"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554" t="n"/>
      <c r="B112" s="554" t="n"/>
      <c r="C112" s="554" t="n"/>
      <c r="D112" s="554" t="n"/>
      <c r="E112" s="48" t="inlineStr">
        <is>
          <t>Mohammad Jawed Ahmad</t>
        </is>
      </c>
      <c r="F112" s="71" t="inlineStr">
        <is>
          <t>Hard Service</t>
        </is>
      </c>
      <c r="G112" s="445" t="inlineStr">
        <is>
          <t>EM-0002687</t>
        </is>
      </c>
      <c r="H112" s="445" t="n">
        <v>2586382836</v>
      </c>
      <c r="I112" s="446" t="inlineStr">
        <is>
          <t>Approved</t>
        </is>
      </c>
      <c r="J112" s="551" t="n">
        <v>45586</v>
      </c>
      <c r="K112" s="18" t="inlineStr">
        <is>
          <t>AL-FALAK VISA</t>
        </is>
      </c>
      <c r="L112" s="37"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554" t="n"/>
      <c r="B113" s="554" t="n"/>
      <c r="C113" s="554" t="n"/>
      <c r="D113" s="554" t="n"/>
      <c r="E113" s="48" t="inlineStr">
        <is>
          <t>MOHAMMAD SOWROV HASAN</t>
        </is>
      </c>
      <c r="F113" s="71" t="inlineStr">
        <is>
          <t>Hard Service</t>
        </is>
      </c>
      <c r="G113" s="445" t="inlineStr">
        <is>
          <t>-</t>
        </is>
      </c>
      <c r="H113" s="445" t="inlineStr">
        <is>
          <t>-</t>
        </is>
      </c>
      <c r="I113" s="446" t="inlineStr">
        <is>
          <t>Approved</t>
        </is>
      </c>
      <c r="J113" s="551" t="inlineStr">
        <is>
          <t>26/08/2026</t>
        </is>
      </c>
      <c r="K113" s="18" t="inlineStr">
        <is>
          <t>-</t>
        </is>
      </c>
      <c r="L113" s="37"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554" t="n"/>
      <c r="B114" s="554" t="n"/>
      <c r="C114" s="554" t="n"/>
      <c r="D114" s="554" t="n"/>
      <c r="E114" s="48" t="inlineStr">
        <is>
          <t>MD. SUHAIL KHAN</t>
        </is>
      </c>
      <c r="F114" s="71" t="inlineStr">
        <is>
          <t>Hard Service</t>
        </is>
      </c>
      <c r="G114" s="445" t="inlineStr">
        <is>
          <t>EM-0002465</t>
        </is>
      </c>
      <c r="H114" s="445" t="inlineStr">
        <is>
          <t>2582813768</t>
        </is>
      </c>
      <c r="I114" s="446" t="inlineStr">
        <is>
          <t>Approved</t>
        </is>
      </c>
      <c r="J114" s="551" t="inlineStr">
        <is>
          <t>2024-10-21 00:00:00</t>
        </is>
      </c>
      <c r="K114" s="18" t="inlineStr">
        <is>
          <t>AL-FALAK VISA</t>
        </is>
      </c>
      <c r="L114" s="37"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554" t="n"/>
      <c r="B115" s="554" t="n"/>
      <c r="C115" s="554" t="n"/>
      <c r="D115" s="554" t="n"/>
      <c r="E115" s="48" t="inlineStr">
        <is>
          <t>SK Arif Hasan</t>
        </is>
      </c>
      <c r="F115" s="71" t="inlineStr">
        <is>
          <t>Hard Service</t>
        </is>
      </c>
      <c r="G115" s="32" t="inlineStr">
        <is>
          <t>E-022-874</t>
        </is>
      </c>
      <c r="H115" s="445" t="n">
        <v>2587090792</v>
      </c>
      <c r="I115" s="446" t="inlineStr">
        <is>
          <t>Approved</t>
        </is>
      </c>
      <c r="J115" s="551" t="n">
        <v>45720</v>
      </c>
      <c r="K115" s="18" t="inlineStr">
        <is>
          <t>TALENT HOUSE VISA</t>
        </is>
      </c>
      <c r="L115" s="37"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554" t="n"/>
      <c r="B116" s="554" t="n"/>
      <c r="C116" s="554" t="n"/>
      <c r="D116" s="554" t="n"/>
      <c r="E116" s="48" t="inlineStr">
        <is>
          <t>MOHAMMAD RIZWAN ANWAR</t>
        </is>
      </c>
      <c r="F116" s="71" t="inlineStr">
        <is>
          <t>Hard Service</t>
        </is>
      </c>
      <c r="G116" s="32" t="inlineStr">
        <is>
          <t>C00341</t>
        </is>
      </c>
      <c r="H116" s="445" t="n">
        <v>2580321509</v>
      </c>
      <c r="I116" s="446" t="inlineStr">
        <is>
          <t>Approved</t>
        </is>
      </c>
      <c r="J116" s="551" t="n">
        <v>46246</v>
      </c>
      <c r="K116" s="18" t="inlineStr">
        <is>
          <t>MEHAN VISA</t>
        </is>
      </c>
      <c r="L116" s="37"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554" t="n"/>
      <c r="B117" s="554" t="n"/>
      <c r="C117" s="554" t="n"/>
      <c r="D117" s="554" t="n"/>
      <c r="E117" s="48" t="inlineStr">
        <is>
          <t>MD RAKIB HOSSEN</t>
        </is>
      </c>
      <c r="F117" s="71" t="inlineStr">
        <is>
          <t>Hard Service</t>
        </is>
      </c>
      <c r="G117" s="49" t="inlineStr">
        <is>
          <t>-</t>
        </is>
      </c>
      <c r="H117" s="49" t="inlineStr">
        <is>
          <t>-</t>
        </is>
      </c>
      <c r="I117" s="446" t="inlineStr">
        <is>
          <t>Approved</t>
        </is>
      </c>
      <c r="J117" s="551" t="inlineStr">
        <is>
          <t>26/08/2026</t>
        </is>
      </c>
      <c r="K117" s="51" t="inlineStr">
        <is>
          <t>-</t>
        </is>
      </c>
      <c r="L117" s="37"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554" t="n"/>
      <c r="B118" s="554" t="n"/>
      <c r="C118" s="554" t="n"/>
      <c r="D118" s="554" t="n"/>
      <c r="E118" s="31" t="n"/>
      <c r="F118" s="71" t="inlineStr">
        <is>
          <t>Hard Service</t>
        </is>
      </c>
      <c r="G118" s="32" t="inlineStr">
        <is>
          <t>-</t>
        </is>
      </c>
      <c r="H118" s="445" t="inlineStr">
        <is>
          <t>-</t>
        </is>
      </c>
      <c r="I118" s="446" t="inlineStr">
        <is>
          <t>Vacant</t>
        </is>
      </c>
      <c r="J118" s="552" t="n"/>
      <c r="K118" s="18" t="inlineStr">
        <is>
          <t>-</t>
        </is>
      </c>
      <c r="L118" s="37"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554" t="n"/>
      <c r="B119" s="554" t="n"/>
      <c r="C119" s="554" t="n"/>
      <c r="D119" s="554" t="n"/>
      <c r="E119" s="73" t="n"/>
      <c r="F119" s="71" t="inlineStr">
        <is>
          <t>Hard Service</t>
        </is>
      </c>
      <c r="G119" s="446" t="inlineStr">
        <is>
          <t>-</t>
        </is>
      </c>
      <c r="H119" s="45" t="inlineStr">
        <is>
          <t>-</t>
        </is>
      </c>
      <c r="I119" s="446" t="inlineStr">
        <is>
          <t>Vacant</t>
        </is>
      </c>
      <c r="J119" s="552" t="n"/>
      <c r="K119" s="18" t="inlineStr">
        <is>
          <t>-</t>
        </is>
      </c>
      <c r="L119" s="37"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554" t="n"/>
      <c r="B120" s="554" t="n"/>
      <c r="C120" s="554" t="n"/>
      <c r="D120" s="554" t="n"/>
      <c r="E120" s="73" t="n"/>
      <c r="F120" s="71" t="inlineStr">
        <is>
          <t>Hard Service</t>
        </is>
      </c>
      <c r="G120" s="446" t="inlineStr">
        <is>
          <t>-</t>
        </is>
      </c>
      <c r="H120" s="45" t="inlineStr">
        <is>
          <t>-</t>
        </is>
      </c>
      <c r="I120" s="446" t="inlineStr">
        <is>
          <t>Vacant</t>
        </is>
      </c>
      <c r="J120" s="552" t="n"/>
      <c r="K120" s="18" t="inlineStr">
        <is>
          <t>-</t>
        </is>
      </c>
      <c r="L120" s="37"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554" t="n"/>
      <c r="B121" s="554" t="n"/>
      <c r="C121" s="554" t="n"/>
      <c r="D121" s="554" t="n"/>
      <c r="E121" s="73" t="n"/>
      <c r="F121" s="71" t="inlineStr">
        <is>
          <t>Hard Service</t>
        </is>
      </c>
      <c r="G121" s="446" t="inlineStr">
        <is>
          <t>-</t>
        </is>
      </c>
      <c r="H121" s="45" t="inlineStr">
        <is>
          <t>-</t>
        </is>
      </c>
      <c r="I121" s="446" t="inlineStr">
        <is>
          <t>Vacant</t>
        </is>
      </c>
      <c r="J121" s="552" t="n"/>
      <c r="K121" s="18" t="inlineStr">
        <is>
          <t>-</t>
        </is>
      </c>
      <c r="L121" s="37"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554" t="n"/>
      <c r="B122" s="554" t="n"/>
      <c r="C122" s="554" t="n"/>
      <c r="D122" s="554" t="n"/>
      <c r="E122" s="73" t="n"/>
      <c r="F122" s="71" t="inlineStr">
        <is>
          <t>Hard Service</t>
        </is>
      </c>
      <c r="G122" s="446" t="inlineStr">
        <is>
          <t>-</t>
        </is>
      </c>
      <c r="H122" s="45" t="inlineStr">
        <is>
          <t>-</t>
        </is>
      </c>
      <c r="I122" s="446" t="inlineStr">
        <is>
          <t>Vacant</t>
        </is>
      </c>
      <c r="J122" s="552" t="n"/>
      <c r="K122" s="18" t="inlineStr">
        <is>
          <t>-</t>
        </is>
      </c>
      <c r="L122" s="37"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554" t="n"/>
      <c r="B123" s="554" t="n"/>
      <c r="C123" s="554" t="n"/>
      <c r="D123" s="554" t="n"/>
      <c r="E123" s="73" t="n"/>
      <c r="F123" s="71" t="inlineStr">
        <is>
          <t>Hard Service</t>
        </is>
      </c>
      <c r="G123" s="446" t="inlineStr">
        <is>
          <t>-</t>
        </is>
      </c>
      <c r="H123" s="45" t="inlineStr">
        <is>
          <t>-</t>
        </is>
      </c>
      <c r="I123" s="446" t="inlineStr">
        <is>
          <t>Vacant</t>
        </is>
      </c>
      <c r="J123" s="552" t="n"/>
      <c r="K123" s="18" t="inlineStr">
        <is>
          <t>-</t>
        </is>
      </c>
      <c r="L123" s="37"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553" t="n"/>
      <c r="B124" s="553" t="n"/>
      <c r="C124" s="553" t="n"/>
      <c r="D124" s="553" t="n"/>
      <c r="E124" s="73" t="n"/>
      <c r="F124" s="71" t="inlineStr">
        <is>
          <t>Hard Service</t>
        </is>
      </c>
      <c r="G124" s="446" t="inlineStr">
        <is>
          <t>-</t>
        </is>
      </c>
      <c r="H124" s="45" t="inlineStr">
        <is>
          <t>-</t>
        </is>
      </c>
      <c r="I124" s="446" t="inlineStr">
        <is>
          <t>Vacant</t>
        </is>
      </c>
      <c r="J124" s="552" t="n"/>
      <c r="K124" s="18" t="inlineStr">
        <is>
          <t>-</t>
        </is>
      </c>
      <c r="L124" s="37"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28" t="inlineStr">
        <is>
          <t>Appliance Technician</t>
        </is>
      </c>
      <c r="B125" s="429" t="n">
        <v>2</v>
      </c>
      <c r="C125" s="429">
        <f>COUNTIF(E125:E126,"&lt;&gt;")</f>
        <v/>
      </c>
      <c r="D125" s="430">
        <f>C125-B125</f>
        <v/>
      </c>
      <c r="E125" s="73" t="n"/>
      <c r="F125" s="71" t="inlineStr">
        <is>
          <t>Hard Service</t>
        </is>
      </c>
      <c r="G125" s="446" t="inlineStr">
        <is>
          <t>-</t>
        </is>
      </c>
      <c r="H125" s="45" t="inlineStr">
        <is>
          <t>-</t>
        </is>
      </c>
      <c r="I125" s="446" t="inlineStr">
        <is>
          <t>Vacant</t>
        </is>
      </c>
      <c r="J125" s="552" t="n"/>
      <c r="K125" s="18" t="inlineStr">
        <is>
          <t>-</t>
        </is>
      </c>
      <c r="L125" s="37"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553" t="n"/>
      <c r="B126" s="553" t="n"/>
      <c r="C126" s="553" t="n"/>
      <c r="D126" s="553" t="n"/>
      <c r="E126" s="73" t="n"/>
      <c r="F126" s="71" t="inlineStr">
        <is>
          <t>Hard Service</t>
        </is>
      </c>
      <c r="G126" s="446" t="inlineStr">
        <is>
          <t>-</t>
        </is>
      </c>
      <c r="H126" s="45" t="inlineStr">
        <is>
          <t>-</t>
        </is>
      </c>
      <c r="I126" s="446" t="inlineStr">
        <is>
          <t>Vacant</t>
        </is>
      </c>
      <c r="J126" s="552" t="n"/>
      <c r="K126" s="18" t="inlineStr">
        <is>
          <t>-</t>
        </is>
      </c>
      <c r="L126" s="37"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24" t="inlineStr">
        <is>
          <t>Warehouse Helper</t>
        </is>
      </c>
      <c r="B127" s="425" t="n">
        <v>2</v>
      </c>
      <c r="C127" s="426">
        <f>COUNTIF(E127:E128,"&lt;&gt;")</f>
        <v/>
      </c>
      <c r="D127" s="427">
        <f>C127-B127</f>
        <v/>
      </c>
      <c r="E127" s="48" t="inlineStr">
        <is>
          <t>Mohammad Ajmat Ansari</t>
        </is>
      </c>
      <c r="F127" s="71" t="inlineStr">
        <is>
          <t>Hard Service</t>
        </is>
      </c>
      <c r="G127" s="445" t="inlineStr">
        <is>
          <t>C00745</t>
        </is>
      </c>
      <c r="H127" s="445" t="n">
        <v>2582901068</v>
      </c>
      <c r="I127" s="446" t="inlineStr">
        <is>
          <t>Approved</t>
        </is>
      </c>
      <c r="J127" s="551" t="n">
        <v>45586</v>
      </c>
      <c r="K127" s="18" t="inlineStr">
        <is>
          <t>MEHAN VISA</t>
        </is>
      </c>
      <c r="L127" s="37"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553" t="n"/>
      <c r="B128" s="553" t="n"/>
      <c r="C128" s="553" t="n"/>
      <c r="D128" s="553" t="n"/>
      <c r="E128" s="75" t="inlineStr">
        <is>
          <t>MD. Iqbal Hossain Bhuiyan</t>
        </is>
      </c>
      <c r="F128" s="71" t="inlineStr">
        <is>
          <t>Hard Service</t>
        </is>
      </c>
      <c r="G128" s="445" t="inlineStr">
        <is>
          <t>S254</t>
        </is>
      </c>
      <c r="H128" s="445" t="n">
        <v>2597723580</v>
      </c>
      <c r="I128" s="446" t="inlineStr">
        <is>
          <t>Approved</t>
        </is>
      </c>
      <c r="J128" s="551" t="n">
        <v>45743</v>
      </c>
      <c r="K128" s="18" t="inlineStr">
        <is>
          <t>SCC (RENTAL)</t>
        </is>
      </c>
      <c r="L128" s="37"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28" t="inlineStr">
        <is>
          <t>IT Engineer</t>
        </is>
      </c>
      <c r="B129" s="429" t="n">
        <v>2</v>
      </c>
      <c r="C129" s="429">
        <f>COUNTIF(E129:E130,"&lt;&gt;")</f>
        <v/>
      </c>
      <c r="D129" s="431">
        <f>C129-B129</f>
        <v/>
      </c>
      <c r="E129" s="36" t="inlineStr">
        <is>
          <t>Muhammad Haroon</t>
        </is>
      </c>
      <c r="F129" s="42" t="inlineStr">
        <is>
          <t>I.T</t>
        </is>
      </c>
      <c r="G129" s="43" t="inlineStr">
        <is>
          <t>C00677</t>
        </is>
      </c>
      <c r="H129" s="32" t="n">
        <v>2582096315</v>
      </c>
      <c r="I129" s="446" t="inlineStr">
        <is>
          <t>Approved</t>
        </is>
      </c>
      <c r="J129" s="551" t="n">
        <v>45586</v>
      </c>
      <c r="K129" s="44" t="inlineStr">
        <is>
          <t>MEHAN VISA</t>
        </is>
      </c>
      <c r="L129" s="37"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553" t="n"/>
      <c r="B130" s="553" t="n"/>
      <c r="C130" s="553" t="n"/>
      <c r="D130" s="560" t="n"/>
      <c r="E130" s="48" t="inlineStr">
        <is>
          <t>Haider Ali</t>
        </is>
      </c>
      <c r="F130" s="77" t="inlineStr">
        <is>
          <t>IT</t>
        </is>
      </c>
      <c r="G130" s="445" t="inlineStr">
        <is>
          <t>EM-0002710</t>
        </is>
      </c>
      <c r="H130" s="445" t="n">
        <v>2587449311</v>
      </c>
      <c r="I130" s="446" t="inlineStr">
        <is>
          <t>Approved</t>
        </is>
      </c>
      <c r="J130" s="551" t="n">
        <v>45600</v>
      </c>
      <c r="K130" s="18" t="inlineStr">
        <is>
          <t>AL-FALAK VISA</t>
        </is>
      </c>
      <c r="L130" s="37"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28" t="inlineStr">
        <is>
          <t>Civil Supervisor</t>
        </is>
      </c>
      <c r="B131" s="429" t="n">
        <v>2</v>
      </c>
      <c r="C131" s="429">
        <f>COUNTIF(E131:E132,"&lt;&gt;")</f>
        <v/>
      </c>
      <c r="D131" s="430">
        <f>C131-B131</f>
        <v/>
      </c>
      <c r="E131" s="48" t="inlineStr">
        <is>
          <t>MD. Rashid Hussain</t>
        </is>
      </c>
      <c r="F131" s="71" t="inlineStr">
        <is>
          <t>Hard Service</t>
        </is>
      </c>
      <c r="G131" s="45" t="inlineStr">
        <is>
          <t>C00720</t>
        </is>
      </c>
      <c r="H131" s="45" t="n">
        <v>2582389033</v>
      </c>
      <c r="I131" s="446" t="inlineStr">
        <is>
          <t>Approved</t>
        </is>
      </c>
      <c r="J131" s="551" t="n">
        <v>45599</v>
      </c>
      <c r="K131" s="18" t="inlineStr">
        <is>
          <t>MEHAN VISA</t>
        </is>
      </c>
      <c r="L131" s="37"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553" t="n"/>
      <c r="B132" s="553" t="n"/>
      <c r="C132" s="553" t="n"/>
      <c r="D132" s="553" t="n"/>
      <c r="E132" s="36" t="inlineStr">
        <is>
          <t>Zakir Shafi Dar</t>
        </is>
      </c>
      <c r="F132" s="42" t="inlineStr">
        <is>
          <t>Hard Service</t>
        </is>
      </c>
      <c r="G132" s="43" t="n">
        <v>704236</v>
      </c>
      <c r="H132" s="32" t="n">
        <v>2636733269</v>
      </c>
      <c r="I132" s="446" t="inlineStr">
        <is>
          <t>Additional</t>
        </is>
      </c>
      <c r="J132" s="551" t="n">
        <v>46157</v>
      </c>
      <c r="K132" s="44" t="inlineStr">
        <is>
          <t>FMCO</t>
        </is>
      </c>
      <c r="L132" s="37"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28" t="inlineStr">
        <is>
          <t>Mason</t>
        </is>
      </c>
      <c r="B133" s="429" t="n">
        <v>2</v>
      </c>
      <c r="C133" s="429">
        <f>COUNTIF(E133:E134,"&lt;&gt;")</f>
        <v/>
      </c>
      <c r="D133" s="430">
        <f>C133-B133</f>
        <v/>
      </c>
      <c r="E133" s="48" t="inlineStr">
        <is>
          <t>Mahfuzul Alam</t>
        </is>
      </c>
      <c r="F133" s="71" t="inlineStr">
        <is>
          <t>Hard Service</t>
        </is>
      </c>
      <c r="G133" s="45" t="n">
        <v>703908</v>
      </c>
      <c r="H133" s="45" t="n">
        <v>2586785574</v>
      </c>
      <c r="I133" s="446" t="inlineStr">
        <is>
          <t>Approved</t>
        </is>
      </c>
      <c r="J133" s="551" t="n">
        <v>45600</v>
      </c>
      <c r="K133" s="18" t="inlineStr">
        <is>
          <t>FMCO</t>
        </is>
      </c>
      <c r="L133" s="37"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553" t="n"/>
      <c r="B134" s="553" t="n"/>
      <c r="C134" s="553" t="n"/>
      <c r="D134" s="553" t="n"/>
      <c r="E134" s="36" t="inlineStr">
        <is>
          <t>Ram Babu Khatbe</t>
        </is>
      </c>
      <c r="F134" s="42" t="inlineStr">
        <is>
          <t>Hard Service</t>
        </is>
      </c>
      <c r="G134" s="43" t="n">
        <v>701716</v>
      </c>
      <c r="H134" s="32" t="n">
        <v>2536765734</v>
      </c>
      <c r="I134" s="446" t="inlineStr">
        <is>
          <t>Approved</t>
        </is>
      </c>
      <c r="J134" s="551" t="n">
        <v>46101</v>
      </c>
      <c r="K134" s="44" t="inlineStr">
        <is>
          <t>FMCO</t>
        </is>
      </c>
      <c r="L134" s="37"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28" t="inlineStr">
        <is>
          <t>Carpenter</t>
        </is>
      </c>
      <c r="B135" s="429" t="n">
        <v>8</v>
      </c>
      <c r="C135" s="429">
        <f>COUNTIF(E135:E142,"&lt;&gt;")</f>
        <v/>
      </c>
      <c r="D135" s="430">
        <f>C135-B135</f>
        <v/>
      </c>
      <c r="E135" s="48" t="inlineStr">
        <is>
          <t>Santosh Kumar</t>
        </is>
      </c>
      <c r="F135" s="71" t="inlineStr">
        <is>
          <t>Hard Service</t>
        </is>
      </c>
      <c r="G135" s="45" t="inlineStr">
        <is>
          <t>EM-0001963</t>
        </is>
      </c>
      <c r="H135" s="45" t="n">
        <v>2586198232</v>
      </c>
      <c r="I135" s="446" t="inlineStr">
        <is>
          <t>Approved</t>
        </is>
      </c>
      <c r="J135" s="551" t="n">
        <v>45902</v>
      </c>
      <c r="K135" s="18" t="inlineStr">
        <is>
          <t>AL-FALAK VISA</t>
        </is>
      </c>
      <c r="L135" s="37"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554" t="n"/>
      <c r="B136" s="554" t="n"/>
      <c r="C136" s="554" t="n"/>
      <c r="D136" s="554" t="n"/>
      <c r="E136" s="48" t="inlineStr">
        <is>
          <t>MD. Rezaul Khan</t>
        </is>
      </c>
      <c r="F136" s="71" t="inlineStr">
        <is>
          <t>Hard Service</t>
        </is>
      </c>
      <c r="G136" s="45" t="inlineStr">
        <is>
          <t>S328</t>
        </is>
      </c>
      <c r="H136" s="45" t="n">
        <v>2602237444</v>
      </c>
      <c r="I136" s="446" t="inlineStr">
        <is>
          <t>Approved</t>
        </is>
      </c>
      <c r="J136" s="551" t="n">
        <v>45785</v>
      </c>
      <c r="K136" s="18" t="inlineStr">
        <is>
          <t>SCC (RENTAL)</t>
        </is>
      </c>
      <c r="L136" s="37"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554" t="n"/>
      <c r="B137" s="554" t="n"/>
      <c r="C137" s="554" t="n"/>
      <c r="D137" s="554" t="n"/>
      <c r="E137" s="48" t="inlineStr">
        <is>
          <t>Rakesh Kumar Khatbe</t>
        </is>
      </c>
      <c r="F137" s="71" t="inlineStr">
        <is>
          <t>Hard Service</t>
        </is>
      </c>
      <c r="G137" s="45" t="inlineStr">
        <is>
          <t>S330</t>
        </is>
      </c>
      <c r="H137" s="45" t="n">
        <v>2603242401</v>
      </c>
      <c r="I137" s="446" t="inlineStr">
        <is>
          <t>Approved</t>
        </is>
      </c>
      <c r="J137" s="551" t="n">
        <v>45785</v>
      </c>
      <c r="K137" s="18" t="inlineStr">
        <is>
          <t>SCC (RENTAL)</t>
        </is>
      </c>
      <c r="L137" s="37"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554" t="n"/>
      <c r="B138" s="554" t="n"/>
      <c r="C138" s="554" t="n"/>
      <c r="D138" s="554" t="n"/>
      <c r="E138" s="48" t="inlineStr">
        <is>
          <t>Mohammad Safi Alam</t>
        </is>
      </c>
      <c r="F138" s="71" t="inlineStr">
        <is>
          <t>Hard Service</t>
        </is>
      </c>
      <c r="G138" s="45" t="inlineStr">
        <is>
          <t>S331</t>
        </is>
      </c>
      <c r="H138" s="45" t="n">
        <v>2603239753</v>
      </c>
      <c r="I138" s="446" t="inlineStr">
        <is>
          <t>Approved</t>
        </is>
      </c>
      <c r="J138" s="551" t="n">
        <v>45785</v>
      </c>
      <c r="K138" s="18" t="inlineStr">
        <is>
          <t>SCC (RENTAL)</t>
        </is>
      </c>
      <c r="L138" s="37"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554" t="n"/>
      <c r="B139" s="554" t="n"/>
      <c r="C139" s="554" t="n"/>
      <c r="D139" s="554" t="n"/>
      <c r="E139" s="48" t="inlineStr">
        <is>
          <t>Shyam Babu Mahato</t>
        </is>
      </c>
      <c r="F139" s="71" t="inlineStr">
        <is>
          <t>Hard Service</t>
        </is>
      </c>
      <c r="G139" s="45" t="inlineStr">
        <is>
          <t>S332</t>
        </is>
      </c>
      <c r="H139" s="45" t="n">
        <v>2603241718</v>
      </c>
      <c r="I139" s="446" t="inlineStr">
        <is>
          <t>Approved</t>
        </is>
      </c>
      <c r="J139" s="551" t="n">
        <v>45785</v>
      </c>
      <c r="K139" s="18" t="inlineStr">
        <is>
          <t>SCC (RENTAL)</t>
        </is>
      </c>
      <c r="L139" s="37"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554" t="n"/>
      <c r="B140" s="554" t="n"/>
      <c r="C140" s="554" t="n"/>
      <c r="D140" s="554" t="n"/>
      <c r="E140" s="48" t="inlineStr">
        <is>
          <t>Mainuddin Ahmed Hussain</t>
        </is>
      </c>
      <c r="F140" s="71" t="inlineStr">
        <is>
          <t>Hard Service</t>
        </is>
      </c>
      <c r="G140" s="446" t="inlineStr">
        <is>
          <t>-</t>
        </is>
      </c>
      <c r="H140" s="45" t="inlineStr">
        <is>
          <t>-</t>
        </is>
      </c>
      <c r="I140" s="446" t="inlineStr">
        <is>
          <t>Approved</t>
        </is>
      </c>
      <c r="J140" s="551" t="n">
        <v>46232</v>
      </c>
      <c r="K140" s="18" t="inlineStr">
        <is>
          <t>-</t>
        </is>
      </c>
      <c r="L140" s="37"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554" t="n"/>
      <c r="B141" s="554" t="n"/>
      <c r="C141" s="554" t="n"/>
      <c r="D141" s="554" t="n"/>
      <c r="E141" s="31" t="n"/>
      <c r="F141" s="71" t="inlineStr">
        <is>
          <t>Hard Service</t>
        </is>
      </c>
      <c r="G141" s="446" t="inlineStr">
        <is>
          <t>-</t>
        </is>
      </c>
      <c r="H141" s="45" t="inlineStr">
        <is>
          <t>-</t>
        </is>
      </c>
      <c r="I141" s="446" t="inlineStr">
        <is>
          <t>Vacant</t>
        </is>
      </c>
      <c r="J141" s="552" t="n"/>
      <c r="K141" s="18" t="inlineStr">
        <is>
          <t>-</t>
        </is>
      </c>
      <c r="L141" s="37"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553" t="n"/>
      <c r="B142" s="553" t="n"/>
      <c r="C142" s="553" t="n"/>
      <c r="D142" s="553" t="n"/>
      <c r="E142" s="31" t="n"/>
      <c r="F142" s="71" t="inlineStr">
        <is>
          <t>Hard Service</t>
        </is>
      </c>
      <c r="G142" s="446" t="inlineStr">
        <is>
          <t>-</t>
        </is>
      </c>
      <c r="H142" s="45" t="inlineStr">
        <is>
          <t>-</t>
        </is>
      </c>
      <c r="I142" s="446" t="inlineStr">
        <is>
          <t>Vacant</t>
        </is>
      </c>
      <c r="J142" s="552" t="n"/>
      <c r="K142" s="18" t="inlineStr">
        <is>
          <t>-</t>
        </is>
      </c>
      <c r="L142" s="37"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28" t="inlineStr">
        <is>
          <t>Painter/Handyman (Civil)</t>
        </is>
      </c>
      <c r="B143" s="429" t="n">
        <v>4</v>
      </c>
      <c r="C143" s="429">
        <f>COUNTIF(E143:E146,"&lt;&gt;")</f>
        <v/>
      </c>
      <c r="D143" s="430">
        <f>C143-B143</f>
        <v/>
      </c>
      <c r="E143" s="48" t="inlineStr">
        <is>
          <t>Sagor Bepari</t>
        </is>
      </c>
      <c r="F143" s="71" t="inlineStr">
        <is>
          <t>Hard Service</t>
        </is>
      </c>
      <c r="G143" s="445" t="inlineStr">
        <is>
          <t>-</t>
        </is>
      </c>
      <c r="H143" s="445" t="n">
        <v>2634344341</v>
      </c>
      <c r="I143" s="446" t="inlineStr">
        <is>
          <t>Approved</t>
        </is>
      </c>
      <c r="J143" s="551" t="n">
        <v>46149</v>
      </c>
      <c r="K143" s="18" t="inlineStr">
        <is>
          <t>AL SHARQIYA (Rental)</t>
        </is>
      </c>
      <c r="L143" s="37"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554" t="n"/>
      <c r="B144" s="554" t="n"/>
      <c r="C144" s="554" t="n"/>
      <c r="D144" s="554" t="n"/>
      <c r="E144" s="48" t="inlineStr">
        <is>
          <t>Mohammad Faruk Jossain</t>
        </is>
      </c>
      <c r="F144" s="71" t="inlineStr">
        <is>
          <t>Hard Service</t>
        </is>
      </c>
      <c r="G144" s="445" t="inlineStr">
        <is>
          <t>-</t>
        </is>
      </c>
      <c r="H144" s="445" t="n">
        <v>2615815228</v>
      </c>
      <c r="I144" s="446" t="inlineStr">
        <is>
          <t>Approved</t>
        </is>
      </c>
      <c r="J144" s="551" t="n">
        <v>46149</v>
      </c>
      <c r="K144" s="18" t="inlineStr">
        <is>
          <t>AL SHARQIYA (Rental)</t>
        </is>
      </c>
      <c r="L144" s="37"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554" t="n"/>
      <c r="B145" s="554" t="n"/>
      <c r="C145" s="554" t="n"/>
      <c r="D145" s="554" t="n"/>
      <c r="E145" s="48" t="inlineStr">
        <is>
          <t>Golam Rabbani</t>
        </is>
      </c>
      <c r="F145" s="71" t="inlineStr">
        <is>
          <t>Hard Service</t>
        </is>
      </c>
      <c r="G145" s="445" t="inlineStr">
        <is>
          <t>-</t>
        </is>
      </c>
      <c r="H145" s="445" t="n">
        <v>2592128157</v>
      </c>
      <c r="I145" s="446" t="inlineStr">
        <is>
          <t>Approved</t>
        </is>
      </c>
      <c r="J145" s="551" t="n">
        <v>46149</v>
      </c>
      <c r="K145" s="18" t="inlineStr">
        <is>
          <t>AL SHARQIYA (Rental)</t>
        </is>
      </c>
      <c r="L145" s="37"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553" t="n"/>
      <c r="B146" s="553" t="n"/>
      <c r="C146" s="553" t="n"/>
      <c r="D146" s="553" t="n"/>
      <c r="E146" s="48" t="inlineStr">
        <is>
          <t>Redoy Miah</t>
        </is>
      </c>
      <c r="F146" s="71" t="inlineStr">
        <is>
          <t>Hard Service</t>
        </is>
      </c>
      <c r="G146" s="445" t="inlineStr">
        <is>
          <t>-</t>
        </is>
      </c>
      <c r="H146" s="445" t="n">
        <v>2558499931</v>
      </c>
      <c r="I146" s="446" t="inlineStr">
        <is>
          <t>Approved</t>
        </is>
      </c>
      <c r="J146" s="551" t="n">
        <v>46151</v>
      </c>
      <c r="K146" s="18" t="inlineStr">
        <is>
          <t>AL SHARQIYA (Rental)</t>
        </is>
      </c>
      <c r="L146" s="37"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24" t="inlineStr">
        <is>
          <t>LV Techncian (CCTV/IT )</t>
        </is>
      </c>
      <c r="B147" s="425" t="n">
        <v>2</v>
      </c>
      <c r="C147" s="426">
        <f>COUNTIF(E147:E148,"&lt;&gt;")</f>
        <v/>
      </c>
      <c r="D147" s="427">
        <f>C147-B147</f>
        <v/>
      </c>
      <c r="E147" s="48" t="inlineStr">
        <is>
          <t>Saraf Raj Ahmad</t>
        </is>
      </c>
      <c r="F147" s="71" t="inlineStr">
        <is>
          <t>Hard Service</t>
        </is>
      </c>
      <c r="G147" s="445" t="inlineStr">
        <is>
          <t>E-022-866</t>
        </is>
      </c>
      <c r="H147" s="445" t="n">
        <v>2587611480</v>
      </c>
      <c r="I147" s="446" t="inlineStr">
        <is>
          <t>Approved</t>
        </is>
      </c>
      <c r="J147" s="551" t="n">
        <v>45600</v>
      </c>
      <c r="K147" s="18" t="inlineStr">
        <is>
          <t>TALENT HOUSE VISA</t>
        </is>
      </c>
      <c r="L147" s="37"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553" t="n"/>
      <c r="B148" s="553" t="n"/>
      <c r="C148" s="553" t="n"/>
      <c r="D148" s="553" t="n"/>
      <c r="E148" s="48" t="inlineStr">
        <is>
          <t>Shashi Ranjan Kumar</t>
        </is>
      </c>
      <c r="F148" s="71" t="inlineStr">
        <is>
          <t>Hard Service</t>
        </is>
      </c>
      <c r="G148" s="445" t="inlineStr">
        <is>
          <t>EM-0002691</t>
        </is>
      </c>
      <c r="H148" s="445" t="n">
        <v>2586437481</v>
      </c>
      <c r="I148" s="446" t="inlineStr">
        <is>
          <t>Approved</t>
        </is>
      </c>
      <c r="J148" s="551" t="n">
        <v>45586</v>
      </c>
      <c r="K148" s="18" t="inlineStr">
        <is>
          <t>AL-FALAK VISA</t>
        </is>
      </c>
      <c r="L148" s="37"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28" t="inlineStr">
        <is>
          <t>STP Supervisor</t>
        </is>
      </c>
      <c r="B149" s="429" t="n">
        <v>2</v>
      </c>
      <c r="C149" s="429">
        <f>COUNTIF(E149:E150,"&lt;&gt;")</f>
        <v/>
      </c>
      <c r="D149" s="430">
        <f>C149-B149</f>
        <v/>
      </c>
      <c r="E149" s="48" t="inlineStr">
        <is>
          <t>Mohammad Nasir Jawed</t>
        </is>
      </c>
      <c r="F149" s="71" t="inlineStr">
        <is>
          <t>Hard Service</t>
        </is>
      </c>
      <c r="G149" s="445" t="n">
        <v>219071</v>
      </c>
      <c r="H149" s="445" t="n">
        <v>2620904587</v>
      </c>
      <c r="I149" s="446" t="inlineStr">
        <is>
          <t>Approved</t>
        </is>
      </c>
      <c r="J149" s="551" t="n">
        <v>45980</v>
      </c>
      <c r="K149" s="18" t="inlineStr">
        <is>
          <t>MASSADAR VISA</t>
        </is>
      </c>
      <c r="L149" s="37"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553" t="n"/>
      <c r="B150" s="553" t="n"/>
      <c r="C150" s="553" t="n"/>
      <c r="D150" s="553" t="n"/>
      <c r="E150" s="48" t="inlineStr">
        <is>
          <t xml:space="preserve">Ram Dulare Yadav </t>
        </is>
      </c>
      <c r="F150" s="71" t="inlineStr">
        <is>
          <t>Hard Service</t>
        </is>
      </c>
      <c r="G150" s="445" t="n">
        <v>704233</v>
      </c>
      <c r="H150" s="445" t="n">
        <v>2636153898</v>
      </c>
      <c r="I150" s="446" t="inlineStr">
        <is>
          <t>Approved</t>
        </is>
      </c>
      <c r="J150" s="551" t="n">
        <v>46151</v>
      </c>
      <c r="K150" s="18" t="inlineStr">
        <is>
          <t>FMCO</t>
        </is>
      </c>
      <c r="L150" s="37"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28" t="inlineStr">
        <is>
          <t>STP Operator</t>
        </is>
      </c>
      <c r="B151" s="429" t="n">
        <v>4</v>
      </c>
      <c r="C151" s="432">
        <f>COUNTIF(E151:E154,"&lt;&gt;")</f>
        <v/>
      </c>
      <c r="D151" s="430">
        <f>C151-B151</f>
        <v/>
      </c>
      <c r="E151" s="36" t="inlineStr">
        <is>
          <t xml:space="preserve">Md Reyaz </t>
        </is>
      </c>
      <c r="F151" s="42" t="inlineStr">
        <is>
          <t>Hard Service</t>
        </is>
      </c>
      <c r="G151" s="43" t="n">
        <v>704248</v>
      </c>
      <c r="H151" s="32" t="n">
        <v>2637236379</v>
      </c>
      <c r="I151" s="446" t="inlineStr">
        <is>
          <t>Approved</t>
        </is>
      </c>
      <c r="J151" s="551" t="n">
        <v>46164</v>
      </c>
      <c r="K151" s="44" t="inlineStr">
        <is>
          <t>FMCO</t>
        </is>
      </c>
      <c r="L151" s="37"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554" t="n"/>
      <c r="B152" s="554" t="n"/>
      <c r="C152" s="554" t="n"/>
      <c r="D152" s="554" t="n"/>
      <c r="E152" s="48" t="inlineStr">
        <is>
          <t>MD. Arman Ansari</t>
        </is>
      </c>
      <c r="F152" s="71" t="inlineStr">
        <is>
          <t>Hard Service</t>
        </is>
      </c>
      <c r="G152" s="445" t="inlineStr">
        <is>
          <t>EM-0003037</t>
        </is>
      </c>
      <c r="H152" s="445" t="n">
        <v>2617813361</v>
      </c>
      <c r="I152" s="446" t="inlineStr">
        <is>
          <t>Approved</t>
        </is>
      </c>
      <c r="J152" s="551" t="n">
        <v>46087</v>
      </c>
      <c r="K152" s="18" t="inlineStr">
        <is>
          <t>AL-FALAK VISA</t>
        </is>
      </c>
      <c r="L152" s="37"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554" t="n"/>
      <c r="B153" s="554" t="n"/>
      <c r="C153" s="554" t="n"/>
      <c r="D153" s="554" t="n"/>
      <c r="E153" s="48" t="inlineStr">
        <is>
          <t>Shakir Iqbal Khan</t>
        </is>
      </c>
      <c r="F153" s="71" t="inlineStr">
        <is>
          <t>Hard Service</t>
        </is>
      </c>
      <c r="G153" s="445" t="inlineStr">
        <is>
          <t>C01322</t>
        </is>
      </c>
      <c r="H153" s="445" t="n">
        <v>2617066150</v>
      </c>
      <c r="I153" s="446" t="inlineStr">
        <is>
          <t>Approved</t>
        </is>
      </c>
      <c r="J153" s="551" t="n">
        <v>45954</v>
      </c>
      <c r="K153" s="18" t="inlineStr">
        <is>
          <t>MEHAN VISA</t>
        </is>
      </c>
      <c r="L153" s="37"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553" t="n"/>
      <c r="B154" s="553" t="n"/>
      <c r="C154" s="553" t="n"/>
      <c r="D154" s="553" t="n"/>
      <c r="E154" s="48" t="inlineStr">
        <is>
          <t>Shabaz Ansari</t>
        </is>
      </c>
      <c r="F154" s="71" t="inlineStr">
        <is>
          <t>Hard Service</t>
        </is>
      </c>
      <c r="G154" s="445" t="inlineStr">
        <is>
          <t>EM-0003038</t>
        </is>
      </c>
      <c r="H154" s="445" t="n">
        <v>2617813692</v>
      </c>
      <c r="I154" s="446" t="inlineStr">
        <is>
          <t>Approved</t>
        </is>
      </c>
      <c r="J154" s="551" t="n">
        <v>45954</v>
      </c>
      <c r="K154" s="18" t="inlineStr">
        <is>
          <t>AL-FALAK VISA</t>
        </is>
      </c>
      <c r="L154" s="37"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28" t="inlineStr">
        <is>
          <t>Multi-Skilled Technician</t>
        </is>
      </c>
      <c r="B155" s="429" t="n">
        <v>2</v>
      </c>
      <c r="C155" s="429">
        <f>COUNTIF(E155:E156,"&lt;&gt;")</f>
        <v/>
      </c>
      <c r="D155" s="430">
        <f>C155-B155</f>
        <v/>
      </c>
      <c r="E155" s="78" t="n"/>
      <c r="F155" s="71" t="inlineStr">
        <is>
          <t>Hard Service</t>
        </is>
      </c>
      <c r="G155" s="45" t="inlineStr">
        <is>
          <t>-</t>
        </is>
      </c>
      <c r="H155" s="79" t="inlineStr">
        <is>
          <t>-</t>
        </is>
      </c>
      <c r="I155" s="446" t="inlineStr">
        <is>
          <t>Vacant</t>
        </is>
      </c>
      <c r="J155" s="552" t="n"/>
      <c r="K155" s="18" t="inlineStr">
        <is>
          <t>-</t>
        </is>
      </c>
      <c r="L155" s="37"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553" t="n"/>
      <c r="B156" s="553" t="n"/>
      <c r="C156" s="553" t="n"/>
      <c r="D156" s="553" t="n"/>
      <c r="E156" s="78" t="n"/>
      <c r="F156" s="71" t="inlineStr">
        <is>
          <t>Hard Service</t>
        </is>
      </c>
      <c r="G156" s="45" t="inlineStr">
        <is>
          <t>-</t>
        </is>
      </c>
      <c r="H156" s="79" t="inlineStr">
        <is>
          <t>-</t>
        </is>
      </c>
      <c r="I156" s="446" t="inlineStr">
        <is>
          <t>Vacant</t>
        </is>
      </c>
      <c r="J156" s="552" t="n"/>
      <c r="K156" s="18" t="inlineStr">
        <is>
          <t>-</t>
        </is>
      </c>
      <c r="L156" s="37"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52" t="inlineStr">
        <is>
          <t>Total Team 
Hard Service Management</t>
        </is>
      </c>
      <c r="B157" s="53" t="inlineStr">
        <is>
          <t>Contractual Requirement</t>
        </is>
      </c>
      <c r="C157" s="53" t="inlineStr">
        <is>
          <t>Approved</t>
        </is>
      </c>
      <c r="D157" s="53" t="inlineStr">
        <is>
          <t>Vacant Position</t>
        </is>
      </c>
      <c r="E157" s="54" t="inlineStr">
        <is>
          <t>Rejected</t>
        </is>
      </c>
      <c r="F157" s="55" t="inlineStr">
        <is>
          <t xml:space="preserve">Additional </t>
        </is>
      </c>
      <c r="G157" s="55" t="inlineStr">
        <is>
          <t>ID</t>
        </is>
      </c>
      <c r="H157" s="55" t="inlineStr">
        <is>
          <t>Iqama</t>
        </is>
      </c>
      <c r="I157" s="80" t="inlineStr">
        <is>
          <t>Status</t>
        </is>
      </c>
      <c r="J157" s="555" t="n"/>
      <c r="K157" s="58" t="n"/>
      <c r="L157" s="59"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53">
        <f>COUNTIF(E35:E156,"&lt;&gt;")</f>
        <v/>
      </c>
      <c r="B158" s="53">
        <f>SUM(B35:B156)</f>
        <v/>
      </c>
      <c r="C158" s="53">
        <f>COUNTIF(I35:I156,"Approved")</f>
        <v/>
      </c>
      <c r="D158" s="53">
        <f>COUNTIF(I35:I156,"Vacant")</f>
        <v/>
      </c>
      <c r="E158" s="59">
        <f>COUNTIF(I35:I156,"Rejected")</f>
        <v/>
      </c>
      <c r="F158" s="55">
        <f>COUNTIF(I35:I156,"Additional ")</f>
        <v/>
      </c>
      <c r="G158" s="55">
        <f>COUNTIF(G35:G156,"-")</f>
        <v/>
      </c>
      <c r="H158" s="55">
        <f>COUNTIF(H35:H156,"-")</f>
        <v/>
      </c>
      <c r="I158" s="60" t="n"/>
      <c r="J158" s="556" t="n"/>
      <c r="K158" s="62" t="n"/>
      <c r="L158" s="60"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81" t="n"/>
      <c r="B159" s="81" t="n"/>
      <c r="C159" s="81" t="n"/>
      <c r="D159" s="81" t="n"/>
      <c r="E159" s="82" t="n"/>
      <c r="F159" s="82" t="n"/>
      <c r="G159" s="82" t="n"/>
      <c r="H159" s="82" t="n"/>
      <c r="I159" s="82" t="n"/>
      <c r="J159" s="561" t="n"/>
      <c r="K159" s="84" t="n"/>
      <c r="L159" s="82"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11" t="inlineStr">
        <is>
          <t>Position</t>
        </is>
      </c>
      <c r="B160" s="12" t="inlineStr">
        <is>
          <t>Contractual Requirement</t>
        </is>
      </c>
      <c r="C160" s="12" t="inlineStr">
        <is>
          <t>On-Site Availability</t>
        </is>
      </c>
      <c r="D160" s="12" t="inlineStr">
        <is>
          <t>Vacant Position</t>
        </is>
      </c>
      <c r="E160" s="85" t="inlineStr">
        <is>
          <t>Emaployee Name</t>
        </is>
      </c>
      <c r="F160" s="14" t="inlineStr">
        <is>
          <t>Decipline</t>
        </is>
      </c>
      <c r="G160" s="15" t="inlineStr">
        <is>
          <t>ID</t>
        </is>
      </c>
      <c r="H160" s="14" t="inlineStr">
        <is>
          <t>Iqama</t>
        </is>
      </c>
      <c r="I160" s="15" t="inlineStr">
        <is>
          <t>Status</t>
        </is>
      </c>
      <c r="J160" s="558" t="n"/>
      <c r="K160" s="70" t="n"/>
      <c r="L160" s="17"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28" t="inlineStr">
        <is>
          <t>Soft Services  Supervisor</t>
        </is>
      </c>
      <c r="B161" s="430" t="n">
        <v>12</v>
      </c>
      <c r="C161" s="430">
        <f>COUNTIF(E161:E172,"&lt;&gt;")</f>
        <v/>
      </c>
      <c r="D161" s="431">
        <f>C161-B161</f>
        <v/>
      </c>
      <c r="E161" s="48" t="inlineStr">
        <is>
          <t>Zia Ullah Afzal Muhammad Afzal</t>
        </is>
      </c>
      <c r="F161" s="77" t="inlineStr">
        <is>
          <t>Soft Service</t>
        </is>
      </c>
      <c r="G161" s="86" t="inlineStr">
        <is>
          <t>C00383</t>
        </is>
      </c>
      <c r="H161" s="87" t="n">
        <v>2580445027</v>
      </c>
      <c r="I161" s="446" t="inlineStr">
        <is>
          <t>Approved</t>
        </is>
      </c>
      <c r="J161" s="551" t="n">
        <v>45716</v>
      </c>
      <c r="K161" s="18" t="inlineStr">
        <is>
          <t>MEHAN VISA</t>
        </is>
      </c>
      <c r="L161" s="37"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554" t="n"/>
      <c r="B162" s="554" t="n"/>
      <c r="C162" s="554" t="n"/>
      <c r="D162" s="562" t="n"/>
      <c r="E162" s="48" t="inlineStr">
        <is>
          <t>Mohammad Imran Hussain</t>
        </is>
      </c>
      <c r="F162" s="77" t="inlineStr">
        <is>
          <t>Soft Service</t>
        </is>
      </c>
      <c r="G162" s="86" t="n">
        <v>701134</v>
      </c>
      <c r="H162" s="87" t="n">
        <v>2456151097</v>
      </c>
      <c r="I162" s="446" t="inlineStr">
        <is>
          <t>Approved</t>
        </is>
      </c>
      <c r="J162" s="551" t="n">
        <v>45930</v>
      </c>
      <c r="K162" s="18" t="inlineStr">
        <is>
          <t>FMCO</t>
        </is>
      </c>
      <c r="L162" s="37"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554" t="n"/>
      <c r="B163" s="554" t="n"/>
      <c r="C163" s="554" t="n"/>
      <c r="D163" s="562" t="n"/>
      <c r="E163" s="48" t="inlineStr">
        <is>
          <t>Manjar Quasimi</t>
        </is>
      </c>
      <c r="F163" s="77" t="inlineStr">
        <is>
          <t>Soft Service</t>
        </is>
      </c>
      <c r="G163" s="86" t="n">
        <v>218966</v>
      </c>
      <c r="H163" s="87" t="n">
        <v>2620429072</v>
      </c>
      <c r="I163" s="446" t="inlineStr">
        <is>
          <t>Approved</t>
        </is>
      </c>
      <c r="J163" s="551" t="n">
        <v>45974</v>
      </c>
      <c r="K163" s="18" t="inlineStr">
        <is>
          <t>MASSADAR VISA</t>
        </is>
      </c>
      <c r="L163" s="37"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554" t="n"/>
      <c r="B164" s="554" t="n"/>
      <c r="C164" s="554" t="n"/>
      <c r="D164" s="562" t="n"/>
      <c r="E164" s="48" t="inlineStr">
        <is>
          <t>Md Nadim Hashmi</t>
        </is>
      </c>
      <c r="F164" s="77" t="inlineStr">
        <is>
          <t>Soft Service</t>
        </is>
      </c>
      <c r="G164" s="86" t="n">
        <v>703081</v>
      </c>
      <c r="H164" s="87" t="n">
        <v>2570056263</v>
      </c>
      <c r="I164" s="446" t="inlineStr">
        <is>
          <t>Approved</t>
        </is>
      </c>
      <c r="J164" s="551" t="n">
        <v>45947</v>
      </c>
      <c r="K164" s="18" t="inlineStr">
        <is>
          <t>FMCO</t>
        </is>
      </c>
      <c r="L164" s="37"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554" t="n"/>
      <c r="B165" s="554" t="n"/>
      <c r="C165" s="554" t="n"/>
      <c r="D165" s="562" t="n"/>
      <c r="E165" s="48" t="inlineStr">
        <is>
          <t>Iqra Akbar Ali</t>
        </is>
      </c>
      <c r="F165" s="77" t="inlineStr">
        <is>
          <t>Soft Service</t>
        </is>
      </c>
      <c r="G165" s="86" t="n">
        <v>2630308704</v>
      </c>
      <c r="H165" s="87" t="n">
        <v>2630308704</v>
      </c>
      <c r="I165" s="446" t="inlineStr">
        <is>
          <t>Approved</t>
        </is>
      </c>
      <c r="J165" s="551" t="n">
        <v>46070</v>
      </c>
      <c r="K165" s="18" t="inlineStr">
        <is>
          <t>SCC (RENTAL)</t>
        </is>
      </c>
      <c r="L165" s="37"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554" t="n"/>
      <c r="B166" s="554" t="n"/>
      <c r="C166" s="554" t="n"/>
      <c r="D166" s="562" t="n"/>
      <c r="E166" s="48" t="inlineStr">
        <is>
          <t>Tar Muhammad</t>
        </is>
      </c>
      <c r="F166" s="77" t="inlineStr">
        <is>
          <t>Soft Service</t>
        </is>
      </c>
      <c r="G166" s="86" t="n">
        <v>703076</v>
      </c>
      <c r="H166" s="87" t="n">
        <v>2569953306</v>
      </c>
      <c r="I166" s="446" t="inlineStr">
        <is>
          <t>Approved</t>
        </is>
      </c>
      <c r="J166" s="551" t="n">
        <v>45947</v>
      </c>
      <c r="K166" s="18" t="inlineStr">
        <is>
          <t>FMCO</t>
        </is>
      </c>
      <c r="L166" s="37"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554" t="n"/>
      <c r="B167" s="554" t="n"/>
      <c r="C167" s="554" t="n"/>
      <c r="D167" s="562" t="n"/>
      <c r="E167" s="48" t="inlineStr">
        <is>
          <t>Md Habibullah</t>
        </is>
      </c>
      <c r="F167" s="77" t="inlineStr">
        <is>
          <t>Soft Service</t>
        </is>
      </c>
      <c r="G167" s="86" t="n">
        <v>703103</v>
      </c>
      <c r="H167" s="87" t="n">
        <v>2571852140</v>
      </c>
      <c r="I167" s="446" t="inlineStr">
        <is>
          <t>Approved</t>
        </is>
      </c>
      <c r="J167" s="551" t="n">
        <v>45586</v>
      </c>
      <c r="K167" s="18" t="inlineStr">
        <is>
          <t>FMCO</t>
        </is>
      </c>
      <c r="L167" s="37"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554" t="n"/>
      <c r="B168" s="554" t="n"/>
      <c r="C168" s="554" t="n"/>
      <c r="D168" s="562" t="n"/>
      <c r="E168" s="48" t="inlineStr">
        <is>
          <t>Shahrukh Hussain</t>
        </is>
      </c>
      <c r="F168" s="77" t="inlineStr">
        <is>
          <t>Soft Service</t>
        </is>
      </c>
      <c r="G168" s="86" t="inlineStr">
        <is>
          <t>EM-0002278</t>
        </is>
      </c>
      <c r="H168" s="87" t="n">
        <v>2581680846</v>
      </c>
      <c r="I168" s="446" t="inlineStr">
        <is>
          <t>Approved</t>
        </is>
      </c>
      <c r="J168" s="551" t="n">
        <v>45586</v>
      </c>
      <c r="K168" s="18" t="inlineStr">
        <is>
          <t>AL-FALAK VISA</t>
        </is>
      </c>
      <c r="L168" s="37"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554" t="n"/>
      <c r="B169" s="554" t="n"/>
      <c r="C169" s="554" t="n"/>
      <c r="D169" s="562" t="n"/>
      <c r="E169" s="48" t="inlineStr">
        <is>
          <t>Ahmad Ali</t>
        </is>
      </c>
      <c r="F169" s="77" t="inlineStr">
        <is>
          <t>Soft Service</t>
        </is>
      </c>
      <c r="G169" s="86" t="inlineStr">
        <is>
          <t>C00233</t>
        </is>
      </c>
      <c r="H169" s="87" t="n">
        <v>2580198162</v>
      </c>
      <c r="I169" s="446" t="inlineStr">
        <is>
          <t>Approved</t>
        </is>
      </c>
      <c r="J169" s="551" t="n">
        <v>46079</v>
      </c>
      <c r="K169" s="18" t="inlineStr">
        <is>
          <t>MEHAN VISA</t>
        </is>
      </c>
      <c r="L169" s="37"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554" t="n"/>
      <c r="B170" s="554" t="n"/>
      <c r="C170" s="554" t="n"/>
      <c r="D170" s="562" t="n"/>
      <c r="E170" s="48" t="inlineStr">
        <is>
          <t>Mohammad Ahmad Ul Hoda</t>
        </is>
      </c>
      <c r="F170" s="77" t="inlineStr">
        <is>
          <t>Soft Service</t>
        </is>
      </c>
      <c r="G170" s="86" t="n">
        <v>700687</v>
      </c>
      <c r="H170" s="87" t="n">
        <v>2516771926</v>
      </c>
      <c r="I170" s="446" t="inlineStr">
        <is>
          <t>Approved</t>
        </is>
      </c>
      <c r="J170" s="551" t="n">
        <v>45930</v>
      </c>
      <c r="K170" s="18" t="inlineStr">
        <is>
          <t>FMCO</t>
        </is>
      </c>
      <c r="L170" s="34"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554" t="n"/>
      <c r="B171" s="554" t="n"/>
      <c r="C171" s="554" t="n"/>
      <c r="D171" s="562" t="n"/>
      <c r="E171" s="88" t="n"/>
      <c r="F171" s="71" t="inlineStr">
        <is>
          <t>Soft Service</t>
        </is>
      </c>
      <c r="G171" s="49" t="inlineStr">
        <is>
          <t>-</t>
        </is>
      </c>
      <c r="H171" s="49" t="inlineStr">
        <is>
          <t>-</t>
        </is>
      </c>
      <c r="I171" s="446" t="inlineStr">
        <is>
          <t>Vacant</t>
        </is>
      </c>
      <c r="J171" s="559" t="n"/>
      <c r="K171" s="51" t="inlineStr">
        <is>
          <t>-</t>
        </is>
      </c>
      <c r="L171" s="37"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553" t="n"/>
      <c r="B172" s="553" t="n"/>
      <c r="C172" s="553" t="n"/>
      <c r="D172" s="560" t="n"/>
      <c r="E172" s="89" t="n"/>
      <c r="F172" s="77" t="inlineStr">
        <is>
          <t>Soft Service</t>
        </is>
      </c>
      <c r="G172" s="446" t="inlineStr">
        <is>
          <t>-</t>
        </is>
      </c>
      <c r="H172" s="45" t="inlineStr">
        <is>
          <t>-</t>
        </is>
      </c>
      <c r="I172" s="446" t="inlineStr">
        <is>
          <t>Vacant</t>
        </is>
      </c>
      <c r="J172" s="552" t="n"/>
      <c r="K172" s="18" t="inlineStr">
        <is>
          <t>-</t>
        </is>
      </c>
      <c r="L172" s="37"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28" t="inlineStr">
        <is>
          <t>SS Team Leader</t>
        </is>
      </c>
      <c r="B173" s="430" t="n">
        <v>2</v>
      </c>
      <c r="C173" s="430">
        <f>COUNTIF(E173:E174,"&lt;&gt;")</f>
        <v/>
      </c>
      <c r="D173" s="431">
        <f>C173-B173</f>
        <v/>
      </c>
      <c r="E173" s="31" t="n"/>
      <c r="F173" s="77" t="inlineStr">
        <is>
          <t>Soft Service</t>
        </is>
      </c>
      <c r="G173" s="86" t="inlineStr">
        <is>
          <t>-</t>
        </is>
      </c>
      <c r="H173" s="87" t="inlineStr">
        <is>
          <t>-</t>
        </is>
      </c>
      <c r="I173" s="446" t="inlineStr">
        <is>
          <t>Vacant</t>
        </is>
      </c>
      <c r="J173" s="552" t="n"/>
      <c r="K173" s="18" t="inlineStr">
        <is>
          <t>-</t>
        </is>
      </c>
      <c r="L173" s="37"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553" t="n"/>
      <c r="B174" s="553" t="n"/>
      <c r="C174" s="553" t="n"/>
      <c r="D174" s="560" t="n"/>
      <c r="E174" s="48" t="n"/>
      <c r="F174" s="77" t="inlineStr">
        <is>
          <t>Soft Service</t>
        </is>
      </c>
      <c r="G174" s="86" t="n"/>
      <c r="H174" s="87" t="n"/>
      <c r="I174" s="446" t="inlineStr">
        <is>
          <t>Vacant</t>
        </is>
      </c>
      <c r="J174" s="551" t="n"/>
      <c r="K174" s="18" t="n"/>
      <c r="L174" s="37"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28" t="inlineStr">
        <is>
          <t>Male Cleaners</t>
        </is>
      </c>
      <c r="B175" s="430" t="n">
        <v>16</v>
      </c>
      <c r="C175" s="430">
        <f>COUNTIF(E175:E190,"&lt;&gt;")</f>
        <v/>
      </c>
      <c r="D175" s="430">
        <f>C175-B175</f>
        <v/>
      </c>
      <c r="E175" s="90" t="inlineStr">
        <is>
          <t>Md Harun - Sarker</t>
        </is>
      </c>
      <c r="F175" s="71" t="inlineStr">
        <is>
          <t>Soft Service</t>
        </is>
      </c>
      <c r="G175" s="91" t="inlineStr">
        <is>
          <t>L00113</t>
        </is>
      </c>
      <c r="H175" s="445" t="n">
        <v>2626401570</v>
      </c>
      <c r="I175" s="446" t="inlineStr">
        <is>
          <t>Approved</t>
        </is>
      </c>
      <c r="J175" s="551" t="n">
        <v>46041</v>
      </c>
      <c r="K175" s="18" t="inlineStr">
        <is>
          <t>MEHAN (RENTAL)</t>
        </is>
      </c>
      <c r="L175" s="37"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554" t="n"/>
      <c r="B176" s="554" t="n"/>
      <c r="C176" s="554" t="n"/>
      <c r="D176" s="554" t="n"/>
      <c r="E176" s="92" t="inlineStr">
        <is>
          <t>Pappu   Chai</t>
        </is>
      </c>
      <c r="F176" s="71" t="inlineStr">
        <is>
          <t>Soft Service</t>
        </is>
      </c>
      <c r="G176" s="91" t="inlineStr">
        <is>
          <t>R05277</t>
        </is>
      </c>
      <c r="H176" s="445" t="n">
        <v>2519751495</v>
      </c>
      <c r="I176" s="446" t="inlineStr">
        <is>
          <t>Approved</t>
        </is>
      </c>
      <c r="J176" s="551" t="n">
        <v>45592</v>
      </c>
      <c r="K176" s="18" t="inlineStr">
        <is>
          <t>MEHAN (RENTAL)</t>
        </is>
      </c>
      <c r="L176" s="37"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554" t="n"/>
      <c r="B177" s="554" t="n"/>
      <c r="C177" s="554" t="n"/>
      <c r="D177" s="554" t="n"/>
      <c r="E177" s="92" t="inlineStr">
        <is>
          <t>Kumar Pawan</t>
        </is>
      </c>
      <c r="F177" s="71" t="inlineStr">
        <is>
          <t>Soft Service</t>
        </is>
      </c>
      <c r="G177" s="91" t="inlineStr">
        <is>
          <t>GV099</t>
        </is>
      </c>
      <c r="H177" s="445" t="n">
        <v>2582685208</v>
      </c>
      <c r="I177" s="446" t="inlineStr">
        <is>
          <t>Approved</t>
        </is>
      </c>
      <c r="J177" s="551" t="n">
        <v>45585</v>
      </c>
      <c r="K177" s="18" t="inlineStr">
        <is>
          <t>Gulf Vision ( RENTAL)</t>
        </is>
      </c>
      <c r="L177" s="37"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554" t="n"/>
      <c r="B178" s="554" t="n"/>
      <c r="C178" s="554" t="n"/>
      <c r="D178" s="554" t="n"/>
      <c r="E178" s="92" t="inlineStr">
        <is>
          <t>Md Abdur Rakib</t>
        </is>
      </c>
      <c r="F178" s="71" t="inlineStr">
        <is>
          <t>Soft Service</t>
        </is>
      </c>
      <c r="G178" s="91" t="n">
        <v>2600313890</v>
      </c>
      <c r="H178" s="445" t="n">
        <v>2600313890</v>
      </c>
      <c r="I178" s="446" t="inlineStr">
        <is>
          <t>Approved</t>
        </is>
      </c>
      <c r="J178" s="551" t="n">
        <v>45951</v>
      </c>
      <c r="K178" s="18" t="inlineStr">
        <is>
          <t>SCC (RENTAL)</t>
        </is>
      </c>
      <c r="L178" s="37"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554" t="n"/>
      <c r="B179" s="554" t="n"/>
      <c r="C179" s="554" t="n"/>
      <c r="D179" s="554" t="n"/>
      <c r="E179" s="92" t="inlineStr">
        <is>
          <t>Lache Ram Ahir</t>
        </is>
      </c>
      <c r="F179" s="71" t="inlineStr">
        <is>
          <t>Soft Service</t>
        </is>
      </c>
      <c r="G179" s="91" t="inlineStr">
        <is>
          <t>S311</t>
        </is>
      </c>
      <c r="H179" s="445" t="n">
        <v>2606912513</v>
      </c>
      <c r="I179" s="446" t="inlineStr">
        <is>
          <t>Approved</t>
        </is>
      </c>
      <c r="J179" s="551" t="n">
        <v>45957</v>
      </c>
      <c r="K179" s="18" t="inlineStr">
        <is>
          <t>SCC (RENTAL)</t>
        </is>
      </c>
      <c r="L179" s="37"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554" t="n"/>
      <c r="B180" s="554" t="n"/>
      <c r="C180" s="554" t="n"/>
      <c r="D180" s="554" t="n"/>
      <c r="E180" s="92" t="inlineStr">
        <is>
          <t>Mojammael Miah</t>
        </is>
      </c>
      <c r="F180" s="71" t="inlineStr">
        <is>
          <t>Soft Service</t>
        </is>
      </c>
      <c r="G180" s="91" t="inlineStr">
        <is>
          <t>S362</t>
        </is>
      </c>
      <c r="H180" s="445" t="n">
        <v>2605950472</v>
      </c>
      <c r="I180" s="446" t="inlineStr">
        <is>
          <t>Approved</t>
        </is>
      </c>
      <c r="J180" s="551" t="n">
        <v>45818</v>
      </c>
      <c r="K180" s="18" t="inlineStr">
        <is>
          <t>SCC (RENTAL)</t>
        </is>
      </c>
      <c r="L180" s="37"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554" t="n"/>
      <c r="B181" s="554" t="n"/>
      <c r="C181" s="554" t="n"/>
      <c r="D181" s="554" t="n"/>
      <c r="E181" s="92" t="inlineStr">
        <is>
          <t>Md Rayhan</t>
        </is>
      </c>
      <c r="F181" s="71" t="inlineStr">
        <is>
          <t>Soft Service</t>
        </is>
      </c>
      <c r="G181" s="91" t="n">
        <v>2621898358</v>
      </c>
      <c r="H181" s="445" t="n">
        <v>2621898358</v>
      </c>
      <c r="I181" s="446" t="inlineStr">
        <is>
          <t>Approved</t>
        </is>
      </c>
      <c r="J181" s="551" t="n">
        <v>45996</v>
      </c>
      <c r="K181" s="18" t="inlineStr">
        <is>
          <t>SCC (RENTAL)</t>
        </is>
      </c>
      <c r="L181" s="37"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554" t="n"/>
      <c r="B182" s="554" t="n"/>
      <c r="C182" s="554" t="n"/>
      <c r="D182" s="554" t="n"/>
      <c r="E182" s="92" t="inlineStr">
        <is>
          <t>Md Hasan Ali</t>
        </is>
      </c>
      <c r="F182" s="71" t="inlineStr">
        <is>
          <t>Soft Service</t>
        </is>
      </c>
      <c r="G182" s="91" t="n">
        <v>2624660672</v>
      </c>
      <c r="H182" s="445" t="n">
        <v>2624660672</v>
      </c>
      <c r="I182" s="446" t="inlineStr">
        <is>
          <t>Approved</t>
        </is>
      </c>
      <c r="J182" s="551" t="n">
        <v>46025</v>
      </c>
      <c r="K182" s="18" t="inlineStr">
        <is>
          <t>SCC (RENTAL)</t>
        </is>
      </c>
      <c r="L182" s="37"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554" t="n"/>
      <c r="B183" s="554" t="n"/>
      <c r="C183" s="554" t="n"/>
      <c r="D183" s="554" t="n"/>
      <c r="E183" s="92" t="inlineStr">
        <is>
          <t>Bijay Kumar Urav</t>
        </is>
      </c>
      <c r="F183" s="71" t="inlineStr">
        <is>
          <t>Soft Service</t>
        </is>
      </c>
      <c r="G183" s="91" t="n">
        <v>701191</v>
      </c>
      <c r="H183" s="445" t="n">
        <v>2529857704</v>
      </c>
      <c r="I183" s="446" t="inlineStr">
        <is>
          <t>Approved</t>
        </is>
      </c>
      <c r="J183" s="551" t="n">
        <v>46040</v>
      </c>
      <c r="K183" s="18" t="inlineStr">
        <is>
          <t>FMCO</t>
        </is>
      </c>
      <c r="L183" s="37"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554" t="n"/>
      <c r="B184" s="554" t="n"/>
      <c r="C184" s="554" t="n"/>
      <c r="D184" s="554" t="n"/>
      <c r="E184" s="92" t="inlineStr">
        <is>
          <t>Mohammad Danish</t>
        </is>
      </c>
      <c r="F184" s="71" t="inlineStr">
        <is>
          <t>Soft Service</t>
        </is>
      </c>
      <c r="G184" s="91" t="inlineStr">
        <is>
          <t>C00757</t>
        </is>
      </c>
      <c r="H184" s="445" t="n">
        <v>2583231432</v>
      </c>
      <c r="I184" s="446" t="inlineStr">
        <is>
          <t>Approved</t>
        </is>
      </c>
      <c r="J184" s="551" t="n">
        <v>45586</v>
      </c>
      <c r="K184" s="18" t="inlineStr">
        <is>
          <t>MEHAN VISA</t>
        </is>
      </c>
      <c r="L184" s="37"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554" t="n"/>
      <c r="B185" s="554" t="n"/>
      <c r="C185" s="554" t="n"/>
      <c r="D185" s="554" t="n"/>
      <c r="E185" s="92" t="inlineStr">
        <is>
          <t>Humayun Kabir Mazibur Rahman</t>
        </is>
      </c>
      <c r="F185" s="71" t="inlineStr">
        <is>
          <t>Soft Service</t>
        </is>
      </c>
      <c r="G185" s="91" t="n">
        <v>700371</v>
      </c>
      <c r="H185" s="445" t="n">
        <v>2355750163</v>
      </c>
      <c r="I185" s="446" t="inlineStr">
        <is>
          <t>Approved</t>
        </is>
      </c>
      <c r="J185" s="551" t="n">
        <v>45937</v>
      </c>
      <c r="K185" s="18" t="inlineStr">
        <is>
          <t>FMCO</t>
        </is>
      </c>
      <c r="L185" s="37"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554" t="n"/>
      <c r="B186" s="554" t="n"/>
      <c r="C186" s="554" t="n"/>
      <c r="D186" s="554" t="n"/>
      <c r="E186" s="92" t="inlineStr">
        <is>
          <t>Md Shafiqul Islam</t>
        </is>
      </c>
      <c r="F186" s="71" t="inlineStr">
        <is>
          <t>Soft Service</t>
        </is>
      </c>
      <c r="G186" s="91" t="inlineStr">
        <is>
          <t>S069</t>
        </is>
      </c>
      <c r="H186" s="445" t="n">
        <v>2588708475</v>
      </c>
      <c r="I186" s="446" t="inlineStr">
        <is>
          <t>Approved</t>
        </is>
      </c>
      <c r="J186" s="551" t="n">
        <v>45585</v>
      </c>
      <c r="K186" s="18" t="inlineStr">
        <is>
          <t>SCC (RENTAL)</t>
        </is>
      </c>
      <c r="L186" s="37" t="inlineStr">
        <is>
          <t>-</t>
        </is>
      </c>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554" t="n"/>
      <c r="B187" s="554" t="n"/>
      <c r="C187" s="554" t="n"/>
      <c r="D187" s="554" t="n"/>
      <c r="E187" s="92" t="inlineStr">
        <is>
          <t>RAFI MIAH</t>
        </is>
      </c>
      <c r="F187" s="71" t="inlineStr">
        <is>
          <t>Soft Service</t>
        </is>
      </c>
      <c r="G187" s="43" t="inlineStr">
        <is>
          <t>-</t>
        </is>
      </c>
      <c r="H187" s="43" t="inlineStr">
        <is>
          <t>-</t>
        </is>
      </c>
      <c r="I187" s="446" t="inlineStr">
        <is>
          <t>Approved</t>
        </is>
      </c>
      <c r="J187" s="551" t="n">
        <v>46246</v>
      </c>
      <c r="K187" s="43" t="inlineStr">
        <is>
          <t>-</t>
        </is>
      </c>
      <c r="L187" s="37"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554" t="n"/>
      <c r="B188" s="554" t="n"/>
      <c r="C188" s="554" t="n"/>
      <c r="D188" s="554" t="n"/>
      <c r="E188" s="395" t="inlineStr">
        <is>
          <t>MEHEDI HASAN</t>
        </is>
      </c>
      <c r="F188" s="446" t="inlineStr">
        <is>
          <t>Soft Service</t>
        </is>
      </c>
      <c r="G188" s="445" t="inlineStr">
        <is>
          <t>-</t>
        </is>
      </c>
      <c r="H188" s="445" t="inlineStr">
        <is>
          <t>-</t>
        </is>
      </c>
      <c r="I188" s="446" t="inlineStr">
        <is>
          <t>Approved</t>
        </is>
      </c>
      <c r="J188" s="551" t="inlineStr">
        <is>
          <t>26/08/2026</t>
        </is>
      </c>
      <c r="K188" s="18" t="inlineStr">
        <is>
          <t>-</t>
        </is>
      </c>
      <c r="L188" s="37"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554" t="n"/>
      <c r="B189" s="554" t="n"/>
      <c r="C189" s="554" t="n"/>
      <c r="D189" s="554" t="n"/>
      <c r="E189" s="92" t="inlineStr">
        <is>
          <t>MD JISAN AHAMAD</t>
        </is>
      </c>
      <c r="F189" s="71" t="inlineStr">
        <is>
          <t>Soft Service</t>
        </is>
      </c>
      <c r="G189" s="43" t="inlineStr">
        <is>
          <t>-</t>
        </is>
      </c>
      <c r="H189" s="43" t="inlineStr">
        <is>
          <t>-</t>
        </is>
      </c>
      <c r="I189" s="446" t="inlineStr">
        <is>
          <t>Approved</t>
        </is>
      </c>
      <c r="J189" s="551" t="n">
        <v>46246</v>
      </c>
      <c r="K189" s="43" t="inlineStr">
        <is>
          <t>-</t>
        </is>
      </c>
      <c r="L189" s="37"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553" t="n"/>
      <c r="B190" s="553" t="n"/>
      <c r="C190" s="553" t="n"/>
      <c r="D190" s="553" t="n"/>
      <c r="E190" s="92" t="inlineStr">
        <is>
          <t>MD SYEDUL ISLAM</t>
        </is>
      </c>
      <c r="F190" s="71" t="inlineStr">
        <is>
          <t>Soft Service</t>
        </is>
      </c>
      <c r="G190" s="43" t="inlineStr">
        <is>
          <t>-</t>
        </is>
      </c>
      <c r="H190" s="43" t="inlineStr">
        <is>
          <t>-</t>
        </is>
      </c>
      <c r="I190" s="446" t="inlineStr">
        <is>
          <t>Approved</t>
        </is>
      </c>
      <c r="J190" s="43" t="inlineStr">
        <is>
          <t>-</t>
        </is>
      </c>
      <c r="K190" s="43" t="inlineStr">
        <is>
          <t>-</t>
        </is>
      </c>
      <c r="L190" s="37"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33" t="inlineStr">
        <is>
          <t>Male- Housekeepers</t>
        </is>
      </c>
      <c r="B191" s="434" t="n">
        <v>92</v>
      </c>
      <c r="C191" s="434">
        <f>COUNTIF(E191:E282,"&lt;&gt;")</f>
        <v/>
      </c>
      <c r="D191" s="435">
        <f>C191-B191</f>
        <v/>
      </c>
      <c r="E191" s="36" t="inlineStr">
        <is>
          <t>Shahadat Hossain</t>
        </is>
      </c>
      <c r="F191" s="42" t="inlineStr">
        <is>
          <t>Soft Service</t>
        </is>
      </c>
      <c r="G191" s="43" t="inlineStr">
        <is>
          <t>-</t>
        </is>
      </c>
      <c r="H191" s="32" t="n">
        <v>2590440455</v>
      </c>
      <c r="I191" s="446" t="inlineStr">
        <is>
          <t>Approved</t>
        </is>
      </c>
      <c r="J191" s="551" t="n">
        <v>46199</v>
      </c>
      <c r="K191" s="44" t="inlineStr">
        <is>
          <t>JAWAD AL DUWAIL</t>
        </is>
      </c>
      <c r="L191" s="37"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554" t="n"/>
      <c r="B192" s="554" t="n"/>
      <c r="C192" s="554" t="n"/>
      <c r="D192" s="554" t="n"/>
      <c r="E192" s="92" t="inlineStr">
        <is>
          <t>Md Hossain Ahmed</t>
        </is>
      </c>
      <c r="F192" s="71" t="inlineStr">
        <is>
          <t>Soft Service</t>
        </is>
      </c>
      <c r="G192" s="91" t="n">
        <v>1287</v>
      </c>
      <c r="H192" s="445" t="n">
        <v>2600217968</v>
      </c>
      <c r="I192" s="446" t="inlineStr">
        <is>
          <t>Approved</t>
        </is>
      </c>
      <c r="J192" s="551" t="n">
        <v>45769</v>
      </c>
      <c r="K192" s="18" t="inlineStr">
        <is>
          <t>UCC( RENTAL)</t>
        </is>
      </c>
      <c r="L192" s="37"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554" t="n"/>
      <c r="B193" s="554" t="n"/>
      <c r="C193" s="554" t="n"/>
      <c r="D193" s="554" t="n"/>
      <c r="E193" s="92" t="inlineStr">
        <is>
          <t>Pramod Ray - Yadav</t>
        </is>
      </c>
      <c r="F193" s="71" t="inlineStr">
        <is>
          <t>Soft Service</t>
        </is>
      </c>
      <c r="G193" s="91" t="inlineStr">
        <is>
          <t>R09050</t>
        </is>
      </c>
      <c r="H193" s="445" t="n">
        <v>2609903642</v>
      </c>
      <c r="I193" s="446" t="inlineStr">
        <is>
          <t>Approved</t>
        </is>
      </c>
      <c r="J193" s="551" t="n">
        <v>46041</v>
      </c>
      <c r="K193" s="18" t="inlineStr">
        <is>
          <t>MEHAN (RENTAL)</t>
        </is>
      </c>
      <c r="L193" s="37"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554" t="n"/>
      <c r="B194" s="554" t="n"/>
      <c r="C194" s="554" t="n"/>
      <c r="D194" s="554" t="n"/>
      <c r="E194" s="92" t="inlineStr">
        <is>
          <t>Shemul Biswas</t>
        </is>
      </c>
      <c r="F194" s="71" t="inlineStr">
        <is>
          <t>Soft Service</t>
        </is>
      </c>
      <c r="G194" s="91" t="n">
        <v>2621753884</v>
      </c>
      <c r="H194" s="445" t="n">
        <v>2621753884</v>
      </c>
      <c r="I194" s="446" t="inlineStr">
        <is>
          <t>Approved</t>
        </is>
      </c>
      <c r="J194" s="551" t="n">
        <v>45996</v>
      </c>
      <c r="K194" s="18" t="inlineStr">
        <is>
          <t>SCC (RENTAL)</t>
        </is>
      </c>
      <c r="L194" s="37"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554" t="n"/>
      <c r="B195" s="554" t="n"/>
      <c r="C195" s="554" t="n"/>
      <c r="D195" s="554" t="n"/>
      <c r="E195" s="92" t="inlineStr">
        <is>
          <t>ROWSAD HOSAN</t>
        </is>
      </c>
      <c r="F195" s="71" t="inlineStr">
        <is>
          <t>Soft Service</t>
        </is>
      </c>
      <c r="G195" s="91" t="inlineStr">
        <is>
          <t>-</t>
        </is>
      </c>
      <c r="H195" s="445" t="inlineStr">
        <is>
          <t>-</t>
        </is>
      </c>
      <c r="I195" s="446" t="inlineStr">
        <is>
          <t>Approved</t>
        </is>
      </c>
      <c r="J195" s="551" t="n">
        <v>46246</v>
      </c>
      <c r="K195" s="18" t="inlineStr">
        <is>
          <t>-</t>
        </is>
      </c>
      <c r="L195" s="37"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554" t="n"/>
      <c r="B196" s="554" t="n"/>
      <c r="C196" s="554" t="n"/>
      <c r="D196" s="554" t="n"/>
      <c r="E196" s="92" t="inlineStr">
        <is>
          <t>Dilip Mandal - Khatwe</t>
        </is>
      </c>
      <c r="F196" s="71" t="inlineStr">
        <is>
          <t>Soft Service</t>
        </is>
      </c>
      <c r="G196" s="91" t="inlineStr">
        <is>
          <t>R05550</t>
        </is>
      </c>
      <c r="H196" s="445" t="n">
        <v>2523404776</v>
      </c>
      <c r="I196" s="446" t="inlineStr">
        <is>
          <t>Approved</t>
        </is>
      </c>
      <c r="J196" s="551" t="n">
        <v>46041</v>
      </c>
      <c r="K196" s="18" t="inlineStr">
        <is>
          <t>MEHAN (RENTAL)</t>
        </is>
      </c>
      <c r="L196" s="37"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554" t="n"/>
      <c r="B197" s="554" t="n"/>
      <c r="C197" s="554" t="n"/>
      <c r="D197" s="554" t="n"/>
      <c r="E197" s="92" t="inlineStr">
        <is>
          <t>Md Al Amin</t>
        </is>
      </c>
      <c r="F197" s="71" t="inlineStr">
        <is>
          <t>Soft Service</t>
        </is>
      </c>
      <c r="G197" s="91" t="n">
        <v>2626835835</v>
      </c>
      <c r="H197" s="445" t="n">
        <v>2626835835</v>
      </c>
      <c r="I197" s="446" t="inlineStr">
        <is>
          <t>Approved</t>
        </is>
      </c>
      <c r="J197" s="551" t="n">
        <v>46161</v>
      </c>
      <c r="K197" s="18" t="inlineStr">
        <is>
          <t>SCC (RENTAL)</t>
        </is>
      </c>
      <c r="L197" s="37"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554" t="n"/>
      <c r="B198" s="554" t="n"/>
      <c r="C198" s="554" t="n"/>
      <c r="D198" s="554" t="n"/>
      <c r="E198" s="92" t="inlineStr">
        <is>
          <t>Briju</t>
        </is>
      </c>
      <c r="F198" s="71" t="inlineStr">
        <is>
          <t>Soft Service</t>
        </is>
      </c>
      <c r="G198" s="91" t="inlineStr">
        <is>
          <t>R07470</t>
        </is>
      </c>
      <c r="H198" s="445" t="n">
        <v>2587196714</v>
      </c>
      <c r="I198" s="446" t="inlineStr">
        <is>
          <t>Approved</t>
        </is>
      </c>
      <c r="J198" s="551" t="n">
        <v>45592</v>
      </c>
      <c r="K198" s="18" t="inlineStr">
        <is>
          <t>MEHAN (RENTAL)</t>
        </is>
      </c>
      <c r="L198" s="37"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554" t="n"/>
      <c r="B199" s="554" t="n"/>
      <c r="C199" s="554" t="n"/>
      <c r="D199" s="554" t="n"/>
      <c r="E199" s="92" t="inlineStr">
        <is>
          <t>Showrob Hossain</t>
        </is>
      </c>
      <c r="F199" s="71" t="inlineStr">
        <is>
          <t>Soft Service</t>
        </is>
      </c>
      <c r="G199" s="91" t="inlineStr">
        <is>
          <t>S066</t>
        </is>
      </c>
      <c r="H199" s="445" t="n">
        <v>2588708061</v>
      </c>
      <c r="I199" s="446" t="inlineStr">
        <is>
          <t>Approved</t>
        </is>
      </c>
      <c r="J199" s="551" t="n">
        <v>45585</v>
      </c>
      <c r="K199" s="18" t="inlineStr">
        <is>
          <t>SCC (RENTAL)</t>
        </is>
      </c>
      <c r="L199" s="37"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554" t="n"/>
      <c r="B200" s="554" t="n"/>
      <c r="C200" s="554" t="n"/>
      <c r="D200" s="554" t="n"/>
      <c r="E200" s="92" t="inlineStr">
        <is>
          <t>Md Jamirul Islam</t>
        </is>
      </c>
      <c r="F200" s="71" t="inlineStr">
        <is>
          <t>Soft Service</t>
        </is>
      </c>
      <c r="G200" s="91" t="inlineStr">
        <is>
          <t>S071</t>
        </is>
      </c>
      <c r="H200" s="445" t="n">
        <v>2588710083</v>
      </c>
      <c r="I200" s="446" t="inlineStr">
        <is>
          <t>Approved</t>
        </is>
      </c>
      <c r="J200" s="551" t="n">
        <v>45585</v>
      </c>
      <c r="K200" s="18" t="inlineStr">
        <is>
          <t>SCC (RENTAL)</t>
        </is>
      </c>
      <c r="L200" s="37"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554" t="n"/>
      <c r="B201" s="554" t="n"/>
      <c r="C201" s="554" t="n"/>
      <c r="D201" s="554" t="n"/>
      <c r="E201" s="92" t="inlineStr">
        <is>
          <t>Nazrul Islam</t>
        </is>
      </c>
      <c r="F201" s="71" t="inlineStr">
        <is>
          <t>Soft Service</t>
        </is>
      </c>
      <c r="G201" s="91" t="n">
        <v>2621897046</v>
      </c>
      <c r="H201" s="445" t="n">
        <v>2621897046</v>
      </c>
      <c r="I201" s="446" t="inlineStr">
        <is>
          <t>Approved</t>
        </is>
      </c>
      <c r="J201" s="551" t="n">
        <v>45996</v>
      </c>
      <c r="K201" s="18" t="inlineStr">
        <is>
          <t>SCC (RENTAL)</t>
        </is>
      </c>
      <c r="L201" s="37"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554" t="n"/>
      <c r="B202" s="554" t="n"/>
      <c r="C202" s="554" t="n"/>
      <c r="D202" s="554" t="n"/>
      <c r="E202" s="92" t="inlineStr">
        <is>
          <t>Abul Khaer</t>
        </is>
      </c>
      <c r="F202" s="71" t="inlineStr">
        <is>
          <t>Soft Service</t>
        </is>
      </c>
      <c r="G202" s="91" t="n">
        <v>2621898440</v>
      </c>
      <c r="H202" s="445" t="n">
        <v>2621898440</v>
      </c>
      <c r="I202" s="446" t="inlineStr">
        <is>
          <t>Approved</t>
        </is>
      </c>
      <c r="J202" s="551" t="n">
        <v>45996</v>
      </c>
      <c r="K202" s="18" t="inlineStr">
        <is>
          <t>SCC (RENTAL)</t>
        </is>
      </c>
      <c r="L202" s="37"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554" t="n"/>
      <c r="B203" s="554" t="n"/>
      <c r="C203" s="554" t="n"/>
      <c r="D203" s="554" t="n"/>
      <c r="E203" s="92" t="inlineStr">
        <is>
          <t>Monir Khan</t>
        </is>
      </c>
      <c r="F203" s="71" t="inlineStr">
        <is>
          <t>Soft Service</t>
        </is>
      </c>
      <c r="G203" s="91" t="inlineStr">
        <is>
          <t>S364</t>
        </is>
      </c>
      <c r="H203" s="445" t="n">
        <v>2606022867</v>
      </c>
      <c r="I203" s="446" t="inlineStr">
        <is>
          <t>Approved</t>
        </is>
      </c>
      <c r="J203" s="551" t="n">
        <v>45818</v>
      </c>
      <c r="K203" s="18" t="inlineStr">
        <is>
          <t>SCC (RENTAL)</t>
        </is>
      </c>
      <c r="L203" s="37"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554" t="n"/>
      <c r="B204" s="554" t="n"/>
      <c r="C204" s="554" t="n"/>
      <c r="D204" s="554" t="n"/>
      <c r="E204" s="92" t="inlineStr">
        <is>
          <t>Mohd Imtiyaz</t>
        </is>
      </c>
      <c r="F204" s="71" t="inlineStr">
        <is>
          <t>Soft Service</t>
        </is>
      </c>
      <c r="G204" s="91" t="inlineStr">
        <is>
          <t>GV100</t>
        </is>
      </c>
      <c r="H204" s="445" t="n">
        <v>2582684920</v>
      </c>
      <c r="I204" s="446" t="inlineStr">
        <is>
          <t>Approved</t>
        </is>
      </c>
      <c r="J204" s="551" t="n">
        <v>45585</v>
      </c>
      <c r="K204" s="18" t="inlineStr">
        <is>
          <t>Gulf Vision ( RENTAL)</t>
        </is>
      </c>
      <c r="L204" s="37"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554" t="n"/>
      <c r="B205" s="554" t="n"/>
      <c r="C205" s="554" t="n"/>
      <c r="D205" s="554" t="n"/>
      <c r="E205" s="92" t="inlineStr">
        <is>
          <t>Parshuram Yadav</t>
        </is>
      </c>
      <c r="F205" s="71" t="inlineStr">
        <is>
          <t>Soft Service</t>
        </is>
      </c>
      <c r="G205" s="91" t="inlineStr">
        <is>
          <t>S347</t>
        </is>
      </c>
      <c r="H205" s="445" t="n">
        <v>2605353602</v>
      </c>
      <c r="I205" s="446" t="inlineStr">
        <is>
          <t>Approved</t>
        </is>
      </c>
      <c r="J205" s="551" t="n">
        <v>45809</v>
      </c>
      <c r="K205" s="18" t="inlineStr">
        <is>
          <t>SCC (RENTAL)</t>
        </is>
      </c>
      <c r="L205" s="37"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554" t="n"/>
      <c r="B206" s="554" t="n"/>
      <c r="C206" s="554" t="n"/>
      <c r="D206" s="554" t="n"/>
      <c r="E206" s="92" t="inlineStr">
        <is>
          <t>Aman - - Lama</t>
        </is>
      </c>
      <c r="F206" s="71" t="inlineStr">
        <is>
          <t>Soft Service</t>
        </is>
      </c>
      <c r="G206" s="91" t="inlineStr">
        <is>
          <t>R07990</t>
        </is>
      </c>
      <c r="H206" s="445" t="n">
        <v>2597485149</v>
      </c>
      <c r="I206" s="446" t="inlineStr">
        <is>
          <t>Approved</t>
        </is>
      </c>
      <c r="J206" s="551" t="n">
        <v>46041</v>
      </c>
      <c r="K206" s="18" t="inlineStr">
        <is>
          <t>MEHAN (RENTAL)</t>
        </is>
      </c>
      <c r="L206" s="37"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554" t="n"/>
      <c r="B207" s="554" t="n"/>
      <c r="C207" s="554" t="n"/>
      <c r="D207" s="554" t="n"/>
      <c r="E207" s="92" t="inlineStr">
        <is>
          <t>KOUWSAR ISLAM</t>
        </is>
      </c>
      <c r="F207" s="71" t="inlineStr">
        <is>
          <t>Soft Service</t>
        </is>
      </c>
      <c r="G207" s="91" t="inlineStr">
        <is>
          <t>-</t>
        </is>
      </c>
      <c r="H207" s="445" t="inlineStr">
        <is>
          <t>-</t>
        </is>
      </c>
      <c r="I207" s="446" t="inlineStr">
        <is>
          <t>Approved</t>
        </is>
      </c>
      <c r="J207" s="551" t="n">
        <v>46246</v>
      </c>
      <c r="K207" s="18" t="inlineStr">
        <is>
          <t>-</t>
        </is>
      </c>
      <c r="L207" s="37"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554" t="n"/>
      <c r="B208" s="554" t="n"/>
      <c r="C208" s="554" t="n"/>
      <c r="D208" s="554" t="n"/>
      <c r="E208" s="92" t="inlineStr">
        <is>
          <t>Ramesh Ray</t>
        </is>
      </c>
      <c r="F208" s="71" t="inlineStr">
        <is>
          <t>Soft Service</t>
        </is>
      </c>
      <c r="G208" s="91" t="n">
        <v>2603240678</v>
      </c>
      <c r="H208" s="445" t="n">
        <v>2603240678</v>
      </c>
      <c r="I208" s="446" t="inlineStr">
        <is>
          <t>Approved</t>
        </is>
      </c>
      <c r="J208" s="551" t="n">
        <v>45951</v>
      </c>
      <c r="K208" s="18" t="inlineStr">
        <is>
          <t>SCC (RENTAL)</t>
        </is>
      </c>
      <c r="L208" s="37"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554" t="n"/>
      <c r="B209" s="554" t="n"/>
      <c r="C209" s="554" t="n"/>
      <c r="D209" s="554" t="n"/>
      <c r="E209" s="48" t="inlineStr">
        <is>
          <t>Md Mostafa</t>
        </is>
      </c>
      <c r="F209" s="71" t="inlineStr">
        <is>
          <t>Soft Service</t>
        </is>
      </c>
      <c r="G209" s="91" t="n">
        <v>700883</v>
      </c>
      <c r="H209" s="445" t="n">
        <v>2511412401</v>
      </c>
      <c r="I209" s="446" t="inlineStr">
        <is>
          <t>Approved</t>
        </is>
      </c>
      <c r="J209" s="551" t="n">
        <v>45937</v>
      </c>
      <c r="K209" s="18" t="inlineStr">
        <is>
          <t>FMCO</t>
        </is>
      </c>
      <c r="L209" s="37"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554" t="n"/>
      <c r="B210" s="554" t="n"/>
      <c r="C210" s="554" t="n"/>
      <c r="D210" s="554" t="n"/>
      <c r="E210" s="46" t="inlineStr">
        <is>
          <t>Rupali Akhter</t>
        </is>
      </c>
      <c r="F210" s="446" t="inlineStr">
        <is>
          <t>Soft Service</t>
        </is>
      </c>
      <c r="G210" s="445" t="inlineStr">
        <is>
          <t>-</t>
        </is>
      </c>
      <c r="H210" s="445" t="inlineStr">
        <is>
          <t>-</t>
        </is>
      </c>
      <c r="I210" s="446" t="inlineStr">
        <is>
          <t>Approved</t>
        </is>
      </c>
      <c r="J210" s="551" t="n">
        <v>46236</v>
      </c>
      <c r="K210" s="18" t="inlineStr">
        <is>
          <t>AL-FALAK VISA</t>
        </is>
      </c>
      <c r="L210" s="37"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554" t="n"/>
      <c r="B211" s="554" t="n"/>
      <c r="C211" s="554" t="n"/>
      <c r="D211" s="554" t="n"/>
      <c r="E211" s="92" t="inlineStr">
        <is>
          <t>Abu Ahammed Joy</t>
        </is>
      </c>
      <c r="F211" s="71" t="inlineStr">
        <is>
          <t>Soft Service</t>
        </is>
      </c>
      <c r="G211" s="91" t="n">
        <v>700888</v>
      </c>
      <c r="H211" s="445" t="n">
        <v>2505382917</v>
      </c>
      <c r="I211" s="446" t="inlineStr">
        <is>
          <t>Approved</t>
        </is>
      </c>
      <c r="J211" s="551" t="n">
        <v>46030</v>
      </c>
      <c r="K211" s="18" t="inlineStr">
        <is>
          <t>FMCO</t>
        </is>
      </c>
      <c r="L211" s="37"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554" t="n"/>
      <c r="B212" s="554" t="n"/>
      <c r="C212" s="554" t="n"/>
      <c r="D212" s="554" t="n"/>
      <c r="E212" s="92" t="inlineStr">
        <is>
          <t>Md Abdullah Molla</t>
        </is>
      </c>
      <c r="F212" s="71" t="inlineStr">
        <is>
          <t>Soft Service</t>
        </is>
      </c>
      <c r="G212" s="91" t="n">
        <v>700783</v>
      </c>
      <c r="H212" s="445" t="n">
        <v>2499440192</v>
      </c>
      <c r="I212" s="446" t="inlineStr">
        <is>
          <t>Approved</t>
        </is>
      </c>
      <c r="J212" s="551" t="n">
        <v>46030</v>
      </c>
      <c r="K212" s="18" t="inlineStr">
        <is>
          <t>FMCO</t>
        </is>
      </c>
      <c r="L212" s="37"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554" t="n"/>
      <c r="B213" s="554" t="n"/>
      <c r="C213" s="554" t="n"/>
      <c r="D213" s="554" t="n"/>
      <c r="E213" s="92" t="inlineStr">
        <is>
          <t>Md Jony</t>
        </is>
      </c>
      <c r="F213" s="71" t="inlineStr">
        <is>
          <t>Soft Service</t>
        </is>
      </c>
      <c r="G213" s="91" t="inlineStr">
        <is>
          <t>S503</t>
        </is>
      </c>
      <c r="H213" s="445" t="n">
        <v>2624251050</v>
      </c>
      <c r="I213" s="446" t="inlineStr">
        <is>
          <t>Approved</t>
        </is>
      </c>
      <c r="J213" s="551" t="n">
        <v>46043</v>
      </c>
      <c r="K213" s="18" t="inlineStr">
        <is>
          <t>SCC (RENTAL)</t>
        </is>
      </c>
      <c r="L213" s="37"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554" t="n"/>
      <c r="B214" s="554" t="n"/>
      <c r="C214" s="554" t="n"/>
      <c r="D214" s="554" t="n"/>
      <c r="E214" s="92" t="inlineStr">
        <is>
          <t>KAMRUL ISLAM</t>
        </is>
      </c>
      <c r="F214" s="71" t="inlineStr">
        <is>
          <t>Soft Service</t>
        </is>
      </c>
      <c r="G214" s="91" t="inlineStr">
        <is>
          <t>-</t>
        </is>
      </c>
      <c r="H214" s="445" t="inlineStr">
        <is>
          <t>-</t>
        </is>
      </c>
      <c r="I214" s="446" t="inlineStr">
        <is>
          <t>Approved</t>
        </is>
      </c>
      <c r="J214" s="551" t="n">
        <v>46246</v>
      </c>
      <c r="K214" s="18" t="inlineStr">
        <is>
          <t>-</t>
        </is>
      </c>
      <c r="L214" s="34"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554" t="n"/>
      <c r="B215" s="554" t="n"/>
      <c r="C215" s="554" t="n"/>
      <c r="D215" s="554" t="n"/>
      <c r="E215" s="92" t="inlineStr">
        <is>
          <t>Narayan Prasad  Mandal</t>
        </is>
      </c>
      <c r="F215" s="71" t="inlineStr">
        <is>
          <t>Soft Service</t>
        </is>
      </c>
      <c r="G215" s="91" t="n">
        <v>106242</v>
      </c>
      <c r="H215" s="445" t="n">
        <v>2456550454</v>
      </c>
      <c r="I215" s="446" t="inlineStr">
        <is>
          <t>Approved</t>
        </is>
      </c>
      <c r="J215" s="551" t="n">
        <v>46163</v>
      </c>
      <c r="K215" s="18" t="inlineStr">
        <is>
          <t>MEHAN (RENTAL)</t>
        </is>
      </c>
      <c r="L215" s="37"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554" t="n"/>
      <c r="B216" s="554" t="n"/>
      <c r="C216" s="554" t="n"/>
      <c r="D216" s="554" t="n"/>
      <c r="E216" s="92" t="inlineStr">
        <is>
          <t>Rahul Miah</t>
        </is>
      </c>
      <c r="F216" s="71" t="inlineStr">
        <is>
          <t>Soft Service</t>
        </is>
      </c>
      <c r="G216" s="91" t="n">
        <v>1063</v>
      </c>
      <c r="H216" s="445" t="n">
        <v>2569678473</v>
      </c>
      <c r="I216" s="446" t="inlineStr">
        <is>
          <t>Approved</t>
        </is>
      </c>
      <c r="J216" s="551" t="n">
        <v>45648</v>
      </c>
      <c r="K216" s="18" t="inlineStr">
        <is>
          <t>UCC( RENTAL)</t>
        </is>
      </c>
      <c r="L216" s="37"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554" t="n"/>
      <c r="B217" s="554" t="n"/>
      <c r="C217" s="554" t="n"/>
      <c r="D217" s="554" t="n"/>
      <c r="E217" s="92" t="inlineStr">
        <is>
          <t>Md Sumon Miah</t>
        </is>
      </c>
      <c r="F217" s="71" t="inlineStr">
        <is>
          <t>Soft Service</t>
        </is>
      </c>
      <c r="G217" s="91" t="n">
        <v>1032</v>
      </c>
      <c r="H217" s="445" t="n">
        <v>2570653259</v>
      </c>
      <c r="I217" s="446" t="inlineStr">
        <is>
          <t>Approved</t>
        </is>
      </c>
      <c r="J217" s="551" t="n">
        <v>45648</v>
      </c>
      <c r="K217" s="18" t="inlineStr">
        <is>
          <t>UCC( RENTAL)</t>
        </is>
      </c>
      <c r="L217" s="37"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554" t="n"/>
      <c r="B218" s="554" t="n"/>
      <c r="C218" s="554" t="n"/>
      <c r="D218" s="554" t="n"/>
      <c r="E218" s="92" t="inlineStr">
        <is>
          <t>Yubaraj Bhattarai</t>
        </is>
      </c>
      <c r="F218" s="71" t="inlineStr">
        <is>
          <t>Soft Service</t>
        </is>
      </c>
      <c r="G218" s="91" t="inlineStr">
        <is>
          <t>S310</t>
        </is>
      </c>
      <c r="H218" s="445" t="n">
        <v>2606911572</v>
      </c>
      <c r="I218" s="446" t="inlineStr">
        <is>
          <t>Approved</t>
        </is>
      </c>
      <c r="J218" s="551" t="n">
        <v>45957</v>
      </c>
      <c r="K218" s="18" t="inlineStr">
        <is>
          <t>SCC (RENTAL)</t>
        </is>
      </c>
      <c r="L218" s="34"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554" t="n"/>
      <c r="B219" s="554" t="n"/>
      <c r="C219" s="554" t="n"/>
      <c r="D219" s="554" t="n"/>
      <c r="E219" s="92" t="inlineStr">
        <is>
          <t>Md Kabir Khan</t>
        </is>
      </c>
      <c r="F219" s="71" t="inlineStr">
        <is>
          <t>Soft Service</t>
        </is>
      </c>
      <c r="G219" s="91" t="inlineStr">
        <is>
          <t>S273</t>
        </is>
      </c>
      <c r="H219" s="445" t="n">
        <v>2600806380</v>
      </c>
      <c r="I219" s="446" t="inlineStr">
        <is>
          <t>Approved</t>
        </is>
      </c>
      <c r="J219" s="551" t="n">
        <v>45754</v>
      </c>
      <c r="K219" s="18" t="inlineStr">
        <is>
          <t>SCC (RENTAL)</t>
        </is>
      </c>
      <c r="L219" s="37"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554" t="n"/>
      <c r="B220" s="554" t="n"/>
      <c r="C220" s="554" t="n"/>
      <c r="D220" s="554" t="n"/>
      <c r="E220" s="92" t="inlineStr">
        <is>
          <t>MD NAJMUL HAQUE BAPARI</t>
        </is>
      </c>
      <c r="F220" s="71" t="inlineStr">
        <is>
          <t>Soft Service</t>
        </is>
      </c>
      <c r="G220" s="91" t="inlineStr">
        <is>
          <t>-</t>
        </is>
      </c>
      <c r="H220" s="445" t="inlineStr">
        <is>
          <t>-</t>
        </is>
      </c>
      <c r="I220" s="446" t="inlineStr">
        <is>
          <t>Approved</t>
        </is>
      </c>
      <c r="J220" s="551" t="n">
        <v>46246</v>
      </c>
      <c r="K220" s="18" t="inlineStr">
        <is>
          <t>-</t>
        </is>
      </c>
      <c r="L220" s="37"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554" t="n"/>
      <c r="B221" s="554" t="n"/>
      <c r="C221" s="554" t="n"/>
      <c r="D221" s="554" t="n"/>
      <c r="E221" s="92" t="inlineStr">
        <is>
          <t>Samsuddin  Miya</t>
        </is>
      </c>
      <c r="F221" s="71" t="inlineStr">
        <is>
          <t>Soft Service</t>
        </is>
      </c>
      <c r="G221" s="91" t="inlineStr">
        <is>
          <t>L01300</t>
        </is>
      </c>
      <c r="H221" s="445" t="n">
        <v>2636720647</v>
      </c>
      <c r="I221" s="446" t="inlineStr">
        <is>
          <t>Approved</t>
        </is>
      </c>
      <c r="J221" s="551" t="n">
        <v>46163</v>
      </c>
      <c r="K221" s="18" t="inlineStr">
        <is>
          <t>MEHAN (RENTAL)</t>
        </is>
      </c>
      <c r="L221" s="37"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554" t="n"/>
      <c r="B222" s="554" t="n"/>
      <c r="C222" s="554" t="n"/>
      <c r="D222" s="554" t="n"/>
      <c r="E222" s="92" t="inlineStr">
        <is>
          <t>Mahfooz Alam Mo Jaki</t>
        </is>
      </c>
      <c r="F222" s="71" t="inlineStr">
        <is>
          <t>Soft Service</t>
        </is>
      </c>
      <c r="G222" s="91" t="inlineStr">
        <is>
          <t>R09594</t>
        </is>
      </c>
      <c r="H222" s="445" t="n">
        <v>2616698813</v>
      </c>
      <c r="I222" s="446" t="inlineStr">
        <is>
          <t>Approved</t>
        </is>
      </c>
      <c r="J222" s="551" t="n">
        <v>46041</v>
      </c>
      <c r="K222" s="18" t="inlineStr">
        <is>
          <t>MEHAN (RENTAL)</t>
        </is>
      </c>
      <c r="L222" s="37"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554" t="n"/>
      <c r="B223" s="554" t="n"/>
      <c r="C223" s="554" t="n"/>
      <c r="D223" s="554" t="n"/>
      <c r="E223" s="92" t="inlineStr">
        <is>
          <t>Samsudoha - - Khan</t>
        </is>
      </c>
      <c r="F223" s="71" t="inlineStr">
        <is>
          <t>Soft Service</t>
        </is>
      </c>
      <c r="G223" s="91" t="inlineStr">
        <is>
          <t>L01324</t>
        </is>
      </c>
      <c r="H223" s="445" t="n">
        <v>2636632883</v>
      </c>
      <c r="I223" s="446" t="inlineStr">
        <is>
          <t>Approved</t>
        </is>
      </c>
      <c r="J223" s="551" t="n">
        <v>46163</v>
      </c>
      <c r="K223" s="18" t="inlineStr">
        <is>
          <t>MEHAN (RENTAL)</t>
        </is>
      </c>
      <c r="L223" s="37"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554" t="n"/>
      <c r="B224" s="554" t="n"/>
      <c r="C224" s="554" t="n"/>
      <c r="D224" s="554" t="n"/>
      <c r="E224" s="92" t="inlineStr">
        <is>
          <t>Faruk Mia</t>
        </is>
      </c>
      <c r="F224" s="71" t="inlineStr">
        <is>
          <t>Soft Service</t>
        </is>
      </c>
      <c r="G224" s="91" t="inlineStr">
        <is>
          <t>R07467</t>
        </is>
      </c>
      <c r="H224" s="445" t="n">
        <v>2587196466</v>
      </c>
      <c r="I224" s="446" t="inlineStr">
        <is>
          <t>Approved</t>
        </is>
      </c>
      <c r="J224" s="551" t="n">
        <v>45592</v>
      </c>
      <c r="K224" s="18" t="inlineStr">
        <is>
          <t>MEHAN (RENTAL)</t>
        </is>
      </c>
      <c r="L224" s="37"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554" t="n"/>
      <c r="B225" s="554" t="n"/>
      <c r="C225" s="554" t="n"/>
      <c r="D225" s="554" t="n"/>
      <c r="E225" s="92" t="inlineStr">
        <is>
          <t>Dhiraj Paswan</t>
        </is>
      </c>
      <c r="F225" s="71" t="inlineStr">
        <is>
          <t>Soft Service</t>
        </is>
      </c>
      <c r="G225" s="91" t="inlineStr">
        <is>
          <t>S350</t>
        </is>
      </c>
      <c r="H225" s="445" t="n">
        <v>2605352638</v>
      </c>
      <c r="I225" s="446" t="inlineStr">
        <is>
          <t>Approved</t>
        </is>
      </c>
      <c r="J225" s="551" t="n">
        <v>45809</v>
      </c>
      <c r="K225" s="18" t="inlineStr">
        <is>
          <t>SCC (RENTAL)</t>
        </is>
      </c>
      <c r="L225" s="37"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554" t="n"/>
      <c r="B226" s="554" t="n"/>
      <c r="C226" s="554" t="n"/>
      <c r="D226" s="554" t="n"/>
      <c r="E226" s="92" t="inlineStr">
        <is>
          <t>Afsar Fulman</t>
        </is>
      </c>
      <c r="F226" s="71" t="inlineStr">
        <is>
          <t>Soft Service</t>
        </is>
      </c>
      <c r="G226" s="91" t="inlineStr">
        <is>
          <t>R04600</t>
        </is>
      </c>
      <c r="H226" s="445" t="n">
        <v>2515996284</v>
      </c>
      <c r="I226" s="446" t="inlineStr">
        <is>
          <t>Approved</t>
        </is>
      </c>
      <c r="J226" s="551" t="n">
        <v>45592</v>
      </c>
      <c r="K226" s="18" t="inlineStr">
        <is>
          <t>MEHAN (RENTAL)</t>
        </is>
      </c>
      <c r="L226" s="37"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554" t="n"/>
      <c r="B227" s="554" t="n"/>
      <c r="C227" s="554" t="n"/>
      <c r="D227" s="554" t="n"/>
      <c r="E227" s="92" t="inlineStr">
        <is>
          <t>Rasadul Islam</t>
        </is>
      </c>
      <c r="F227" s="71" t="inlineStr">
        <is>
          <t>Soft Service</t>
        </is>
      </c>
      <c r="G227" s="91" t="inlineStr">
        <is>
          <t>S063</t>
        </is>
      </c>
      <c r="H227" s="445" t="n">
        <v>2590555237</v>
      </c>
      <c r="I227" s="446" t="inlineStr">
        <is>
          <t>Approved</t>
        </is>
      </c>
      <c r="J227" s="551" t="n">
        <v>45585</v>
      </c>
      <c r="K227" s="18" t="inlineStr">
        <is>
          <t>SCC (RENTAL)</t>
        </is>
      </c>
      <c r="L227" s="37"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554" t="n"/>
      <c r="B228" s="554" t="n"/>
      <c r="C228" s="554" t="n"/>
      <c r="D228" s="554" t="n"/>
      <c r="E228" s="92" t="inlineStr">
        <is>
          <t>Md Mohir Uddin</t>
        </is>
      </c>
      <c r="F228" s="71" t="inlineStr">
        <is>
          <t>Soft Service</t>
        </is>
      </c>
      <c r="G228" s="91" t="n">
        <v>2602236602</v>
      </c>
      <c r="H228" s="445" t="n">
        <v>2602236602</v>
      </c>
      <c r="I228" s="446" t="inlineStr">
        <is>
          <t>Approved</t>
        </is>
      </c>
      <c r="J228" s="551" t="n">
        <v>45951</v>
      </c>
      <c r="K228" s="18" t="inlineStr">
        <is>
          <t>SCC (RENTAL)</t>
        </is>
      </c>
      <c r="L228" s="37"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554" t="n"/>
      <c r="B229" s="554" t="n"/>
      <c r="C229" s="554" t="n"/>
      <c r="D229" s="554" t="n"/>
      <c r="E229" s="92" t="inlineStr">
        <is>
          <t>Robi Ullah</t>
        </is>
      </c>
      <c r="F229" s="71" t="inlineStr">
        <is>
          <t>Soft Service</t>
        </is>
      </c>
      <c r="G229" s="91" t="n">
        <v>700954</v>
      </c>
      <c r="H229" s="445" t="n">
        <v>2499713580</v>
      </c>
      <c r="I229" s="446" t="inlineStr">
        <is>
          <t>Approved</t>
        </is>
      </c>
      <c r="J229" s="551" t="n">
        <v>45937</v>
      </c>
      <c r="K229" s="18" t="inlineStr">
        <is>
          <t>FMCO</t>
        </is>
      </c>
      <c r="L229" s="37"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554" t="n"/>
      <c r="B230" s="554" t="n"/>
      <c r="C230" s="554" t="n"/>
      <c r="D230" s="554" t="n"/>
      <c r="E230" s="92" t="inlineStr">
        <is>
          <t>Md Jahangir Hossain</t>
        </is>
      </c>
      <c r="F230" s="71" t="inlineStr">
        <is>
          <t>Soft Service</t>
        </is>
      </c>
      <c r="G230" s="91" t="n">
        <v>702588</v>
      </c>
      <c r="H230" s="445" t="n">
        <v>2539674743</v>
      </c>
      <c r="I230" s="446" t="inlineStr">
        <is>
          <t>Approved</t>
        </is>
      </c>
      <c r="J230" s="551" t="n">
        <v>45937</v>
      </c>
      <c r="K230" s="18" t="inlineStr">
        <is>
          <t>FMCO</t>
        </is>
      </c>
      <c r="L230" s="37"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554" t="n"/>
      <c r="B231" s="554" t="n"/>
      <c r="C231" s="554" t="n"/>
      <c r="D231" s="554" t="n"/>
      <c r="E231" s="36" t="inlineStr">
        <is>
          <t>Md Amir Hossain</t>
        </is>
      </c>
      <c r="F231" s="42" t="inlineStr">
        <is>
          <t>Soft Service</t>
        </is>
      </c>
      <c r="G231" s="43" t="inlineStr">
        <is>
          <t>-</t>
        </is>
      </c>
      <c r="H231" s="32" t="n">
        <v>2630566830</v>
      </c>
      <c r="I231" s="446" t="inlineStr">
        <is>
          <t>Approved</t>
        </is>
      </c>
      <c r="J231" s="551" t="n">
        <v>46199</v>
      </c>
      <c r="K231" s="44" t="inlineStr">
        <is>
          <t>JAWAD AL DUWAIL</t>
        </is>
      </c>
      <c r="L231" s="37"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554" t="n"/>
      <c r="B232" s="554" t="n"/>
      <c r="C232" s="554" t="n"/>
      <c r="D232" s="554" t="n"/>
      <c r="E232" s="92" t="inlineStr">
        <is>
          <t>Sharif Mahmud</t>
        </is>
      </c>
      <c r="F232" s="71" t="inlineStr">
        <is>
          <t>Soft Service</t>
        </is>
      </c>
      <c r="G232" s="91" t="n">
        <v>2621898580</v>
      </c>
      <c r="H232" s="445" t="n">
        <v>2621898580</v>
      </c>
      <c r="I232" s="446" t="inlineStr">
        <is>
          <t>Approved</t>
        </is>
      </c>
      <c r="J232" s="551" t="n">
        <v>45996</v>
      </c>
      <c r="K232" s="18" t="inlineStr">
        <is>
          <t>SCC (RENTAL)</t>
        </is>
      </c>
      <c r="L232" s="37"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554" t="n"/>
      <c r="B233" s="554" t="n"/>
      <c r="C233" s="554" t="n"/>
      <c r="D233" s="554" t="n"/>
      <c r="E233" s="92" t="inlineStr">
        <is>
          <t>Mohammad Hossain</t>
        </is>
      </c>
      <c r="F233" s="71" t="inlineStr">
        <is>
          <t>Soft Service</t>
        </is>
      </c>
      <c r="G233" s="91" t="n">
        <v>2624253817</v>
      </c>
      <c r="H233" s="445" t="n">
        <v>2624253817</v>
      </c>
      <c r="I233" s="446" t="inlineStr">
        <is>
          <t>Approved</t>
        </is>
      </c>
      <c r="J233" s="551" t="n">
        <v>46025</v>
      </c>
      <c r="K233" s="18" t="inlineStr">
        <is>
          <t>SCC (RENTAL)</t>
        </is>
      </c>
      <c r="L233" s="37"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554" t="n"/>
      <c r="B234" s="554" t="n"/>
      <c r="C234" s="554" t="n"/>
      <c r="D234" s="554" t="n"/>
      <c r="E234" s="92" t="inlineStr">
        <is>
          <t>Jay Prakash Chaudhary</t>
        </is>
      </c>
      <c r="F234" s="71" t="inlineStr">
        <is>
          <t>Soft Service</t>
        </is>
      </c>
      <c r="G234" s="91" t="n">
        <v>701650</v>
      </c>
      <c r="H234" s="445" t="n">
        <v>2535973271</v>
      </c>
      <c r="I234" s="446" t="inlineStr">
        <is>
          <t>Approved</t>
        </is>
      </c>
      <c r="J234" s="551" t="n">
        <v>46040</v>
      </c>
      <c r="K234" s="18" t="inlineStr">
        <is>
          <t>FMCO</t>
        </is>
      </c>
      <c r="L234" s="37"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554" t="n"/>
      <c r="B235" s="554" t="n"/>
      <c r="C235" s="554" t="n"/>
      <c r="D235" s="554" t="n"/>
      <c r="E235" s="92" t="inlineStr">
        <is>
          <t>Sushil Chandra  Das</t>
        </is>
      </c>
      <c r="F235" s="71" t="inlineStr">
        <is>
          <t>Soft Service</t>
        </is>
      </c>
      <c r="G235" s="91" t="inlineStr">
        <is>
          <t>R02283</t>
        </is>
      </c>
      <c r="H235" s="445" t="n">
        <v>2476280546</v>
      </c>
      <c r="I235" s="446" t="inlineStr">
        <is>
          <t>Approved</t>
        </is>
      </c>
      <c r="J235" s="551" t="n">
        <v>46041</v>
      </c>
      <c r="K235" s="18" t="inlineStr">
        <is>
          <t>MEHAN (RENTAL)</t>
        </is>
      </c>
      <c r="L235" s="37"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554" t="n"/>
      <c r="B236" s="554" t="n"/>
      <c r="C236" s="554" t="n"/>
      <c r="D236" s="554" t="n"/>
      <c r="E236" s="92" t="inlineStr">
        <is>
          <t>Maribel Parchamento</t>
        </is>
      </c>
      <c r="F236" s="71" t="inlineStr">
        <is>
          <t>Soft Service</t>
        </is>
      </c>
      <c r="G236" s="91" t="inlineStr">
        <is>
          <t>S352</t>
        </is>
      </c>
      <c r="H236" s="445" t="n">
        <v>2549430003</v>
      </c>
      <c r="I236" s="446" t="inlineStr">
        <is>
          <t>Approved</t>
        </is>
      </c>
      <c r="J236" s="551" t="n">
        <v>45812</v>
      </c>
      <c r="K236" s="18" t="inlineStr">
        <is>
          <t>SCC (RENTAL)</t>
        </is>
      </c>
      <c r="L236" s="37"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554" t="n"/>
      <c r="B237" s="554" t="n"/>
      <c r="C237" s="554" t="n"/>
      <c r="D237" s="554" t="n"/>
      <c r="E237" s="92" t="inlineStr">
        <is>
          <t>Abegay P. Monutul</t>
        </is>
      </c>
      <c r="F237" s="71" t="inlineStr">
        <is>
          <t>Soft Service</t>
        </is>
      </c>
      <c r="G237" s="91" t="inlineStr">
        <is>
          <t>S373</t>
        </is>
      </c>
      <c r="H237" s="445" t="n">
        <v>2603238979</v>
      </c>
      <c r="I237" s="446" t="inlineStr">
        <is>
          <t>Approved</t>
        </is>
      </c>
      <c r="J237" s="551" t="n">
        <v>45828</v>
      </c>
      <c r="K237" s="18" t="inlineStr">
        <is>
          <t>SCC (RENTAL)</t>
        </is>
      </c>
      <c r="L237" s="37"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554" t="n"/>
      <c r="B238" s="554" t="n"/>
      <c r="C238" s="554" t="n"/>
      <c r="D238" s="554" t="n"/>
      <c r="E238" s="36" t="inlineStr">
        <is>
          <t>Sima Akter</t>
        </is>
      </c>
      <c r="F238" s="71" t="inlineStr">
        <is>
          <t>Soft Service</t>
        </is>
      </c>
      <c r="G238" s="43" t="inlineStr">
        <is>
          <t>-</t>
        </is>
      </c>
      <c r="H238" s="32" t="n">
        <v>2612699195</v>
      </c>
      <c r="I238" s="446" t="inlineStr">
        <is>
          <t>Additional</t>
        </is>
      </c>
      <c r="J238" s="551" t="n">
        <v>46183</v>
      </c>
      <c r="K238" s="44" t="inlineStr">
        <is>
          <t>AB-HOOR RENTAL</t>
        </is>
      </c>
      <c r="L238" s="37"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554" t="n"/>
      <c r="B239" s="554" t="n"/>
      <c r="C239" s="554" t="n"/>
      <c r="D239" s="554" t="n"/>
      <c r="E239" s="92" t="inlineStr">
        <is>
          <t>Sharmin Akter</t>
        </is>
      </c>
      <c r="F239" s="71" t="inlineStr">
        <is>
          <t>Soft Service</t>
        </is>
      </c>
      <c r="G239" s="91" t="inlineStr">
        <is>
          <t>S375</t>
        </is>
      </c>
      <c r="H239" s="445" t="n">
        <v>2558581159</v>
      </c>
      <c r="I239" s="446" t="inlineStr">
        <is>
          <t>Approved</t>
        </is>
      </c>
      <c r="J239" s="551" t="n">
        <v>45828</v>
      </c>
      <c r="K239" s="18" t="inlineStr">
        <is>
          <t>SCC (RENTAL)</t>
        </is>
      </c>
      <c r="L239" s="37"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554" t="n"/>
      <c r="B240" s="554" t="n"/>
      <c r="C240" s="554" t="n"/>
      <c r="D240" s="554" t="n"/>
      <c r="E240" s="36" t="inlineStr">
        <is>
          <t>Amena Akter</t>
        </is>
      </c>
      <c r="F240" s="42" t="inlineStr">
        <is>
          <t>Soft Service</t>
        </is>
      </c>
      <c r="G240" s="43" t="inlineStr">
        <is>
          <t>-</t>
        </is>
      </c>
      <c r="H240" s="32" t="n">
        <v>2595656097</v>
      </c>
      <c r="I240" s="446" t="inlineStr">
        <is>
          <t>Approved</t>
        </is>
      </c>
      <c r="J240" s="551" t="n">
        <v>46183</v>
      </c>
      <c r="K240" s="44" t="inlineStr">
        <is>
          <t>AB-HOOR RENTAL</t>
        </is>
      </c>
      <c r="L240" s="37"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554" t="n"/>
      <c r="B241" s="554" t="n"/>
      <c r="C241" s="554" t="n"/>
      <c r="D241" s="554" t="n"/>
      <c r="E241" s="92" t="inlineStr">
        <is>
          <t>Erlyn B.Evangelio</t>
        </is>
      </c>
      <c r="F241" s="71" t="inlineStr">
        <is>
          <t>Soft Service</t>
        </is>
      </c>
      <c r="G241" s="91" t="inlineStr">
        <is>
          <t>S392</t>
        </is>
      </c>
      <c r="H241" s="445" t="n">
        <v>2603243508</v>
      </c>
      <c r="I241" s="446" t="inlineStr">
        <is>
          <t>Approved</t>
        </is>
      </c>
      <c r="J241" s="551" t="n">
        <v>45854</v>
      </c>
      <c r="K241" s="18" t="inlineStr">
        <is>
          <t>SCC (RENTAL)</t>
        </is>
      </c>
      <c r="L241" s="37"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554" t="n"/>
      <c r="B242" s="554" t="n"/>
      <c r="C242" s="554" t="n"/>
      <c r="D242" s="554" t="n"/>
      <c r="E242" s="92" t="inlineStr">
        <is>
          <t>Cheenee Nae L. Radoc</t>
        </is>
      </c>
      <c r="F242" s="71" t="inlineStr">
        <is>
          <t>Soft Service</t>
        </is>
      </c>
      <c r="G242" s="91" t="inlineStr">
        <is>
          <t>S372</t>
        </is>
      </c>
      <c r="H242" s="445" t="n">
        <v>2601026178</v>
      </c>
      <c r="I242" s="446" t="inlineStr">
        <is>
          <t>Approved</t>
        </is>
      </c>
      <c r="J242" s="551" t="n">
        <v>45828</v>
      </c>
      <c r="K242" s="18" t="inlineStr">
        <is>
          <t>SCC (RENTAL)</t>
        </is>
      </c>
      <c r="L242" s="37"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554" t="n"/>
      <c r="B243" s="554" t="n"/>
      <c r="C243" s="554" t="n"/>
      <c r="D243" s="554" t="n"/>
      <c r="E243" s="92" t="inlineStr">
        <is>
          <t>Janice Pasco</t>
        </is>
      </c>
      <c r="F243" s="71" t="inlineStr">
        <is>
          <t>Soft Service</t>
        </is>
      </c>
      <c r="G243" s="91" t="inlineStr">
        <is>
          <t>S417</t>
        </is>
      </c>
      <c r="H243" s="445" t="n">
        <v>2603242682</v>
      </c>
      <c r="I243" s="446" t="inlineStr">
        <is>
          <t>Approved</t>
        </is>
      </c>
      <c r="J243" s="551" t="n">
        <v>45887</v>
      </c>
      <c r="K243" s="18" t="inlineStr">
        <is>
          <t>SCC (RENTAL)</t>
        </is>
      </c>
      <c r="L243" s="37"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554" t="n"/>
      <c r="B244" s="554" t="n"/>
      <c r="C244" s="554" t="n"/>
      <c r="D244" s="554" t="n"/>
      <c r="E244" s="92" t="inlineStr">
        <is>
          <t>Bergie P. Morera</t>
        </is>
      </c>
      <c r="F244" s="71" t="inlineStr">
        <is>
          <t>Soft Service</t>
        </is>
      </c>
      <c r="G244" s="91" t="inlineStr">
        <is>
          <t>S371</t>
        </is>
      </c>
      <c r="H244" s="445" t="n">
        <v>2597494547</v>
      </c>
      <c r="I244" s="446" t="inlineStr">
        <is>
          <t>Approved</t>
        </is>
      </c>
      <c r="J244" s="551" t="n">
        <v>45828</v>
      </c>
      <c r="K244" s="18" t="inlineStr">
        <is>
          <t>SCC (RENTAL)</t>
        </is>
      </c>
      <c r="L244" s="37"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554" t="n"/>
      <c r="B245" s="554" t="n"/>
      <c r="C245" s="554" t="n"/>
      <c r="D245" s="554" t="n"/>
      <c r="E245" s="92" t="inlineStr">
        <is>
          <t>Hazel Ruth Guzman</t>
        </is>
      </c>
      <c r="F245" s="71" t="inlineStr">
        <is>
          <t>Soft Service</t>
        </is>
      </c>
      <c r="G245" s="91" t="inlineStr">
        <is>
          <t>RN 423</t>
        </is>
      </c>
      <c r="H245" s="445" t="n">
        <v>2610561686</v>
      </c>
      <c r="I245" s="446" t="inlineStr">
        <is>
          <t>Approved</t>
        </is>
      </c>
      <c r="J245" s="551" t="n">
        <v>45958</v>
      </c>
      <c r="K245" s="18" t="inlineStr">
        <is>
          <t>RIADA RENTAL</t>
        </is>
      </c>
      <c r="L245" s="37"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554" t="n"/>
      <c r="B246" s="554" t="n"/>
      <c r="C246" s="554" t="n"/>
      <c r="D246" s="554" t="n"/>
      <c r="E246" s="92" t="inlineStr">
        <is>
          <t>Johaina Solaiman Tarusan</t>
        </is>
      </c>
      <c r="F246" s="71" t="inlineStr">
        <is>
          <t>Soft Service</t>
        </is>
      </c>
      <c r="G246" s="91" t="inlineStr">
        <is>
          <t>R 963</t>
        </is>
      </c>
      <c r="H246" s="445" t="n">
        <v>2561692357</v>
      </c>
      <c r="I246" s="446" t="inlineStr">
        <is>
          <t>Approved</t>
        </is>
      </c>
      <c r="J246" s="551" t="n">
        <v>45958</v>
      </c>
      <c r="K246" s="18" t="inlineStr">
        <is>
          <t>RIADA RENTAL</t>
        </is>
      </c>
      <c r="L246" s="37"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554" t="n"/>
      <c r="B247" s="554" t="n"/>
      <c r="C247" s="554" t="n"/>
      <c r="D247" s="554" t="n"/>
      <c r="E247" s="92" t="inlineStr">
        <is>
          <t>Sakina Youaf Muhammad Yousaf</t>
        </is>
      </c>
      <c r="F247" s="71" t="inlineStr">
        <is>
          <t>Soft Service</t>
        </is>
      </c>
      <c r="G247" s="91" t="n">
        <v>2592719641</v>
      </c>
      <c r="H247" s="445" t="n">
        <v>2592719641</v>
      </c>
      <c r="I247" s="446" t="inlineStr">
        <is>
          <t>Approved</t>
        </is>
      </c>
      <c r="J247" s="551" t="n">
        <v>45964</v>
      </c>
      <c r="K247" s="18" t="inlineStr">
        <is>
          <t>SCC (RENTAL)</t>
        </is>
      </c>
      <c r="L247" s="37"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554" t="n"/>
      <c r="B248" s="554" t="n"/>
      <c r="C248" s="554" t="n"/>
      <c r="D248" s="554" t="n"/>
      <c r="E248" s="92" t="inlineStr">
        <is>
          <t>Md Ruman</t>
        </is>
      </c>
      <c r="F248" s="71" t="inlineStr">
        <is>
          <t>Soft Service</t>
        </is>
      </c>
      <c r="G248" s="91" t="inlineStr">
        <is>
          <t>S065</t>
        </is>
      </c>
      <c r="H248" s="445" t="n">
        <v>2588709077</v>
      </c>
      <c r="I248" s="446" t="inlineStr">
        <is>
          <t>Approved</t>
        </is>
      </c>
      <c r="J248" s="551" t="n">
        <v>45585</v>
      </c>
      <c r="K248" s="18" t="inlineStr">
        <is>
          <t>SCC (RENTAL)</t>
        </is>
      </c>
      <c r="L248" s="37"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554" t="n"/>
      <c r="B249" s="554" t="n"/>
      <c r="C249" s="554" t="n"/>
      <c r="D249" s="554" t="n"/>
      <c r="E249" s="92" t="inlineStr">
        <is>
          <t>Md Sumon Molla</t>
        </is>
      </c>
      <c r="F249" s="71" t="inlineStr">
        <is>
          <t>Soft Service</t>
        </is>
      </c>
      <c r="G249" s="91" t="inlineStr">
        <is>
          <t>S062</t>
        </is>
      </c>
      <c r="H249" s="445" t="n">
        <v>2592116202</v>
      </c>
      <c r="I249" s="446" t="inlineStr">
        <is>
          <t>Approved</t>
        </is>
      </c>
      <c r="J249" s="551" t="n">
        <v>45585</v>
      </c>
      <c r="K249" s="18" t="inlineStr">
        <is>
          <t>SCC (RENTAL)</t>
        </is>
      </c>
      <c r="L249" s="37"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554" t="n"/>
      <c r="B250" s="554" t="n"/>
      <c r="C250" s="554" t="n"/>
      <c r="D250" s="554" t="n"/>
      <c r="E250" s="92" t="inlineStr">
        <is>
          <t>Jowel Rana</t>
        </is>
      </c>
      <c r="F250" s="71" t="inlineStr">
        <is>
          <t>Soft Service</t>
        </is>
      </c>
      <c r="G250" s="91" t="inlineStr">
        <is>
          <t>S359</t>
        </is>
      </c>
      <c r="H250" s="445" t="n">
        <v>2605949664</v>
      </c>
      <c r="I250" s="446" t="inlineStr">
        <is>
          <t>Approved</t>
        </is>
      </c>
      <c r="J250" s="551" t="n">
        <v>45818</v>
      </c>
      <c r="K250" s="18" t="inlineStr">
        <is>
          <t>SCC (RENTAL)</t>
        </is>
      </c>
      <c r="L250" s="37"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554" t="n"/>
      <c r="B251" s="554" t="n"/>
      <c r="C251" s="554" t="n"/>
      <c r="D251" s="554" t="n"/>
      <c r="E251" s="92" t="inlineStr">
        <is>
          <t>Saidul Islam</t>
        </is>
      </c>
      <c r="F251" s="71" t="inlineStr">
        <is>
          <t>Soft Service</t>
        </is>
      </c>
      <c r="G251" s="91" t="inlineStr">
        <is>
          <t>S360</t>
        </is>
      </c>
      <c r="H251" s="445" t="n">
        <v>2606043699</v>
      </c>
      <c r="I251" s="446" t="inlineStr">
        <is>
          <t>Approved</t>
        </is>
      </c>
      <c r="J251" s="551" t="n">
        <v>45818</v>
      </c>
      <c r="K251" s="18" t="inlineStr">
        <is>
          <t>SCC (RENTAL)</t>
        </is>
      </c>
      <c r="L251" s="37"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554" t="n"/>
      <c r="B252" s="554" t="n"/>
      <c r="C252" s="554" t="n"/>
      <c r="D252" s="554" t="n"/>
      <c r="E252" s="92" t="inlineStr">
        <is>
          <t>Akluch Mia</t>
        </is>
      </c>
      <c r="F252" s="71" t="inlineStr">
        <is>
          <t>Soft Service</t>
        </is>
      </c>
      <c r="G252" s="91" t="n">
        <v>1278</v>
      </c>
      <c r="H252" s="445" t="n">
        <v>2598538607</v>
      </c>
      <c r="I252" s="446" t="inlineStr">
        <is>
          <t>Approved</t>
        </is>
      </c>
      <c r="J252" s="551" t="n">
        <v>45769</v>
      </c>
      <c r="K252" s="18" t="inlineStr">
        <is>
          <t>UCC( RENTAL)</t>
        </is>
      </c>
      <c r="L252" s="37"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554" t="n"/>
      <c r="B253" s="554" t="n"/>
      <c r="C253" s="554" t="n"/>
      <c r="D253" s="554" t="n"/>
      <c r="E253" s="46" t="inlineStr">
        <is>
          <t>Beauty Akhter</t>
        </is>
      </c>
      <c r="F253" s="446" t="inlineStr">
        <is>
          <t>Soft Service</t>
        </is>
      </c>
      <c r="G253" s="445" t="inlineStr">
        <is>
          <t>-</t>
        </is>
      </c>
      <c r="H253" s="445" t="n">
        <v>2561837630</v>
      </c>
      <c r="I253" s="446" t="inlineStr">
        <is>
          <t>Approved</t>
        </is>
      </c>
      <c r="J253" s="551" t="n">
        <v>46232</v>
      </c>
      <c r="K253" s="18" t="inlineStr">
        <is>
          <t>-</t>
        </is>
      </c>
      <c r="L253" s="37"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554" t="n"/>
      <c r="B254" s="554" t="n"/>
      <c r="C254" s="554" t="n"/>
      <c r="D254" s="554" t="n"/>
      <c r="E254" s="92" t="inlineStr">
        <is>
          <t>Parbes Hossin</t>
        </is>
      </c>
      <c r="F254" s="71" t="inlineStr">
        <is>
          <t>Soft Service</t>
        </is>
      </c>
      <c r="G254" s="91" t="n">
        <v>2578822773</v>
      </c>
      <c r="H254" s="445" t="n">
        <v>2578822773</v>
      </c>
      <c r="I254" s="446" t="inlineStr">
        <is>
          <t>Approved</t>
        </is>
      </c>
      <c r="J254" s="551" t="n">
        <v>45937</v>
      </c>
      <c r="K254" s="18" t="inlineStr">
        <is>
          <t>UCC( RENTAL)</t>
        </is>
      </c>
      <c r="L254" s="37"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554" t="n"/>
      <c r="B255" s="554" t="n"/>
      <c r="C255" s="554" t="n"/>
      <c r="D255" s="554" t="n"/>
      <c r="E255" s="92" t="inlineStr">
        <is>
          <t>Md Elias Ali</t>
        </is>
      </c>
      <c r="F255" s="71" t="inlineStr">
        <is>
          <t>Soft Service</t>
        </is>
      </c>
      <c r="G255" s="91" t="n">
        <v>2621753371</v>
      </c>
      <c r="H255" s="445" t="n">
        <v>2621753371</v>
      </c>
      <c r="I255" s="446" t="inlineStr">
        <is>
          <t>Approved</t>
        </is>
      </c>
      <c r="J255" s="551" t="n">
        <v>45996</v>
      </c>
      <c r="K255" s="18" t="inlineStr">
        <is>
          <t>SCC (RENTAL)</t>
        </is>
      </c>
      <c r="L255" s="37"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554" t="n"/>
      <c r="B256" s="554" t="n"/>
      <c r="C256" s="554" t="n"/>
      <c r="D256" s="554" t="n"/>
      <c r="E256" s="92" t="inlineStr">
        <is>
          <t>Md Iyasin Mia</t>
        </is>
      </c>
      <c r="F256" s="71" t="inlineStr">
        <is>
          <t>Soft Service</t>
        </is>
      </c>
      <c r="G256" s="91" t="n">
        <v>2621898242</v>
      </c>
      <c r="H256" s="445" t="n">
        <v>2621898242</v>
      </c>
      <c r="I256" s="446" t="inlineStr">
        <is>
          <t>Approved</t>
        </is>
      </c>
      <c r="J256" s="551" t="n">
        <v>45996</v>
      </c>
      <c r="K256" s="18" t="inlineStr">
        <is>
          <t>SCC (RENTAL)</t>
        </is>
      </c>
      <c r="L256" s="37"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554" t="n"/>
      <c r="B257" s="554" t="n"/>
      <c r="C257" s="554" t="n"/>
      <c r="D257" s="554" t="n"/>
      <c r="E257" s="92" t="inlineStr">
        <is>
          <t>MD ABDUL BAREK</t>
        </is>
      </c>
      <c r="F257" s="71" t="inlineStr">
        <is>
          <t>Soft Service</t>
        </is>
      </c>
      <c r="G257" s="91" t="n">
        <v>1082</v>
      </c>
      <c r="H257" s="445" t="inlineStr">
        <is>
          <t>2571559281</t>
        </is>
      </c>
      <c r="I257" s="446" t="inlineStr">
        <is>
          <t>Approved</t>
        </is>
      </c>
      <c r="J257" s="551" t="inlineStr">
        <is>
          <t>2024-12-22 00:00:00</t>
        </is>
      </c>
      <c r="K257" s="18" t="inlineStr">
        <is>
          <t>UCC RENTAL</t>
        </is>
      </c>
      <c r="L257" s="37"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554" t="n"/>
      <c r="B258" s="554" t="n"/>
      <c r="C258" s="554" t="n"/>
      <c r="D258" s="554" t="n"/>
      <c r="E258" s="92" t="inlineStr">
        <is>
          <t>Md Rakibul Hasan</t>
        </is>
      </c>
      <c r="F258" s="71" t="inlineStr">
        <is>
          <t>Soft Service</t>
        </is>
      </c>
      <c r="G258" s="91" t="n">
        <v>2624253429</v>
      </c>
      <c r="H258" s="445" t="n">
        <v>2624253429</v>
      </c>
      <c r="I258" s="446" t="inlineStr">
        <is>
          <t>Approved</t>
        </is>
      </c>
      <c r="J258" s="551" t="n">
        <v>46025</v>
      </c>
      <c r="K258" s="18" t="inlineStr">
        <is>
          <t>SCC (RENTAL)</t>
        </is>
      </c>
      <c r="L258" s="37"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554" t="n"/>
      <c r="B259" s="554" t="n"/>
      <c r="C259" s="554" t="n"/>
      <c r="D259" s="554" t="n"/>
      <c r="E259" s="92" t="inlineStr">
        <is>
          <t>Anil Bishwakarma</t>
        </is>
      </c>
      <c r="F259" s="71" t="inlineStr">
        <is>
          <t>Soft Service</t>
        </is>
      </c>
      <c r="G259" s="91" t="n">
        <v>702536</v>
      </c>
      <c r="H259" s="445" t="n">
        <v>2550605964</v>
      </c>
      <c r="I259" s="446" t="inlineStr">
        <is>
          <t>Approved</t>
        </is>
      </c>
      <c r="J259" s="551" t="n">
        <v>46040</v>
      </c>
      <c r="K259" s="18" t="inlineStr">
        <is>
          <t>FMCO</t>
        </is>
      </c>
      <c r="L259" s="37"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554" t="n"/>
      <c r="B260" s="554" t="n"/>
      <c r="C260" s="554" t="n"/>
      <c r="D260" s="554" t="n"/>
      <c r="E260" s="92" t="inlineStr">
        <is>
          <t>Sugrim Pasi</t>
        </is>
      </c>
      <c r="F260" s="71" t="inlineStr">
        <is>
          <t>Soft Service</t>
        </is>
      </c>
      <c r="G260" s="91" t="n">
        <v>702727</v>
      </c>
      <c r="H260" s="445" t="n">
        <v>2555957295</v>
      </c>
      <c r="I260" s="446" t="inlineStr">
        <is>
          <t>Approved</t>
        </is>
      </c>
      <c r="J260" s="551" t="n">
        <v>46040</v>
      </c>
      <c r="K260" s="18" t="inlineStr">
        <is>
          <t>FMCO</t>
        </is>
      </c>
      <c r="L260" s="37"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554" t="n"/>
      <c r="B261" s="554" t="n"/>
      <c r="C261" s="554" t="n"/>
      <c r="D261" s="554" t="n"/>
      <c r="E261" s="92" t="inlineStr">
        <is>
          <t>Naeem   Haphij</t>
        </is>
      </c>
      <c r="F261" s="71" t="inlineStr">
        <is>
          <t>Soft Service</t>
        </is>
      </c>
      <c r="G261" s="91" t="n">
        <v>104713</v>
      </c>
      <c r="H261" s="445" t="n">
        <v>2440444079</v>
      </c>
      <c r="I261" s="446" t="inlineStr">
        <is>
          <t>Approved</t>
        </is>
      </c>
      <c r="J261" s="551" t="n">
        <v>45592</v>
      </c>
      <c r="K261" s="18" t="inlineStr">
        <is>
          <t>MEHAN (RENTAL)</t>
        </is>
      </c>
      <c r="L261" s="37"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554" t="n"/>
      <c r="B262" s="554" t="n"/>
      <c r="C262" s="554" t="n"/>
      <c r="D262" s="554" t="n"/>
      <c r="E262" s="36" t="inlineStr">
        <is>
          <t>Md Mukter Hossain</t>
        </is>
      </c>
      <c r="F262" s="42" t="inlineStr">
        <is>
          <t>Soft Service</t>
        </is>
      </c>
      <c r="G262" s="43" t="inlineStr">
        <is>
          <t>-</t>
        </is>
      </c>
      <c r="H262" s="32" t="n">
        <v>2618325712</v>
      </c>
      <c r="I262" s="446" t="inlineStr">
        <is>
          <t>Approved</t>
        </is>
      </c>
      <c r="J262" s="551" t="n">
        <v>46199</v>
      </c>
      <c r="K262" s="44" t="inlineStr">
        <is>
          <t>JAWAD AL DUWAIL</t>
        </is>
      </c>
      <c r="L262" s="37"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554" t="n"/>
      <c r="B263" s="554" t="n"/>
      <c r="C263" s="554" t="n"/>
      <c r="D263" s="554" t="n"/>
      <c r="E263" s="92" t="inlineStr">
        <is>
          <t>Mohammad - - Kaioom</t>
        </is>
      </c>
      <c r="F263" s="71" t="inlineStr">
        <is>
          <t>Soft Service</t>
        </is>
      </c>
      <c r="G263" s="91" t="inlineStr">
        <is>
          <t>R09604</t>
        </is>
      </c>
      <c r="H263" s="445" t="n">
        <v>2616699241</v>
      </c>
      <c r="I263" s="446" t="inlineStr">
        <is>
          <t>Approved</t>
        </is>
      </c>
      <c r="J263" s="551" t="n">
        <v>46041</v>
      </c>
      <c r="K263" s="18" t="inlineStr">
        <is>
          <t>MEHAN (RENTAL)</t>
        </is>
      </c>
      <c r="L263" s="37"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554" t="n"/>
      <c r="B264" s="554" t="n"/>
      <c r="C264" s="554" t="n"/>
      <c r="D264" s="554" t="n"/>
      <c r="E264" s="92" t="inlineStr">
        <is>
          <t>Hridoy Hasan</t>
        </is>
      </c>
      <c r="F264" s="71" t="inlineStr">
        <is>
          <t>Soft Service</t>
        </is>
      </c>
      <c r="G264" s="91" t="n">
        <v>2619279090</v>
      </c>
      <c r="H264" s="445" t="n">
        <v>2619279090</v>
      </c>
      <c r="I264" s="446" t="inlineStr">
        <is>
          <t>Approved</t>
        </is>
      </c>
      <c r="J264" s="551" t="n">
        <v>46153</v>
      </c>
      <c r="K264" s="18" t="inlineStr">
        <is>
          <t>SCC (RENTAL)</t>
        </is>
      </c>
      <c r="L264" s="37"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554" t="n"/>
      <c r="B265" s="554" t="n"/>
      <c r="C265" s="554" t="n"/>
      <c r="D265" s="554" t="n"/>
      <c r="E265" s="92" t="inlineStr">
        <is>
          <t>Md Nazir Hossain Gazi</t>
        </is>
      </c>
      <c r="F265" s="71" t="inlineStr">
        <is>
          <t>Soft Service</t>
        </is>
      </c>
      <c r="G265" s="91" t="n">
        <v>2574755555</v>
      </c>
      <c r="H265" s="445" t="n">
        <v>2574755555</v>
      </c>
      <c r="I265" s="446" t="inlineStr">
        <is>
          <t>Approved</t>
        </is>
      </c>
      <c r="J265" s="551" t="n">
        <v>45937</v>
      </c>
      <c r="K265" s="18" t="inlineStr">
        <is>
          <t>UCC( RENTAL)</t>
        </is>
      </c>
      <c r="L265" s="37"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554" t="n"/>
      <c r="B266" s="554" t="n"/>
      <c r="C266" s="554" t="n"/>
      <c r="D266" s="554" t="n"/>
      <c r="E266" s="92" t="inlineStr">
        <is>
          <t>Balram Ahir</t>
        </is>
      </c>
      <c r="F266" s="71" t="inlineStr">
        <is>
          <t>Soft Service</t>
        </is>
      </c>
      <c r="G266" s="91" t="inlineStr">
        <is>
          <t>S349</t>
        </is>
      </c>
      <c r="H266" s="445" t="n">
        <v>2605352257</v>
      </c>
      <c r="I266" s="446" t="inlineStr">
        <is>
          <t>Approved</t>
        </is>
      </c>
      <c r="J266" s="551" t="n">
        <v>45809</v>
      </c>
      <c r="K266" s="18" t="inlineStr">
        <is>
          <t>SCC (RENTAL)</t>
        </is>
      </c>
      <c r="L266" s="37"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554" t="n"/>
      <c r="B267" s="554" t="n"/>
      <c r="C267" s="554" t="n"/>
      <c r="D267" s="554" t="n"/>
      <c r="E267" s="92" t="inlineStr">
        <is>
          <t>Shamim Mia</t>
        </is>
      </c>
      <c r="F267" s="71" t="inlineStr">
        <is>
          <t>Soft Service</t>
        </is>
      </c>
      <c r="G267" s="91" t="n">
        <v>2621898101</v>
      </c>
      <c r="H267" s="445" t="n">
        <v>2621898101</v>
      </c>
      <c r="I267" s="446" t="inlineStr">
        <is>
          <t>Approved</t>
        </is>
      </c>
      <c r="J267" s="551" t="n">
        <v>45996</v>
      </c>
      <c r="K267" s="18" t="inlineStr">
        <is>
          <t>SCC (RENTAL)</t>
        </is>
      </c>
      <c r="L267" s="37"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554" t="n"/>
      <c r="B268" s="554" t="n"/>
      <c r="C268" s="554" t="n"/>
      <c r="D268" s="554" t="n"/>
      <c r="E268" s="92" t="inlineStr">
        <is>
          <t>Shake Naiem</t>
        </is>
      </c>
      <c r="F268" s="71" t="inlineStr">
        <is>
          <t>Soft Service</t>
        </is>
      </c>
      <c r="G268" s="91" t="n">
        <v>2621897921</v>
      </c>
      <c r="H268" s="445" t="n">
        <v>2621897921</v>
      </c>
      <c r="I268" s="446" t="inlineStr">
        <is>
          <t>Approved</t>
        </is>
      </c>
      <c r="J268" s="551" t="n">
        <v>45996</v>
      </c>
      <c r="K268" s="18" t="inlineStr">
        <is>
          <t>SCC (RENTAL)</t>
        </is>
      </c>
      <c r="L268" s="37"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554" t="n"/>
      <c r="B269" s="554" t="n"/>
      <c r="C269" s="554" t="n"/>
      <c r="D269" s="554" t="n"/>
      <c r="E269" s="92" t="inlineStr">
        <is>
          <t>Md Atikur Rahman</t>
        </is>
      </c>
      <c r="F269" s="71" t="inlineStr">
        <is>
          <t>Soft Service</t>
        </is>
      </c>
      <c r="G269" s="91" t="n">
        <v>2621897590</v>
      </c>
      <c r="H269" s="445" t="n">
        <v>2621897590</v>
      </c>
      <c r="I269" s="446" t="inlineStr">
        <is>
          <t>Approved</t>
        </is>
      </c>
      <c r="J269" s="551" t="n">
        <v>45996</v>
      </c>
      <c r="K269" s="18" t="inlineStr">
        <is>
          <t>SCC (RENTAL)</t>
        </is>
      </c>
      <c r="L269" s="37"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554" t="n"/>
      <c r="B270" s="554" t="n"/>
      <c r="C270" s="554" t="n"/>
      <c r="D270" s="554" t="n"/>
      <c r="E270" s="92" t="inlineStr">
        <is>
          <t>Suma Akter</t>
        </is>
      </c>
      <c r="F270" s="71" t="inlineStr">
        <is>
          <t>Soft Service</t>
        </is>
      </c>
      <c r="G270" s="91" t="n">
        <v>2612699278</v>
      </c>
      <c r="H270" s="445" t="n">
        <v>2612699278</v>
      </c>
      <c r="I270" s="446" t="inlineStr">
        <is>
          <t>Approved</t>
        </is>
      </c>
      <c r="J270" s="551" t="n">
        <v>46183</v>
      </c>
      <c r="K270" s="18" t="inlineStr">
        <is>
          <t>AB-HOOR RENTAL</t>
        </is>
      </c>
      <c r="L270" s="37"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554" t="n"/>
      <c r="B271" s="554" t="n"/>
      <c r="C271" s="554" t="n"/>
      <c r="D271" s="554" t="n"/>
      <c r="E271" s="92" t="inlineStr">
        <is>
          <t>Md Hanifa</t>
        </is>
      </c>
      <c r="F271" s="71" t="inlineStr">
        <is>
          <t>Soft Service</t>
        </is>
      </c>
      <c r="G271" s="91" t="n">
        <v>2637007879</v>
      </c>
      <c r="H271" s="91" t="n">
        <v>2637007879</v>
      </c>
      <c r="I271" s="446" t="inlineStr">
        <is>
          <t>Approved</t>
        </is>
      </c>
      <c r="J271" s="551" t="n">
        <v>46184</v>
      </c>
      <c r="K271" s="18" t="inlineStr">
        <is>
          <t>UCC( RENTAL)</t>
        </is>
      </c>
      <c r="L271" s="37"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554" t="n"/>
      <c r="B272" s="554" t="n"/>
      <c r="C272" s="554" t="n"/>
      <c r="D272" s="554" t="n"/>
      <c r="E272" s="92" t="inlineStr">
        <is>
          <t>Md. Sultan Shaikh</t>
        </is>
      </c>
      <c r="F272" s="71" t="inlineStr">
        <is>
          <t>Soft Service</t>
        </is>
      </c>
      <c r="G272" s="91" t="n">
        <v>2621753959</v>
      </c>
      <c r="H272" s="445" t="n">
        <v>2621753959</v>
      </c>
      <c r="I272" s="446" t="inlineStr">
        <is>
          <t>Approved</t>
        </is>
      </c>
      <c r="J272" s="551" t="n">
        <v>45996</v>
      </c>
      <c r="K272" s="18" t="inlineStr">
        <is>
          <t>SCC (RENTAL)</t>
        </is>
      </c>
      <c r="L272" s="37"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554" t="n"/>
      <c r="B273" s="554" t="n"/>
      <c r="C273" s="554" t="n"/>
      <c r="D273" s="554" t="n"/>
      <c r="E273" s="395" t="inlineStr">
        <is>
          <t>MD MAHIR JISAN</t>
        </is>
      </c>
      <c r="F273" s="446" t="inlineStr">
        <is>
          <t>Soft Service</t>
        </is>
      </c>
      <c r="G273" s="445" t="inlineStr">
        <is>
          <t>-</t>
        </is>
      </c>
      <c r="H273" s="445" t="inlineStr">
        <is>
          <t>-</t>
        </is>
      </c>
      <c r="I273" s="446" t="inlineStr">
        <is>
          <t>Approved</t>
        </is>
      </c>
      <c r="J273" s="551" t="n">
        <v>46246</v>
      </c>
      <c r="K273" s="18" t="inlineStr">
        <is>
          <t>-</t>
        </is>
      </c>
      <c r="L273" s="37"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554" t="n"/>
      <c r="B274" s="554" t="n"/>
      <c r="C274" s="554" t="n"/>
      <c r="D274" s="554" t="n"/>
      <c r="E274" s="395" t="inlineStr">
        <is>
          <t>SOHRAB HOSSAIN FAHAD</t>
        </is>
      </c>
      <c r="F274" s="446" t="inlineStr">
        <is>
          <t>Soft Service</t>
        </is>
      </c>
      <c r="G274" s="445" t="inlineStr">
        <is>
          <t>-</t>
        </is>
      </c>
      <c r="H274" s="445" t="inlineStr">
        <is>
          <t>-</t>
        </is>
      </c>
      <c r="I274" s="446" t="inlineStr">
        <is>
          <t>Approved</t>
        </is>
      </c>
      <c r="J274" s="551" t="n">
        <v>46246</v>
      </c>
      <c r="K274" s="18" t="inlineStr">
        <is>
          <t>-</t>
        </is>
      </c>
      <c r="L274" s="37"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554" t="n"/>
      <c r="B275" s="554" t="n"/>
      <c r="C275" s="554" t="n"/>
      <c r="D275" s="554" t="n"/>
      <c r="E275" s="395" t="inlineStr">
        <is>
          <t>ASAD ULLAH</t>
        </is>
      </c>
      <c r="F275" s="446" t="inlineStr">
        <is>
          <t>Soft Service</t>
        </is>
      </c>
      <c r="G275" s="445" t="inlineStr">
        <is>
          <t>-</t>
        </is>
      </c>
      <c r="H275" s="445" t="inlineStr">
        <is>
          <t>-</t>
        </is>
      </c>
      <c r="I275" s="446" t="inlineStr">
        <is>
          <t>Approved</t>
        </is>
      </c>
      <c r="J275" s="551" t="n">
        <v>46246</v>
      </c>
      <c r="K275" s="18" t="inlineStr">
        <is>
          <t>-</t>
        </is>
      </c>
      <c r="L275" s="37"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554" t="n"/>
      <c r="B276" s="554" t="n"/>
      <c r="C276" s="554" t="n"/>
      <c r="D276" s="554" t="n"/>
      <c r="E276" s="395" t="inlineStr">
        <is>
          <t>Goni Osman</t>
        </is>
      </c>
      <c r="F276" s="446" t="inlineStr">
        <is>
          <t>Soft Service</t>
        </is>
      </c>
      <c r="G276" s="445" t="inlineStr">
        <is>
          <t>-</t>
        </is>
      </c>
      <c r="H276" s="445" t="inlineStr">
        <is>
          <t>-</t>
        </is>
      </c>
      <c r="I276" s="446" t="inlineStr">
        <is>
          <t>Approved</t>
        </is>
      </c>
      <c r="J276" s="551" t="n">
        <v>46246</v>
      </c>
      <c r="K276" s="18" t="inlineStr">
        <is>
          <t>-</t>
        </is>
      </c>
      <c r="L276" s="37"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554" t="n"/>
      <c r="B277" s="554" t="n"/>
      <c r="C277" s="554" t="n"/>
      <c r="D277" s="554" t="n"/>
      <c r="E277" s="395" t="inlineStr">
        <is>
          <t>IMAM HASAN</t>
        </is>
      </c>
      <c r="F277" s="446" t="inlineStr">
        <is>
          <t>Soft Service</t>
        </is>
      </c>
      <c r="G277" s="445" t="inlineStr">
        <is>
          <t>-</t>
        </is>
      </c>
      <c r="H277" s="445" t="inlineStr">
        <is>
          <t>-</t>
        </is>
      </c>
      <c r="I277" s="446" t="inlineStr">
        <is>
          <t>Approved</t>
        </is>
      </c>
      <c r="J277" s="551" t="n">
        <v>46246</v>
      </c>
      <c r="K277" s="18" t="inlineStr">
        <is>
          <t>-</t>
        </is>
      </c>
      <c r="L277" s="37"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554" t="n"/>
      <c r="B278" s="554" t="n"/>
      <c r="C278" s="554" t="n"/>
      <c r="D278" s="554" t="n"/>
      <c r="E278" s="395" t="inlineStr">
        <is>
          <t>MEHEDI HASAN</t>
        </is>
      </c>
      <c r="F278" s="446" t="inlineStr">
        <is>
          <t>Soft Service</t>
        </is>
      </c>
      <c r="G278" s="445" t="inlineStr">
        <is>
          <t>-</t>
        </is>
      </c>
      <c r="H278" s="445" t="inlineStr">
        <is>
          <t>-</t>
        </is>
      </c>
      <c r="I278" s="446" t="inlineStr">
        <is>
          <t>Approved</t>
        </is>
      </c>
      <c r="J278" s="551" t="n">
        <v>46246</v>
      </c>
      <c r="K278" s="18" t="inlineStr">
        <is>
          <t>-</t>
        </is>
      </c>
      <c r="L278" s="37"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554" t="n"/>
      <c r="B279" s="554" t="n"/>
      <c r="C279" s="554" t="n"/>
      <c r="D279" s="554" t="n"/>
      <c r="E279" s="395" t="inlineStr">
        <is>
          <t>MD SAMSUL ISLAM</t>
        </is>
      </c>
      <c r="F279" s="446" t="inlineStr">
        <is>
          <t>Soft Service</t>
        </is>
      </c>
      <c r="G279" s="445" t="inlineStr">
        <is>
          <t>-</t>
        </is>
      </c>
      <c r="H279" s="445" t="inlineStr">
        <is>
          <t>-</t>
        </is>
      </c>
      <c r="I279" s="446" t="inlineStr">
        <is>
          <t>Approved</t>
        </is>
      </c>
      <c r="J279" s="551" t="n">
        <v>46246</v>
      </c>
      <c r="K279" s="18" t="inlineStr">
        <is>
          <t>-</t>
        </is>
      </c>
      <c r="L279" s="37"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554" t="n"/>
      <c r="B280" s="554" t="n"/>
      <c r="C280" s="554" t="n"/>
      <c r="D280" s="554" t="n"/>
      <c r="E280" s="395" t="inlineStr">
        <is>
          <t>ARAFAT</t>
        </is>
      </c>
      <c r="F280" s="446" t="inlineStr">
        <is>
          <t>Soft Service</t>
        </is>
      </c>
      <c r="G280" s="445" t="inlineStr">
        <is>
          <t>-</t>
        </is>
      </c>
      <c r="H280" s="445" t="inlineStr">
        <is>
          <t>-</t>
        </is>
      </c>
      <c r="I280" s="446" t="inlineStr">
        <is>
          <t>Approved</t>
        </is>
      </c>
      <c r="J280" s="551" t="n">
        <v>46246</v>
      </c>
      <c r="K280" s="18" t="inlineStr">
        <is>
          <t>-</t>
        </is>
      </c>
      <c r="L280" s="37"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554" t="n"/>
      <c r="B281" s="554" t="n"/>
      <c r="C281" s="554" t="n"/>
      <c r="D281" s="554" t="n"/>
      <c r="E281" s="395" t="inlineStr">
        <is>
          <t>MARUYAN</t>
        </is>
      </c>
      <c r="F281" s="446" t="inlineStr">
        <is>
          <t>Soft Service</t>
        </is>
      </c>
      <c r="G281" s="445" t="inlineStr">
        <is>
          <t>-</t>
        </is>
      </c>
      <c r="H281" s="445" t="inlineStr">
        <is>
          <t>-</t>
        </is>
      </c>
      <c r="I281" s="446" t="inlineStr">
        <is>
          <t>Approved</t>
        </is>
      </c>
      <c r="J281" s="551" t="n">
        <v>46246</v>
      </c>
      <c r="K281" s="18" t="inlineStr">
        <is>
          <t>-</t>
        </is>
      </c>
      <c r="L281" s="37"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554" t="n"/>
      <c r="B282" s="554" t="n"/>
      <c r="C282" s="554" t="n"/>
      <c r="D282" s="554" t="n"/>
      <c r="E282" s="395" t="inlineStr">
        <is>
          <t>RUBEL</t>
        </is>
      </c>
      <c r="F282" s="446" t="inlineStr">
        <is>
          <t>Soft Service</t>
        </is>
      </c>
      <c r="G282" s="445" t="inlineStr">
        <is>
          <t>-</t>
        </is>
      </c>
      <c r="H282" s="445" t="inlineStr">
        <is>
          <t>-</t>
        </is>
      </c>
      <c r="I282" s="446" t="inlineStr">
        <is>
          <t>Approved</t>
        </is>
      </c>
      <c r="J282" s="551" t="inlineStr">
        <is>
          <t>26/08/2026</t>
        </is>
      </c>
      <c r="K282" s="18" t="inlineStr">
        <is>
          <t>-</t>
        </is>
      </c>
      <c r="L282" s="37"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28" t="inlineStr">
        <is>
          <t>Litter Picker Supervisor</t>
        </is>
      </c>
      <c r="B283" s="429" t="n">
        <v>2</v>
      </c>
      <c r="C283" s="429">
        <f>COUNTIF(E283:E284,"&lt;&gt;")</f>
        <v/>
      </c>
      <c r="D283" s="430">
        <f>C283-B283</f>
        <v/>
      </c>
      <c r="E283" s="26" t="n"/>
      <c r="F283" s="71" t="inlineStr">
        <is>
          <t>Soft Service</t>
        </is>
      </c>
      <c r="G283" s="91" t="inlineStr">
        <is>
          <t>-</t>
        </is>
      </c>
      <c r="H283" s="445" t="inlineStr">
        <is>
          <t>-</t>
        </is>
      </c>
      <c r="I283" s="446" t="inlineStr">
        <is>
          <t>Vacant</t>
        </is>
      </c>
      <c r="J283" s="552" t="n"/>
      <c r="K283" s="18" t="inlineStr">
        <is>
          <t>-</t>
        </is>
      </c>
      <c r="L283" s="37"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553" t="n"/>
      <c r="B284" s="553" t="n"/>
      <c r="C284" s="553" t="n"/>
      <c r="D284" s="553" t="n"/>
      <c r="E284" s="26" t="n"/>
      <c r="F284" s="71" t="inlineStr">
        <is>
          <t>Soft Service</t>
        </is>
      </c>
      <c r="G284" s="91" t="inlineStr">
        <is>
          <t>-</t>
        </is>
      </c>
      <c r="H284" s="445" t="inlineStr">
        <is>
          <t>-</t>
        </is>
      </c>
      <c r="I284" s="446" t="inlineStr">
        <is>
          <t>Vacant</t>
        </is>
      </c>
      <c r="J284" s="552" t="n"/>
      <c r="K284" s="18" t="inlineStr">
        <is>
          <t>-</t>
        </is>
      </c>
      <c r="L284" s="37"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28" t="inlineStr">
        <is>
          <t xml:space="preserve">Litter Picker </t>
        </is>
      </c>
      <c r="B285" s="429" t="n">
        <v>10</v>
      </c>
      <c r="C285" s="429">
        <f>COUNTIF(E285:E294,"&lt;&gt;")</f>
        <v/>
      </c>
      <c r="D285" s="429">
        <f>C285-B285</f>
        <v/>
      </c>
      <c r="E285" s="92" t="inlineStr">
        <is>
          <t>Md Kamal Hossain</t>
        </is>
      </c>
      <c r="F285" s="71" t="inlineStr">
        <is>
          <t>Soft Service</t>
        </is>
      </c>
      <c r="G285" s="91" t="n">
        <v>2574629891</v>
      </c>
      <c r="H285" s="445" t="n">
        <v>2574629891</v>
      </c>
      <c r="I285" s="446" t="inlineStr">
        <is>
          <t>Approved</t>
        </is>
      </c>
      <c r="J285" s="551" t="n">
        <v>45937</v>
      </c>
      <c r="K285" s="18" t="inlineStr">
        <is>
          <t>UCC( RENTAL)</t>
        </is>
      </c>
      <c r="L285" s="37"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554" t="n"/>
      <c r="B286" s="554" t="n"/>
      <c r="C286" s="554" t="n"/>
      <c r="D286" s="554" t="n"/>
      <c r="E286" s="92" t="inlineStr">
        <is>
          <t>Md Morshed</t>
        </is>
      </c>
      <c r="F286" s="71" t="inlineStr">
        <is>
          <t>Soft Service</t>
        </is>
      </c>
      <c r="G286" s="91" t="n">
        <v>2621897343</v>
      </c>
      <c r="H286" s="445" t="n">
        <v>2621897343</v>
      </c>
      <c r="I286" s="446" t="inlineStr">
        <is>
          <t>Approved</t>
        </is>
      </c>
      <c r="J286" s="551" t="n">
        <v>45996</v>
      </c>
      <c r="K286" s="18" t="inlineStr">
        <is>
          <t>SCC (RENTAL)</t>
        </is>
      </c>
      <c r="L286" s="37"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554" t="n"/>
      <c r="B287" s="554" t="n"/>
      <c r="C287" s="554" t="n"/>
      <c r="D287" s="554" t="n"/>
      <c r="E287" s="395" t="inlineStr">
        <is>
          <t>SHAMIM HAIDER</t>
        </is>
      </c>
      <c r="F287" s="446" t="inlineStr">
        <is>
          <t>Soft Service</t>
        </is>
      </c>
      <c r="G287" s="445" t="inlineStr">
        <is>
          <t>-</t>
        </is>
      </c>
      <c r="H287" s="445" t="inlineStr">
        <is>
          <t>-</t>
        </is>
      </c>
      <c r="I287" s="446" t="inlineStr">
        <is>
          <t>Approved</t>
        </is>
      </c>
      <c r="J287" s="551" t="inlineStr">
        <is>
          <t>26/08/2026</t>
        </is>
      </c>
      <c r="K287" s="18" t="inlineStr">
        <is>
          <t>-</t>
        </is>
      </c>
      <c r="L287" s="37"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554" t="n"/>
      <c r="B288" s="554" t="n"/>
      <c r="C288" s="554" t="n"/>
      <c r="D288" s="554" t="n"/>
      <c r="E288" s="92" t="inlineStr">
        <is>
          <t>Dalim Miah</t>
        </is>
      </c>
      <c r="F288" s="71" t="inlineStr">
        <is>
          <t>Soft Service</t>
        </is>
      </c>
      <c r="G288" s="91" t="inlineStr">
        <is>
          <t>S363</t>
        </is>
      </c>
      <c r="H288" s="445" t="n">
        <v>2605949078</v>
      </c>
      <c r="I288" s="446" t="inlineStr">
        <is>
          <t>Approved</t>
        </is>
      </c>
      <c r="J288" s="551" t="n">
        <v>45818</v>
      </c>
      <c r="K288" s="18" t="inlineStr">
        <is>
          <t>SCC (RENTAL)</t>
        </is>
      </c>
      <c r="L288" s="37"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554" t="n"/>
      <c r="B289" s="554" t="n"/>
      <c r="C289" s="554" t="n"/>
      <c r="D289" s="554" t="n"/>
      <c r="E289" s="48" t="inlineStr">
        <is>
          <t>Sanaullah Abdul Rashid</t>
        </is>
      </c>
      <c r="F289" s="71" t="inlineStr">
        <is>
          <t>Soft Service</t>
        </is>
      </c>
      <c r="G289" s="91" t="n">
        <v>2627065655</v>
      </c>
      <c r="H289" s="445" t="n">
        <v>2627065655</v>
      </c>
      <c r="I289" s="446" t="inlineStr">
        <is>
          <t>Approved</t>
        </is>
      </c>
      <c r="J289" s="551" t="n">
        <v>46161</v>
      </c>
      <c r="K289" s="18" t="inlineStr">
        <is>
          <t>SCC (RENTAL)</t>
        </is>
      </c>
      <c r="L289" s="37"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554" t="n"/>
      <c r="B290" s="554" t="n"/>
      <c r="C290" s="554" t="n"/>
      <c r="D290" s="554" t="n"/>
      <c r="E290" s="395" t="inlineStr">
        <is>
          <t>RAFI MIAH</t>
        </is>
      </c>
      <c r="F290" s="446" t="inlineStr">
        <is>
          <t>Soft Service</t>
        </is>
      </c>
      <c r="G290" s="445" t="inlineStr">
        <is>
          <t>-</t>
        </is>
      </c>
      <c r="H290" s="445" t="inlineStr">
        <is>
          <t>-</t>
        </is>
      </c>
      <c r="I290" s="446" t="inlineStr">
        <is>
          <t>Additional</t>
        </is>
      </c>
      <c r="J290" s="551" t="n">
        <v>46246</v>
      </c>
      <c r="K290" s="18" t="inlineStr">
        <is>
          <t>-</t>
        </is>
      </c>
      <c r="L290" s="37"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554" t="n"/>
      <c r="B291" s="554" t="n"/>
      <c r="C291" s="554" t="n"/>
      <c r="D291" s="554" t="n"/>
      <c r="E291" s="48" t="inlineStr">
        <is>
          <t>Nasib Ali - Shekh</t>
        </is>
      </c>
      <c r="F291" s="71" t="inlineStr">
        <is>
          <t>Soft Service</t>
        </is>
      </c>
      <c r="G291" s="91" t="inlineStr">
        <is>
          <t>L01308</t>
        </is>
      </c>
      <c r="H291" s="445" t="n">
        <v>2636632115</v>
      </c>
      <c r="I291" s="446" t="inlineStr">
        <is>
          <t>Approved</t>
        </is>
      </c>
      <c r="J291" s="551" t="n">
        <v>46163</v>
      </c>
      <c r="K291" s="18" t="inlineStr">
        <is>
          <t>MEHAN (RENTAL)</t>
        </is>
      </c>
      <c r="L291" s="37"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554" t="n"/>
      <c r="B292" s="554" t="n"/>
      <c r="C292" s="554" t="n"/>
      <c r="D292" s="554" t="n"/>
      <c r="E292" s="48" t="inlineStr">
        <is>
          <t>Niraj - - Tharu</t>
        </is>
      </c>
      <c r="F292" s="71" t="inlineStr">
        <is>
          <t>Soft Service</t>
        </is>
      </c>
      <c r="G292" s="91" t="inlineStr">
        <is>
          <t>R09298</t>
        </is>
      </c>
      <c r="H292" s="445" t="n">
        <v>2613158894</v>
      </c>
      <c r="I292" s="446" t="inlineStr">
        <is>
          <t>Approved</t>
        </is>
      </c>
      <c r="J292" s="551" t="n">
        <v>46163</v>
      </c>
      <c r="K292" s="18" t="inlineStr">
        <is>
          <t>MEHAN (RENTAL)</t>
        </is>
      </c>
      <c r="L292" s="37"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554" t="n"/>
      <c r="B293" s="554" t="n"/>
      <c r="C293" s="554" t="n"/>
      <c r="D293" s="554" t="n"/>
      <c r="E293" s="48" t="inlineStr">
        <is>
          <t>Hakim Ali - Shekh</t>
        </is>
      </c>
      <c r="F293" s="71" t="inlineStr">
        <is>
          <t>Soft Service</t>
        </is>
      </c>
      <c r="G293" s="91" t="inlineStr">
        <is>
          <t>L01307</t>
        </is>
      </c>
      <c r="H293" s="445" t="n">
        <v>2636632099</v>
      </c>
      <c r="I293" s="446" t="inlineStr">
        <is>
          <t>Approved</t>
        </is>
      </c>
      <c r="J293" s="551" t="n">
        <v>46163</v>
      </c>
      <c r="K293" s="18" t="inlineStr">
        <is>
          <t>MEHAN (RENTAL)</t>
        </is>
      </c>
      <c r="L293" s="37"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553" t="n"/>
      <c r="B294" s="553" t="n"/>
      <c r="C294" s="553" t="n"/>
      <c r="D294" s="553" t="n"/>
      <c r="E294" s="48" t="inlineStr">
        <is>
          <t>Md Hakimuddin - Miya</t>
        </is>
      </c>
      <c r="F294" s="71" t="inlineStr">
        <is>
          <t>Soft Service</t>
        </is>
      </c>
      <c r="G294" s="91" t="inlineStr">
        <is>
          <t>L01303</t>
        </is>
      </c>
      <c r="H294" s="445" t="n">
        <v>2636631869</v>
      </c>
      <c r="I294" s="446" t="inlineStr">
        <is>
          <t>Approved</t>
        </is>
      </c>
      <c r="J294" s="551" t="n">
        <v>46163</v>
      </c>
      <c r="K294" s="18" t="inlineStr">
        <is>
          <t>MEHAN (RENTAL)</t>
        </is>
      </c>
      <c r="L294" s="37"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28" t="inlineStr">
        <is>
          <t>Road Sweeper Driver</t>
        </is>
      </c>
      <c r="B295" s="429" t="n">
        <v>1</v>
      </c>
      <c r="C295" s="429">
        <f>COUNTIF(E295,"&lt;&gt;")</f>
        <v/>
      </c>
      <c r="D295" s="429">
        <f>C295-B295</f>
        <v/>
      </c>
      <c r="E295" s="36" t="inlineStr">
        <is>
          <t>Mehboob Shah</t>
        </is>
      </c>
      <c r="F295" s="71" t="inlineStr">
        <is>
          <t>Soft Service</t>
        </is>
      </c>
      <c r="G295" s="43" t="inlineStr">
        <is>
          <t>-</t>
        </is>
      </c>
      <c r="H295" s="32" t="n">
        <v>2621810114</v>
      </c>
      <c r="I295" s="446" t="inlineStr">
        <is>
          <t>Additional</t>
        </is>
      </c>
      <c r="J295" s="551" t="n">
        <v>46165</v>
      </c>
      <c r="K295" s="44" t="inlineStr">
        <is>
          <t>FMCO</t>
        </is>
      </c>
      <c r="L295" s="37"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28" t="inlineStr">
        <is>
          <t>Barber</t>
        </is>
      </c>
      <c r="B296" s="429" t="n">
        <v>4</v>
      </c>
      <c r="C296" s="429">
        <f>COUNTIF(E296:E299,"&lt;&gt;")</f>
        <v/>
      </c>
      <c r="D296" s="429">
        <f>C296-B296</f>
        <v/>
      </c>
      <c r="E296" s="48" t="inlineStr">
        <is>
          <t>Afshan Shahid</t>
        </is>
      </c>
      <c r="F296" s="71" t="inlineStr">
        <is>
          <t>Soft Service</t>
        </is>
      </c>
      <c r="G296" s="91" t="inlineStr">
        <is>
          <t>C01041</t>
        </is>
      </c>
      <c r="H296" s="445" t="n">
        <v>2607619810</v>
      </c>
      <c r="I296" s="446" t="inlineStr">
        <is>
          <t>Approved</t>
        </is>
      </c>
      <c r="J296" s="551" t="n">
        <v>45863</v>
      </c>
      <c r="K296" s="18" t="inlineStr">
        <is>
          <t>MEHAN VISA</t>
        </is>
      </c>
      <c r="L296" s="37"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554" t="n"/>
      <c r="B297" s="554" t="n"/>
      <c r="C297" s="554" t="n"/>
      <c r="D297" s="554" t="n"/>
      <c r="E297" s="48" t="inlineStr">
        <is>
          <t>Ahmed Sayed Hassan</t>
        </is>
      </c>
      <c r="F297" s="71" t="inlineStr">
        <is>
          <t>Soft Service</t>
        </is>
      </c>
      <c r="G297" s="91" t="inlineStr">
        <is>
          <t>EM-0002194</t>
        </is>
      </c>
      <c r="H297" s="445" t="n">
        <v>2597083571</v>
      </c>
      <c r="I297" s="446" t="inlineStr">
        <is>
          <t>Approved</t>
        </is>
      </c>
      <c r="J297" s="551" t="n">
        <v>45716</v>
      </c>
      <c r="K297" s="18" t="inlineStr">
        <is>
          <t>AL-FALAK VISA</t>
        </is>
      </c>
      <c r="L297" s="37"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554" t="n"/>
      <c r="B298" s="554" t="n"/>
      <c r="C298" s="554" t="n"/>
      <c r="D298" s="554" t="n"/>
      <c r="E298" s="48" t="inlineStr">
        <is>
          <t>Suhail Ahmad</t>
        </is>
      </c>
      <c r="F298" s="71" t="inlineStr">
        <is>
          <t>Soft Service</t>
        </is>
      </c>
      <c r="G298" s="91" t="inlineStr">
        <is>
          <t>EM-0002453</t>
        </is>
      </c>
      <c r="H298" s="445" t="n">
        <v>2582465817</v>
      </c>
      <c r="I298" s="446" t="inlineStr">
        <is>
          <t>Approved</t>
        </is>
      </c>
      <c r="J298" s="551" t="n">
        <v>45586</v>
      </c>
      <c r="K298" s="18" t="inlineStr">
        <is>
          <t>AL-FALAK VISA</t>
        </is>
      </c>
      <c r="L298" s="37"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553" t="n"/>
      <c r="B299" s="553" t="n"/>
      <c r="C299" s="553" t="n"/>
      <c r="D299" s="553" t="n"/>
      <c r="E299" s="75" t="inlineStr">
        <is>
          <t>Talib Anwar</t>
        </is>
      </c>
      <c r="F299" s="71" t="inlineStr">
        <is>
          <t>Soft Service</t>
        </is>
      </c>
      <c r="G299" s="91" t="inlineStr">
        <is>
          <t>C01360</t>
        </is>
      </c>
      <c r="H299" s="445" t="n">
        <v>2617250762</v>
      </c>
      <c r="I299" s="446" t="inlineStr">
        <is>
          <t>Approved</t>
        </is>
      </c>
      <c r="J299" s="551" t="n">
        <v>45954</v>
      </c>
      <c r="K299" s="18" t="inlineStr">
        <is>
          <t>MEHAN VISA</t>
        </is>
      </c>
      <c r="L299" s="37"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28" t="inlineStr">
        <is>
          <t>Tea Boy/Operation Office</t>
        </is>
      </c>
      <c r="B300" s="429" t="n">
        <v>2</v>
      </c>
      <c r="C300" s="429">
        <f>COUNTIF(E300:E301,"&lt;&gt;")</f>
        <v/>
      </c>
      <c r="D300" s="436">
        <f>C300-B300</f>
        <v/>
      </c>
      <c r="E300" s="48" t="inlineStr">
        <is>
          <t>Md Akib Islam</t>
        </is>
      </c>
      <c r="F300" s="77" t="inlineStr">
        <is>
          <t>Soft Service</t>
        </is>
      </c>
      <c r="G300" s="91" t="inlineStr">
        <is>
          <t>S068</t>
        </is>
      </c>
      <c r="H300" s="445" t="n">
        <v>2590865040</v>
      </c>
      <c r="I300" s="446" t="inlineStr">
        <is>
          <t>Approved</t>
        </is>
      </c>
      <c r="J300" s="551" t="n">
        <v>45585</v>
      </c>
      <c r="K300" s="18" t="inlineStr">
        <is>
          <t>SCC (RENTAL)</t>
        </is>
      </c>
      <c r="L300" s="37"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553" t="n"/>
      <c r="B301" s="553" t="n"/>
      <c r="C301" s="553" t="n"/>
      <c r="D301" s="560" t="n"/>
      <c r="E301" s="48" t="inlineStr">
        <is>
          <t>Dharmendra - Paswan</t>
        </is>
      </c>
      <c r="F301" s="77" t="inlineStr">
        <is>
          <t>Soft Service</t>
        </is>
      </c>
      <c r="G301" s="91" t="inlineStr">
        <is>
          <t>R09224</t>
        </is>
      </c>
      <c r="H301" s="445" t="n">
        <v>2612132635</v>
      </c>
      <c r="I301" s="446" t="inlineStr">
        <is>
          <t>Approved</t>
        </is>
      </c>
      <c r="J301" s="551" t="n">
        <v>46163</v>
      </c>
      <c r="K301" s="18" t="inlineStr">
        <is>
          <t>MEHAN (RENTAL)</t>
        </is>
      </c>
      <c r="L301" s="37"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28" t="inlineStr">
        <is>
          <t>Landscaping Supervisor</t>
        </is>
      </c>
      <c r="B302" s="429" t="n">
        <v>2</v>
      </c>
      <c r="C302" s="429">
        <f>COUNTIF(E302:E303,"&lt;&gt;")</f>
        <v/>
      </c>
      <c r="D302" s="430">
        <f>C302-B302</f>
        <v/>
      </c>
      <c r="E302" s="94" t="inlineStr">
        <is>
          <t>Nikesh Kumar</t>
        </is>
      </c>
      <c r="F302" s="71" t="inlineStr">
        <is>
          <t>Soft Service</t>
        </is>
      </c>
      <c r="G302" s="91" t="inlineStr">
        <is>
          <t>EM-0003052</t>
        </is>
      </c>
      <c r="H302" s="445" t="n">
        <v>2618859371</v>
      </c>
      <c r="I302" s="446" t="inlineStr">
        <is>
          <t>Approved</t>
        </is>
      </c>
      <c r="J302" s="551" t="n">
        <v>45957</v>
      </c>
      <c r="K302" s="18" t="inlineStr">
        <is>
          <t>AL-FALAK VISA</t>
        </is>
      </c>
      <c r="L302" s="37"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553" t="n"/>
      <c r="B303" s="553" t="n"/>
      <c r="C303" s="553" t="n"/>
      <c r="D303" s="553" t="n"/>
      <c r="E303" s="48" t="inlineStr">
        <is>
          <t>Adnan Khan</t>
        </is>
      </c>
      <c r="F303" s="71" t="inlineStr">
        <is>
          <t>Soft Service</t>
        </is>
      </c>
      <c r="G303" s="91" t="inlineStr">
        <is>
          <t>C01463</t>
        </is>
      </c>
      <c r="H303" s="445" t="n">
        <v>2622759443</v>
      </c>
      <c r="I303" s="446" t="inlineStr">
        <is>
          <t>Approved</t>
        </is>
      </c>
      <c r="J303" s="551" t="n">
        <v>46014</v>
      </c>
      <c r="K303" s="18" t="inlineStr">
        <is>
          <t>MEHAN VISA</t>
        </is>
      </c>
      <c r="L303" s="37"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28" t="inlineStr">
        <is>
          <t>Irigation Technician</t>
        </is>
      </c>
      <c r="B304" s="429" t="n">
        <v>2</v>
      </c>
      <c r="C304" s="429">
        <f>COUNTIF(E304:E305,"&lt;&gt;")</f>
        <v/>
      </c>
      <c r="D304" s="430">
        <f>C304-B304</f>
        <v/>
      </c>
      <c r="E304" s="48" t="inlineStr">
        <is>
          <t>Mohamed Al Bajurudeen</t>
        </is>
      </c>
      <c r="F304" s="71" t="inlineStr">
        <is>
          <t>Soft Service</t>
        </is>
      </c>
      <c r="G304" s="91" t="inlineStr">
        <is>
          <t>C00832</t>
        </is>
      </c>
      <c r="H304" s="445" t="n">
        <v>2586455822</v>
      </c>
      <c r="I304" s="446" t="inlineStr">
        <is>
          <t>Approved</t>
        </is>
      </c>
      <c r="J304" s="551" t="n">
        <v>45586</v>
      </c>
      <c r="K304" s="18" t="inlineStr">
        <is>
          <t>MEHAN VISA</t>
        </is>
      </c>
      <c r="L304" s="37"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553" t="n"/>
      <c r="B305" s="553" t="n"/>
      <c r="C305" s="553" t="n"/>
      <c r="D305" s="553" t="n"/>
      <c r="E305" s="48" t="inlineStr">
        <is>
          <t>MD. Samir Alam</t>
        </is>
      </c>
      <c r="F305" s="71" t="inlineStr">
        <is>
          <t>Soft Service</t>
        </is>
      </c>
      <c r="G305" s="91" t="inlineStr">
        <is>
          <t>E-022-881</t>
        </is>
      </c>
      <c r="H305" s="445" t="n">
        <v>2588137246</v>
      </c>
      <c r="I305" s="446" t="inlineStr">
        <is>
          <t>Approved</t>
        </is>
      </c>
      <c r="J305" s="551" t="n">
        <v>45716</v>
      </c>
      <c r="K305" s="18" t="inlineStr">
        <is>
          <t>TALENT HOUSE VISA</t>
        </is>
      </c>
      <c r="L305" s="37"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28" t="inlineStr">
        <is>
          <t>Gardener</t>
        </is>
      </c>
      <c r="B306" s="429" t="n">
        <v>20</v>
      </c>
      <c r="C306" s="429">
        <f>COUNTIF(E306:E325,"&lt;&gt;")</f>
        <v/>
      </c>
      <c r="D306" s="430">
        <f>C306-B306</f>
        <v/>
      </c>
      <c r="E306" s="48" t="inlineStr">
        <is>
          <t>Gazi Habib</t>
        </is>
      </c>
      <c r="F306" s="71" t="inlineStr">
        <is>
          <t>Soft Service</t>
        </is>
      </c>
      <c r="G306" s="91" t="inlineStr">
        <is>
          <t>S081</t>
        </is>
      </c>
      <c r="H306" s="445" t="n">
        <v>2588710414</v>
      </c>
      <c r="I306" s="446" t="inlineStr">
        <is>
          <t>Approved</t>
        </is>
      </c>
      <c r="J306" s="551" t="n">
        <v>46098</v>
      </c>
      <c r="K306" s="18" t="inlineStr">
        <is>
          <t>SCC (RENTAL)</t>
        </is>
      </c>
      <c r="L306" s="37"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554" t="n"/>
      <c r="B307" s="554" t="n"/>
      <c r="C307" s="554" t="n"/>
      <c r="D307" s="554" t="n"/>
      <c r="E307" s="48" t="inlineStr">
        <is>
          <t>Parindra Bishwas</t>
        </is>
      </c>
      <c r="F307" s="71" t="inlineStr">
        <is>
          <t>Soft Service</t>
        </is>
      </c>
      <c r="G307" s="91" t="n">
        <v>1279</v>
      </c>
      <c r="H307" s="445" t="n">
        <v>2600032789</v>
      </c>
      <c r="I307" s="446" t="inlineStr">
        <is>
          <t>Approved</t>
        </is>
      </c>
      <c r="J307" s="551" t="n">
        <v>45769</v>
      </c>
      <c r="K307" s="18" t="inlineStr">
        <is>
          <t>UCC( RENTAL)</t>
        </is>
      </c>
      <c r="L307" s="37"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554" t="n"/>
      <c r="B308" s="554" t="n"/>
      <c r="C308" s="554" t="n"/>
      <c r="D308" s="554" t="n"/>
      <c r="E308" s="48" t="inlineStr">
        <is>
          <t>Sahab Uddin</t>
        </is>
      </c>
      <c r="F308" s="71" t="inlineStr">
        <is>
          <t>Soft Service</t>
        </is>
      </c>
      <c r="G308" s="91" t="n">
        <v>1084</v>
      </c>
      <c r="H308" s="445" t="n">
        <v>2572539522</v>
      </c>
      <c r="I308" s="446" t="inlineStr">
        <is>
          <t>Approved</t>
        </is>
      </c>
      <c r="J308" s="551" t="n">
        <v>45648</v>
      </c>
      <c r="K308" s="18" t="inlineStr">
        <is>
          <t>UCC( RENTAL)</t>
        </is>
      </c>
      <c r="L308" s="37"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554" t="n"/>
      <c r="B309" s="554" t="n"/>
      <c r="C309" s="554" t="n"/>
      <c r="D309" s="554" t="n"/>
      <c r="E309" s="48" t="inlineStr">
        <is>
          <t>Miah Farid</t>
        </is>
      </c>
      <c r="F309" s="71" t="inlineStr">
        <is>
          <t>Soft Service</t>
        </is>
      </c>
      <c r="G309" s="91" t="inlineStr">
        <is>
          <t>S082</t>
        </is>
      </c>
      <c r="H309" s="445" t="n">
        <v>2588707519</v>
      </c>
      <c r="I309" s="446" t="inlineStr">
        <is>
          <t>Approved</t>
        </is>
      </c>
      <c r="J309" s="551" t="n">
        <v>46098</v>
      </c>
      <c r="K309" s="18" t="inlineStr">
        <is>
          <t>SCC (RENTAL)</t>
        </is>
      </c>
      <c r="L309" s="37"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554" t="n"/>
      <c r="B310" s="554" t="n"/>
      <c r="C310" s="554" t="n"/>
      <c r="D310" s="554" t="n"/>
      <c r="E310" s="48" t="inlineStr">
        <is>
          <t>Md Mokles</t>
        </is>
      </c>
      <c r="F310" s="71" t="inlineStr">
        <is>
          <t>Soft Service</t>
        </is>
      </c>
      <c r="G310" s="91" t="inlineStr">
        <is>
          <t>R08167</t>
        </is>
      </c>
      <c r="H310" s="445" t="n">
        <v>2596983664</v>
      </c>
      <c r="I310" s="446" t="inlineStr">
        <is>
          <t>Approved</t>
        </is>
      </c>
      <c r="J310" s="551" t="n">
        <v>45762</v>
      </c>
      <c r="K310" s="18" t="inlineStr">
        <is>
          <t>MEHAN (RENTAL)</t>
        </is>
      </c>
      <c r="L310" s="37"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554" t="n"/>
      <c r="B311" s="554" t="n"/>
      <c r="C311" s="554" t="n"/>
      <c r="D311" s="554" t="n"/>
      <c r="E311" s="48" t="inlineStr">
        <is>
          <t>Lalu Kumar Gosai</t>
        </is>
      </c>
      <c r="F311" s="71" t="inlineStr">
        <is>
          <t>Soft Service</t>
        </is>
      </c>
      <c r="G311" s="91" t="inlineStr">
        <is>
          <t>S348</t>
        </is>
      </c>
      <c r="H311" s="445" t="n">
        <v>2605353206</v>
      </c>
      <c r="I311" s="446" t="inlineStr">
        <is>
          <t>Approved</t>
        </is>
      </c>
      <c r="J311" s="551" t="n">
        <v>45809</v>
      </c>
      <c r="K311" s="18" t="inlineStr">
        <is>
          <t>SCC (RENTAL)</t>
        </is>
      </c>
      <c r="L311" s="37"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554" t="n"/>
      <c r="B312" s="554" t="n"/>
      <c r="C312" s="554" t="n"/>
      <c r="D312" s="554" t="n"/>
      <c r="E312" s="48" t="inlineStr">
        <is>
          <t>Md Zahangir Alam</t>
        </is>
      </c>
      <c r="F312" s="71" t="inlineStr">
        <is>
          <t>Soft Service</t>
        </is>
      </c>
      <c r="G312" s="91" t="inlineStr">
        <is>
          <t>E069</t>
        </is>
      </c>
      <c r="H312" s="445" t="n">
        <v>2607764004</v>
      </c>
      <c r="I312" s="446" t="inlineStr">
        <is>
          <t>Approved</t>
        </is>
      </c>
      <c r="J312" s="551" t="n">
        <v>46039</v>
      </c>
      <c r="K312" s="18" t="inlineStr">
        <is>
          <t>ESNAD (RENTAL)</t>
        </is>
      </c>
      <c r="L312" s="37"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554" t="n"/>
      <c r="B313" s="554" t="n"/>
      <c r="C313" s="554" t="n"/>
      <c r="D313" s="554" t="n"/>
      <c r="E313" s="48" t="inlineStr">
        <is>
          <t>Md Mostakin</t>
        </is>
      </c>
      <c r="F313" s="71" t="inlineStr">
        <is>
          <t>Soft Service</t>
        </is>
      </c>
      <c r="G313" s="91" t="inlineStr">
        <is>
          <t>E073</t>
        </is>
      </c>
      <c r="H313" s="445" t="n">
        <v>2607297807</v>
      </c>
      <c r="I313" s="446" t="inlineStr">
        <is>
          <t>Approved</t>
        </is>
      </c>
      <c r="J313" s="551" t="n">
        <v>46039</v>
      </c>
      <c r="K313" s="18" t="inlineStr">
        <is>
          <t>ESNAD (RENTAL)</t>
        </is>
      </c>
      <c r="L313" s="37"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554" t="n"/>
      <c r="B314" s="554" t="n"/>
      <c r="C314" s="554" t="n"/>
      <c r="D314" s="554" t="n"/>
      <c r="E314" s="48" t="inlineStr">
        <is>
          <t>Md Abu Hanifa</t>
        </is>
      </c>
      <c r="F314" s="71" t="inlineStr">
        <is>
          <t>Soft Service</t>
        </is>
      </c>
      <c r="G314" s="91" t="n">
        <v>1079</v>
      </c>
      <c r="H314" s="445" t="n">
        <v>2571261573</v>
      </c>
      <c r="I314" s="446" t="inlineStr">
        <is>
          <t>Approved</t>
        </is>
      </c>
      <c r="J314" s="551" t="n">
        <v>45648</v>
      </c>
      <c r="K314" s="18" t="inlineStr">
        <is>
          <t>UCC( RENTAL)</t>
        </is>
      </c>
      <c r="L314" s="37"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554" t="n"/>
      <c r="B315" s="554" t="n"/>
      <c r="C315" s="554" t="n"/>
      <c r="D315" s="554" t="n"/>
      <c r="E315" s="48" t="inlineStr">
        <is>
          <t>Riyad Nazir Ahammad</t>
        </is>
      </c>
      <c r="F315" s="71" t="inlineStr">
        <is>
          <t>Soft Service</t>
        </is>
      </c>
      <c r="G315" s="91" t="inlineStr">
        <is>
          <t>E072</t>
        </is>
      </c>
      <c r="H315" s="445" t="n">
        <v>2607332398</v>
      </c>
      <c r="I315" s="446" t="inlineStr">
        <is>
          <t>Approved</t>
        </is>
      </c>
      <c r="J315" s="551" t="n">
        <v>46039</v>
      </c>
      <c r="K315" s="18" t="inlineStr">
        <is>
          <t>ESNAD (RENTAL)</t>
        </is>
      </c>
      <c r="L315" s="37"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554" t="n"/>
      <c r="B316" s="554" t="n"/>
      <c r="C316" s="554" t="n"/>
      <c r="D316" s="554" t="n"/>
      <c r="E316" s="48" t="inlineStr">
        <is>
          <t>Ali Hosen</t>
        </is>
      </c>
      <c r="F316" s="71" t="inlineStr">
        <is>
          <t>Soft Service</t>
        </is>
      </c>
      <c r="G316" s="91" t="n">
        <v>1086</v>
      </c>
      <c r="H316" s="445" t="n">
        <v>2570644837</v>
      </c>
      <c r="I316" s="446" t="inlineStr">
        <is>
          <t>Approved</t>
        </is>
      </c>
      <c r="J316" s="551" t="n">
        <v>45648</v>
      </c>
      <c r="K316" s="18" t="inlineStr">
        <is>
          <t>UCC( RENTAL)</t>
        </is>
      </c>
      <c r="L316" s="37"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554" t="n"/>
      <c r="B317" s="554" t="n"/>
      <c r="C317" s="554" t="n"/>
      <c r="D317" s="554" t="n"/>
      <c r="E317" s="48" t="inlineStr">
        <is>
          <t>Babul Akkal Ali</t>
        </is>
      </c>
      <c r="F317" s="71" t="inlineStr">
        <is>
          <t>Soft Service</t>
        </is>
      </c>
      <c r="G317" s="91" t="n">
        <v>1282</v>
      </c>
      <c r="H317" s="445" t="n">
        <v>2598730386</v>
      </c>
      <c r="I317" s="446" t="inlineStr">
        <is>
          <t>Approved</t>
        </is>
      </c>
      <c r="J317" s="551" t="n">
        <v>45769</v>
      </c>
      <c r="K317" s="18" t="inlineStr">
        <is>
          <t>UCC( RENTAL)</t>
        </is>
      </c>
      <c r="L317" s="37"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554" t="n"/>
      <c r="B318" s="554" t="n"/>
      <c r="C318" s="554" t="n"/>
      <c r="D318" s="554" t="n"/>
      <c r="E318" s="48" t="inlineStr">
        <is>
          <t>Md Liton Sheikh</t>
        </is>
      </c>
      <c r="F318" s="71" t="inlineStr">
        <is>
          <t>Soft Service</t>
        </is>
      </c>
      <c r="G318" s="91" t="n">
        <v>1288</v>
      </c>
      <c r="H318" s="445" t="n">
        <v>2600218032</v>
      </c>
      <c r="I318" s="446" t="inlineStr">
        <is>
          <t>Approved</t>
        </is>
      </c>
      <c r="J318" s="551" t="n">
        <v>45769</v>
      </c>
      <c r="K318" s="18" t="inlineStr">
        <is>
          <t>UCC( RENTAL)</t>
        </is>
      </c>
      <c r="L318" s="37"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554" t="n"/>
      <c r="B319" s="554" t="n"/>
      <c r="C319" s="554" t="n"/>
      <c r="D319" s="554" t="n"/>
      <c r="E319" s="48" t="inlineStr">
        <is>
          <t>Md Sohel Munshi</t>
        </is>
      </c>
      <c r="F319" s="71" t="inlineStr">
        <is>
          <t>Soft Service</t>
        </is>
      </c>
      <c r="G319" s="91" t="n">
        <v>2595208923</v>
      </c>
      <c r="H319" s="445" t="n">
        <v>2595208923</v>
      </c>
      <c r="I319" s="446" t="inlineStr">
        <is>
          <t>Approved</t>
        </is>
      </c>
      <c r="J319" s="551" t="n">
        <v>45975</v>
      </c>
      <c r="K319" s="18" t="inlineStr">
        <is>
          <t>SCC (RENTAL)</t>
        </is>
      </c>
      <c r="L319" s="37"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554" t="n"/>
      <c r="B320" s="554" t="n"/>
      <c r="C320" s="554" t="n"/>
      <c r="D320" s="554" t="n"/>
      <c r="E320" s="48" t="inlineStr">
        <is>
          <t>Hasibul Islam Hasib</t>
        </is>
      </c>
      <c r="F320" s="71" t="inlineStr">
        <is>
          <t>Soft Service</t>
        </is>
      </c>
      <c r="G320" s="91" t="inlineStr">
        <is>
          <t>E068</t>
        </is>
      </c>
      <c r="H320" s="445" t="n">
        <v>2607768377</v>
      </c>
      <c r="I320" s="446" t="inlineStr">
        <is>
          <t>Approved</t>
        </is>
      </c>
      <c r="J320" s="551" t="n">
        <v>46039</v>
      </c>
      <c r="K320" s="18" t="inlineStr">
        <is>
          <t>SCC (RENTAL)</t>
        </is>
      </c>
      <c r="L320" s="37"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554" t="n"/>
      <c r="B321" s="554" t="n"/>
      <c r="C321" s="554" t="n"/>
      <c r="D321" s="554" t="n"/>
      <c r="E321" s="48" t="inlineStr">
        <is>
          <t>Md Sabbir Miah</t>
        </is>
      </c>
      <c r="F321" s="71" t="inlineStr">
        <is>
          <t>Soft Service</t>
        </is>
      </c>
      <c r="G321" s="91" t="n">
        <v>1243</v>
      </c>
      <c r="H321" s="445" t="n">
        <v>2587630449</v>
      </c>
      <c r="I321" s="446" t="inlineStr">
        <is>
          <t>Approved</t>
        </is>
      </c>
      <c r="J321" s="551" t="n">
        <v>45627</v>
      </c>
      <c r="K321" s="18" t="inlineStr">
        <is>
          <t>UCC( RENTAL)</t>
        </is>
      </c>
      <c r="L321" s="37"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554" t="n"/>
      <c r="B322" s="554" t="n"/>
      <c r="C322" s="554" t="n"/>
      <c r="D322" s="554" t="n"/>
      <c r="E322" s="48" t="inlineStr">
        <is>
          <t>AFATAB - - ALAM</t>
        </is>
      </c>
      <c r="F322" s="42" t="inlineStr">
        <is>
          <t>Soft Service</t>
        </is>
      </c>
      <c r="G322" s="446" t="inlineStr">
        <is>
          <t>L00542</t>
        </is>
      </c>
      <c r="H322" s="446" t="n">
        <v>2630508675</v>
      </c>
      <c r="I322" s="446" t="inlineStr">
        <is>
          <t>Approved</t>
        </is>
      </c>
      <c r="J322" s="551" t="n">
        <v>46217</v>
      </c>
      <c r="K322" s="18" t="inlineStr">
        <is>
          <t>Mehan</t>
        </is>
      </c>
      <c r="L322" s="37"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554" t="n"/>
      <c r="B323" s="554" t="n"/>
      <c r="C323" s="554" t="n"/>
      <c r="D323" s="554" t="n"/>
      <c r="E323" s="48" t="inlineStr">
        <is>
          <t>AKHTAR - - ALI</t>
        </is>
      </c>
      <c r="F323" s="42" t="inlineStr">
        <is>
          <t>Soft Service</t>
        </is>
      </c>
      <c r="G323" s="446" t="inlineStr">
        <is>
          <t>L00756</t>
        </is>
      </c>
      <c r="H323" s="446" t="n">
        <v>2630684070</v>
      </c>
      <c r="I323" s="446" t="inlineStr">
        <is>
          <t>Approved</t>
        </is>
      </c>
      <c r="J323" s="551" t="n">
        <v>46217</v>
      </c>
      <c r="K323" s="18" t="inlineStr">
        <is>
          <t>Mehan</t>
        </is>
      </c>
      <c r="L323" s="37"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554" t="n"/>
      <c r="B324" s="554" t="n"/>
      <c r="C324" s="554" t="n"/>
      <c r="D324" s="554" t="n"/>
      <c r="E324" s="48" t="inlineStr">
        <is>
          <t>MD HAFIZUL - - ISLAM</t>
        </is>
      </c>
      <c r="F324" s="42" t="inlineStr">
        <is>
          <t>Soft Service</t>
        </is>
      </c>
      <c r="G324" s="446" t="inlineStr">
        <is>
          <t>R07492</t>
        </is>
      </c>
      <c r="H324" s="446" t="n">
        <v>2588673158</v>
      </c>
      <c r="I324" s="446" t="inlineStr">
        <is>
          <t>Approved</t>
        </is>
      </c>
      <c r="J324" s="551" t="n">
        <v>46217</v>
      </c>
      <c r="K324" s="18" t="inlineStr">
        <is>
          <t>Mehan</t>
        </is>
      </c>
      <c r="L324" s="37"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553" t="n"/>
      <c r="B325" s="553" t="n"/>
      <c r="C325" s="553" t="n"/>
      <c r="D325" s="553" t="n"/>
      <c r="E325" s="36" t="inlineStr">
        <is>
          <t>Md Jihad Hossain</t>
        </is>
      </c>
      <c r="F325" s="42" t="inlineStr">
        <is>
          <t>Soft Service</t>
        </is>
      </c>
      <c r="G325" s="43" t="inlineStr">
        <is>
          <t>-</t>
        </is>
      </c>
      <c r="H325" s="32" t="n">
        <v>2630970461</v>
      </c>
      <c r="I325" s="446" t="inlineStr">
        <is>
          <t>Approved</t>
        </is>
      </c>
      <c r="J325" s="551" t="n">
        <v>46203</v>
      </c>
      <c r="K325" s="44" t="inlineStr">
        <is>
          <t>JAWAD AL DUWAIL</t>
        </is>
      </c>
      <c r="L325" s="37"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28" t="inlineStr">
        <is>
          <t>Pest Control Supervisor</t>
        </is>
      </c>
      <c r="B326" s="429" t="n">
        <v>2</v>
      </c>
      <c r="C326" s="429">
        <f>COUNTIF(E326:E327,"&lt;&gt;")</f>
        <v/>
      </c>
      <c r="D326" s="431">
        <f>C326-B326</f>
        <v/>
      </c>
      <c r="E326" s="48" t="inlineStr">
        <is>
          <t>Mohammed Farooq</t>
        </is>
      </c>
      <c r="F326" s="71" t="inlineStr">
        <is>
          <t>Soft Service</t>
        </is>
      </c>
      <c r="G326" s="91" t="inlineStr">
        <is>
          <t>S262</t>
        </is>
      </c>
      <c r="H326" s="445" t="n">
        <v>2597628102</v>
      </c>
      <c r="I326" s="446" t="inlineStr">
        <is>
          <t>Approved</t>
        </is>
      </c>
      <c r="J326" s="551" t="n">
        <v>45744</v>
      </c>
      <c r="K326" s="18" t="inlineStr">
        <is>
          <t>SCC (RENTAL)</t>
        </is>
      </c>
      <c r="L326" s="95"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553" t="n"/>
      <c r="B327" s="553" t="n"/>
      <c r="C327" s="553" t="n"/>
      <c r="D327" s="560" t="n"/>
      <c r="E327" s="48" t="inlineStr">
        <is>
          <t>Md Yusuf</t>
        </is>
      </c>
      <c r="F327" s="71" t="inlineStr">
        <is>
          <t>Soft Service</t>
        </is>
      </c>
      <c r="G327" s="91" t="n">
        <v>701144</v>
      </c>
      <c r="H327" s="445" t="n">
        <v>2481138937</v>
      </c>
      <c r="I327" s="446" t="inlineStr">
        <is>
          <t>Approved</t>
        </is>
      </c>
      <c r="J327" s="551" t="n">
        <v>45907</v>
      </c>
      <c r="K327" s="18" t="inlineStr">
        <is>
          <t>FMCO</t>
        </is>
      </c>
      <c r="L327" s="95"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37" t="inlineStr">
        <is>
          <t>Pest Control Technician</t>
        </is>
      </c>
      <c r="B328" s="429" t="n">
        <v>6</v>
      </c>
      <c r="C328" s="429">
        <f>COUNTIF(E328:E333,"&lt;&gt;")</f>
        <v/>
      </c>
      <c r="D328" s="431">
        <f>C328-B328</f>
        <v/>
      </c>
      <c r="E328" s="46" t="inlineStr">
        <is>
          <t xml:space="preserve">MOHAMMED REDOY </t>
        </is>
      </c>
      <c r="F328" s="446" t="inlineStr">
        <is>
          <t>Soft Service</t>
        </is>
      </c>
      <c r="G328" s="445" t="inlineStr">
        <is>
          <t>-</t>
        </is>
      </c>
      <c r="H328" s="445" t="n">
        <v>2602823516</v>
      </c>
      <c r="I328" s="446" t="inlineStr">
        <is>
          <t>Additional</t>
        </is>
      </c>
      <c r="J328" s="551" t="n">
        <v>46245</v>
      </c>
      <c r="K328" s="18" t="inlineStr">
        <is>
          <t>-</t>
        </is>
      </c>
      <c r="L328" s="95"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554" t="n"/>
      <c r="B329" s="554" t="n"/>
      <c r="C329" s="554" t="n"/>
      <c r="D329" s="562" t="n"/>
      <c r="E329" s="48" t="inlineStr">
        <is>
          <t>Mohammad Arman  Hosan</t>
        </is>
      </c>
      <c r="F329" s="71" t="inlineStr">
        <is>
          <t>Soft Service</t>
        </is>
      </c>
      <c r="G329" s="91" t="n">
        <v>700551</v>
      </c>
      <c r="H329" s="445" t="n">
        <v>2501246637</v>
      </c>
      <c r="I329" s="446" t="inlineStr">
        <is>
          <t>Approved</t>
        </is>
      </c>
      <c r="J329" s="551" t="n">
        <v>45937</v>
      </c>
      <c r="K329" s="18" t="inlineStr">
        <is>
          <t>FMCO</t>
        </is>
      </c>
      <c r="L329" s="95"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554" t="n"/>
      <c r="B330" s="554" t="n"/>
      <c r="C330" s="554" t="n"/>
      <c r="D330" s="562" t="n"/>
      <c r="E330" s="48" t="inlineStr">
        <is>
          <t>Mostakim Dolal Miah</t>
        </is>
      </c>
      <c r="F330" s="71" t="inlineStr">
        <is>
          <t>Soft Service</t>
        </is>
      </c>
      <c r="G330" s="91" t="inlineStr">
        <is>
          <t>S345</t>
        </is>
      </c>
      <c r="H330" s="445" t="n">
        <v>2602238384</v>
      </c>
      <c r="I330" s="446" t="inlineStr">
        <is>
          <t>Approved</t>
        </is>
      </c>
      <c r="J330" s="551" t="n">
        <v>45809</v>
      </c>
      <c r="K330" s="18" t="inlineStr">
        <is>
          <t>SCC (RENTAL)</t>
        </is>
      </c>
      <c r="L330" s="95"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554" t="n"/>
      <c r="B331" s="554" t="n"/>
      <c r="C331" s="554" t="n"/>
      <c r="D331" s="562" t="n"/>
      <c r="E331" s="48" t="inlineStr">
        <is>
          <t>Faysal Miah</t>
        </is>
      </c>
      <c r="F331" s="71" t="inlineStr">
        <is>
          <t>Soft Service</t>
        </is>
      </c>
      <c r="G331" s="91" t="n">
        <v>2629084787</v>
      </c>
      <c r="H331" s="445" t="n">
        <v>2629084787</v>
      </c>
      <c r="I331" s="446" t="inlineStr">
        <is>
          <t>Approved</t>
        </is>
      </c>
      <c r="J331" s="551" t="n">
        <v>46085</v>
      </c>
      <c r="K331" s="18" t="inlineStr">
        <is>
          <t>ESNAD (RENTAL)</t>
        </is>
      </c>
      <c r="L331" s="95"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554" t="n"/>
      <c r="B332" s="554" t="n"/>
      <c r="C332" s="554" t="n"/>
      <c r="D332" s="562" t="n"/>
      <c r="E332" s="48" t="n"/>
      <c r="F332" s="71" t="inlineStr">
        <is>
          <t>Soft Service</t>
        </is>
      </c>
      <c r="G332" s="91" t="n"/>
      <c r="H332" s="445" t="n"/>
      <c r="I332" s="446" t="inlineStr">
        <is>
          <t>Vacant</t>
        </is>
      </c>
      <c r="J332" s="551" t="n"/>
      <c r="K332" s="18" t="n"/>
      <c r="L332" s="95"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553" t="n"/>
      <c r="B333" s="553" t="n"/>
      <c r="C333" s="553" t="n"/>
      <c r="D333" s="560" t="n"/>
      <c r="E333" s="94" t="inlineStr">
        <is>
          <t>MD Rifad Miah</t>
        </is>
      </c>
      <c r="F333" s="71" t="inlineStr">
        <is>
          <t>Soft Service</t>
        </is>
      </c>
      <c r="G333" s="91" t="n">
        <v>701224</v>
      </c>
      <c r="H333" s="445" t="n">
        <v>2525183352</v>
      </c>
      <c r="I333" s="446" t="inlineStr">
        <is>
          <t>Approved</t>
        </is>
      </c>
      <c r="J333" s="551" t="n">
        <v>45937</v>
      </c>
      <c r="K333" s="18" t="inlineStr">
        <is>
          <t>FMCO</t>
        </is>
      </c>
      <c r="L333" s="95"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28" t="inlineStr">
        <is>
          <t>Waste Service Supervisor</t>
        </is>
      </c>
      <c r="B334" s="429" t="n">
        <v>2</v>
      </c>
      <c r="C334" s="429">
        <f>COUNTIF(E334:E335,"&lt;&gt;")</f>
        <v/>
      </c>
      <c r="D334" s="430">
        <f>C334-B334</f>
        <v/>
      </c>
      <c r="E334" s="48" t="inlineStr">
        <is>
          <t>Mohammad Yusuf</t>
        </is>
      </c>
      <c r="F334" s="71" t="inlineStr">
        <is>
          <t>Soft Service</t>
        </is>
      </c>
      <c r="G334" s="91" t="inlineStr">
        <is>
          <t>C00641</t>
        </is>
      </c>
      <c r="H334" s="445" t="n">
        <v>2581355860</v>
      </c>
      <c r="I334" s="446" t="inlineStr">
        <is>
          <t>Approved</t>
        </is>
      </c>
      <c r="J334" s="551" t="n">
        <v>45964</v>
      </c>
      <c r="K334" s="18" t="inlineStr">
        <is>
          <t>MEHAN VISA</t>
        </is>
      </c>
      <c r="L334" s="95"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553" t="n"/>
      <c r="B335" s="553" t="n"/>
      <c r="C335" s="553" t="n"/>
      <c r="D335" s="553" t="n"/>
      <c r="E335" s="78" t="n"/>
      <c r="F335" s="71" t="inlineStr">
        <is>
          <t>Soft Service</t>
        </is>
      </c>
      <c r="G335" s="45" t="inlineStr">
        <is>
          <t>-</t>
        </is>
      </c>
      <c r="H335" s="79" t="inlineStr">
        <is>
          <t>-</t>
        </is>
      </c>
      <c r="I335" s="446" t="inlineStr">
        <is>
          <t>Vacant</t>
        </is>
      </c>
      <c r="J335" s="552" t="n"/>
      <c r="K335" s="18" t="inlineStr">
        <is>
          <t>-</t>
        </is>
      </c>
      <c r="L335" s="37"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28" t="inlineStr">
        <is>
          <t>Waste Segrigator</t>
        </is>
      </c>
      <c r="B336" s="429" t="n">
        <v>12</v>
      </c>
      <c r="C336" s="429">
        <f>COUNTIF(E336:E347,"&lt;&gt;")</f>
        <v/>
      </c>
      <c r="D336" s="430">
        <f>C336-B336</f>
        <v/>
      </c>
      <c r="E336" s="48" t="inlineStr">
        <is>
          <t>Md Fajlul Haque</t>
        </is>
      </c>
      <c r="F336" s="71" t="inlineStr">
        <is>
          <t>Soft Service</t>
        </is>
      </c>
      <c r="G336" s="445" t="n">
        <v>1249</v>
      </c>
      <c r="H336" s="445" t="n">
        <v>2588073086</v>
      </c>
      <c r="I336" s="446" t="inlineStr">
        <is>
          <t>Approved</t>
        </is>
      </c>
      <c r="J336" s="551" t="n">
        <v>45627</v>
      </c>
      <c r="K336" s="18" t="inlineStr">
        <is>
          <t>UCC( RENTAL)</t>
        </is>
      </c>
      <c r="L336" s="37"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554" t="n"/>
      <c r="B337" s="554" t="n"/>
      <c r="C337" s="554" t="n"/>
      <c r="D337" s="554" t="n"/>
      <c r="E337" s="48" t="inlineStr">
        <is>
          <t>Abdur Rahim</t>
        </is>
      </c>
      <c r="F337" s="71" t="inlineStr">
        <is>
          <t>Soft Service</t>
        </is>
      </c>
      <c r="G337" s="445" t="inlineStr">
        <is>
          <t>S367</t>
        </is>
      </c>
      <c r="H337" s="445" t="n">
        <v>2602871739</v>
      </c>
      <c r="I337" s="446" t="inlineStr">
        <is>
          <t>Approved</t>
        </is>
      </c>
      <c r="J337" s="551" t="n">
        <v>45820</v>
      </c>
      <c r="K337" s="18" t="inlineStr">
        <is>
          <t>SCC (RENTAL)</t>
        </is>
      </c>
      <c r="L337" s="37"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554" t="n"/>
      <c r="B338" s="554" t="n"/>
      <c r="C338" s="554" t="n"/>
      <c r="D338" s="554" t="n"/>
      <c r="E338" s="48" t="inlineStr">
        <is>
          <t>Taposh Mondal</t>
        </is>
      </c>
      <c r="F338" s="71" t="inlineStr">
        <is>
          <t>Soft Service</t>
        </is>
      </c>
      <c r="G338" s="445" t="inlineStr">
        <is>
          <t>S067</t>
        </is>
      </c>
      <c r="H338" s="445" t="n">
        <v>2588708095</v>
      </c>
      <c r="I338" s="446" t="inlineStr">
        <is>
          <t>Approved</t>
        </is>
      </c>
      <c r="J338" s="551" t="n">
        <v>45585</v>
      </c>
      <c r="K338" s="18" t="inlineStr">
        <is>
          <t>SCC (RENTAL)</t>
        </is>
      </c>
      <c r="L338" s="37"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554" t="n"/>
      <c r="B339" s="554" t="n"/>
      <c r="C339" s="554" t="n"/>
      <c r="D339" s="554" t="n"/>
      <c r="E339" s="48" t="inlineStr">
        <is>
          <t>Jabbar -- Tannu</t>
        </is>
      </c>
      <c r="F339" s="71" t="inlineStr">
        <is>
          <t>Soft Service</t>
        </is>
      </c>
      <c r="G339" s="445" t="inlineStr">
        <is>
          <t>R07715</t>
        </is>
      </c>
      <c r="H339" s="445" t="n">
        <v>2595522356</v>
      </c>
      <c r="I339" s="446" t="inlineStr">
        <is>
          <t>Approved</t>
        </is>
      </c>
      <c r="J339" s="551" t="n">
        <v>45702</v>
      </c>
      <c r="K339" s="18" t="inlineStr">
        <is>
          <t>MEHAN (RENTAL)</t>
        </is>
      </c>
      <c r="L339" s="37"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554" t="n"/>
      <c r="B340" s="554" t="n"/>
      <c r="C340" s="554" t="n"/>
      <c r="D340" s="554" t="n"/>
      <c r="E340" s="48" t="inlineStr">
        <is>
          <t>Mohd Rashid</t>
        </is>
      </c>
      <c r="F340" s="71" t="inlineStr">
        <is>
          <t>Soft Service</t>
        </is>
      </c>
      <c r="G340" s="445" t="inlineStr">
        <is>
          <t>GV104</t>
        </is>
      </c>
      <c r="H340" s="445" t="n">
        <v>2583494873</v>
      </c>
      <c r="I340" s="446" t="inlineStr">
        <is>
          <t>Approved</t>
        </is>
      </c>
      <c r="J340" s="551" t="n">
        <v>45585</v>
      </c>
      <c r="K340" s="18" t="inlineStr">
        <is>
          <t>Gulf Vision ( RENTAL)</t>
        </is>
      </c>
      <c r="L340" s="37"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554" t="n"/>
      <c r="B341" s="554" t="n"/>
      <c r="C341" s="554" t="n"/>
      <c r="D341" s="554" t="n"/>
      <c r="E341" s="48" t="n"/>
      <c r="F341" s="71" t="inlineStr">
        <is>
          <t>Soft Service</t>
        </is>
      </c>
      <c r="G341" s="445" t="n"/>
      <c r="H341" s="445" t="n"/>
      <c r="I341" s="446" t="inlineStr">
        <is>
          <t>Vacant</t>
        </is>
      </c>
      <c r="J341" s="551" t="n"/>
      <c r="K341" s="18" t="n"/>
      <c r="L341" s="37"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554" t="n"/>
      <c r="B342" s="554" t="n"/>
      <c r="C342" s="554" t="n"/>
      <c r="D342" s="554" t="n"/>
      <c r="E342" s="31" t="n"/>
      <c r="F342" s="71" t="inlineStr">
        <is>
          <t>Soft Service</t>
        </is>
      </c>
      <c r="G342" s="445" t="inlineStr">
        <is>
          <t>-</t>
        </is>
      </c>
      <c r="H342" s="445" t="inlineStr">
        <is>
          <t>-</t>
        </is>
      </c>
      <c r="I342" s="446" t="inlineStr">
        <is>
          <t>Vacant</t>
        </is>
      </c>
      <c r="J342" s="552" t="n"/>
      <c r="K342" s="18" t="inlineStr">
        <is>
          <t>-</t>
        </is>
      </c>
      <c r="L342" s="37"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554" t="n"/>
      <c r="B343" s="554" t="n"/>
      <c r="C343" s="554" t="n"/>
      <c r="D343" s="554" t="n"/>
      <c r="E343" s="48" t="inlineStr">
        <is>
          <t>Md Shaidul Islam</t>
        </is>
      </c>
      <c r="F343" s="71" t="inlineStr">
        <is>
          <t>Soft Service</t>
        </is>
      </c>
      <c r="G343" s="445" t="n">
        <v>2629941234</v>
      </c>
      <c r="H343" s="445" t="n">
        <v>2629931234</v>
      </c>
      <c r="I343" s="446" t="inlineStr">
        <is>
          <t>Approved</t>
        </is>
      </c>
      <c r="J343" s="551" t="n">
        <v>46070</v>
      </c>
      <c r="K343" s="18" t="inlineStr">
        <is>
          <t>SCC (RENTAL)</t>
        </is>
      </c>
      <c r="L343" s="37"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554" t="n"/>
      <c r="B344" s="554" t="n"/>
      <c r="C344" s="554" t="n"/>
      <c r="D344" s="554" t="n"/>
      <c r="E344" s="48" t="inlineStr">
        <is>
          <t>Miraz Hossain</t>
        </is>
      </c>
      <c r="F344" s="71" t="inlineStr">
        <is>
          <t>Soft Service</t>
        </is>
      </c>
      <c r="G344" s="445" t="n">
        <v>2626319152</v>
      </c>
      <c r="H344" s="445" t="n">
        <v>2626319152</v>
      </c>
      <c r="I344" s="446" t="inlineStr">
        <is>
          <t>Approved</t>
        </is>
      </c>
      <c r="J344" s="551" t="n">
        <v>46142</v>
      </c>
      <c r="K344" s="18" t="inlineStr">
        <is>
          <t>AB-HOOR RENTAL</t>
        </is>
      </c>
      <c r="L344" s="37"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554" t="n"/>
      <c r="B345" s="554" t="n"/>
      <c r="C345" s="554" t="n"/>
      <c r="D345" s="554" t="n"/>
      <c r="E345" s="31" t="n"/>
      <c r="F345" s="71" t="inlineStr">
        <is>
          <t>Soft Service</t>
        </is>
      </c>
      <c r="G345" s="445" t="inlineStr">
        <is>
          <t>-</t>
        </is>
      </c>
      <c r="H345" s="445" t="inlineStr">
        <is>
          <t>-</t>
        </is>
      </c>
      <c r="I345" s="446" t="inlineStr">
        <is>
          <t>Vacant</t>
        </is>
      </c>
      <c r="J345" s="552" t="n"/>
      <c r="K345" s="18" t="inlineStr">
        <is>
          <t>-</t>
        </is>
      </c>
      <c r="L345" s="37"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554" t="n"/>
      <c r="B346" s="554" t="n"/>
      <c r="C346" s="554" t="n"/>
      <c r="D346" s="554" t="n"/>
      <c r="E346" s="48" t="n"/>
      <c r="F346" s="71" t="inlineStr">
        <is>
          <t>Soft Service</t>
        </is>
      </c>
      <c r="G346" s="445" t="n"/>
      <c r="H346" s="445" t="n"/>
      <c r="I346" s="446" t="inlineStr">
        <is>
          <t>Vacant</t>
        </is>
      </c>
      <c r="J346" s="551" t="n"/>
      <c r="K346" s="18" t="n"/>
      <c r="L346" s="37"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553" t="n"/>
      <c r="B347" s="553" t="n"/>
      <c r="C347" s="553" t="n"/>
      <c r="D347" s="553" t="n"/>
      <c r="E347" s="48" t="inlineStr">
        <is>
          <t>Md Kawser</t>
        </is>
      </c>
      <c r="F347" s="71" t="inlineStr">
        <is>
          <t>Soft Service</t>
        </is>
      </c>
      <c r="G347" s="445" t="n">
        <v>2628106540</v>
      </c>
      <c r="H347" s="445" t="n">
        <v>2628106540</v>
      </c>
      <c r="I347" s="446" t="inlineStr">
        <is>
          <t>Approved</t>
        </is>
      </c>
      <c r="J347" s="551" t="n">
        <v>46142</v>
      </c>
      <c r="K347" s="18" t="inlineStr">
        <is>
          <t>AB-HOOR RENTAL</t>
        </is>
      </c>
      <c r="L347" s="37"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28" t="inlineStr">
        <is>
          <t>Waste Collector</t>
        </is>
      </c>
      <c r="B348" s="429" t="n">
        <v>6</v>
      </c>
      <c r="C348" s="429">
        <f>COUNTIF(E348:E353,"&lt;&gt;")</f>
        <v/>
      </c>
      <c r="D348" s="430">
        <f>C348-B348</f>
        <v/>
      </c>
      <c r="E348" s="48" t="inlineStr">
        <is>
          <t>Md Rakib</t>
        </is>
      </c>
      <c r="F348" s="71" t="inlineStr">
        <is>
          <t>Soft Service</t>
        </is>
      </c>
      <c r="G348" s="445" t="n">
        <v>2619194612</v>
      </c>
      <c r="H348" s="445" t="n">
        <v>2619194612</v>
      </c>
      <c r="I348" s="446" t="inlineStr">
        <is>
          <t>Approved</t>
        </is>
      </c>
      <c r="J348" s="551" t="n">
        <v>45967</v>
      </c>
      <c r="K348" s="18" t="inlineStr">
        <is>
          <t>Gulf Vision ( RENTAL)</t>
        </is>
      </c>
      <c r="L348" s="37"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554" t="n"/>
      <c r="B349" s="554" t="n"/>
      <c r="C349" s="554" t="n"/>
      <c r="D349" s="554" t="n"/>
      <c r="E349" s="48" t="inlineStr">
        <is>
          <t>Mohammed Bellal Hossain</t>
        </is>
      </c>
      <c r="F349" s="71" t="inlineStr">
        <is>
          <t>Soft Service</t>
        </is>
      </c>
      <c r="G349" s="445" t="n">
        <v>2621897020</v>
      </c>
      <c r="H349" s="445" t="n">
        <v>2621897020</v>
      </c>
      <c r="I349" s="446" t="inlineStr">
        <is>
          <t>Approved</t>
        </is>
      </c>
      <c r="J349" s="551" t="n">
        <v>46142</v>
      </c>
      <c r="K349" s="18" t="inlineStr">
        <is>
          <t>AB-HOOR RENTAL</t>
        </is>
      </c>
      <c r="L349" s="37"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554" t="n"/>
      <c r="B350" s="554" t="n"/>
      <c r="C350" s="554" t="n"/>
      <c r="D350" s="554" t="n"/>
      <c r="E350" s="48" t="inlineStr">
        <is>
          <t>Md Anamul Haque</t>
        </is>
      </c>
      <c r="F350" s="71" t="inlineStr">
        <is>
          <t>Soft Service</t>
        </is>
      </c>
      <c r="G350" s="445" t="inlineStr">
        <is>
          <t>R07469</t>
        </is>
      </c>
      <c r="H350" s="445" t="n">
        <v>2587196615</v>
      </c>
      <c r="I350" s="446" t="inlineStr">
        <is>
          <t>Approved</t>
        </is>
      </c>
      <c r="J350" s="551" t="n">
        <v>45592</v>
      </c>
      <c r="K350" s="18" t="inlineStr">
        <is>
          <t>MEHAN (RENTAL)</t>
        </is>
      </c>
      <c r="L350" s="37"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554" t="n"/>
      <c r="B351" s="554" t="n"/>
      <c r="C351" s="554" t="n"/>
      <c r="D351" s="554" t="n"/>
      <c r="E351" s="48" t="inlineStr">
        <is>
          <t>Md Al Hadis</t>
        </is>
      </c>
      <c r="F351" s="71" t="inlineStr">
        <is>
          <t>Soft Service</t>
        </is>
      </c>
      <c r="G351" s="445" t="inlineStr">
        <is>
          <t>R07468</t>
        </is>
      </c>
      <c r="H351" s="445" t="n">
        <v>2587196557</v>
      </c>
      <c r="I351" s="446" t="inlineStr">
        <is>
          <t>Approved</t>
        </is>
      </c>
      <c r="J351" s="551" t="n">
        <v>45592</v>
      </c>
      <c r="K351" s="18" t="inlineStr">
        <is>
          <t>MEHAN (RENTAL)</t>
        </is>
      </c>
      <c r="L351" s="37"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554" t="n"/>
      <c r="B352" s="554" t="n"/>
      <c r="C352" s="554" t="n"/>
      <c r="D352" s="554" t="n"/>
      <c r="E352" s="48" t="inlineStr">
        <is>
          <t>Md Ataur Rahman Sonar</t>
        </is>
      </c>
      <c r="F352" s="71" t="inlineStr">
        <is>
          <t>Soft Service</t>
        </is>
      </c>
      <c r="G352" s="445" t="n">
        <v>2607332513</v>
      </c>
      <c r="H352" s="445" t="n">
        <v>2607332513</v>
      </c>
      <c r="I352" s="446" t="inlineStr">
        <is>
          <t>Approved</t>
        </is>
      </c>
      <c r="J352" s="551" t="n">
        <v>45937</v>
      </c>
      <c r="K352" s="18" t="inlineStr">
        <is>
          <t>ESNAD (RENTAL)</t>
        </is>
      </c>
      <c r="L352" s="37"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553" t="n"/>
      <c r="B353" s="553" t="n"/>
      <c r="C353" s="553" t="n"/>
      <c r="D353" s="553" t="n"/>
      <c r="E353" s="75" t="inlineStr">
        <is>
          <t>Bulbul Molla</t>
        </is>
      </c>
      <c r="F353" s="71" t="inlineStr">
        <is>
          <t>Soft Service</t>
        </is>
      </c>
      <c r="G353" s="445" t="n">
        <v>2619159144</v>
      </c>
      <c r="H353" s="445" t="n">
        <v>2619159144</v>
      </c>
      <c r="I353" s="446" t="inlineStr">
        <is>
          <t>Approved</t>
        </is>
      </c>
      <c r="J353" s="551" t="n">
        <v>45967</v>
      </c>
      <c r="K353" s="18" t="inlineStr">
        <is>
          <t>Gulf Vision ( RENTAL)</t>
        </is>
      </c>
      <c r="L353" s="37"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96" t="inlineStr">
        <is>
          <t>Recreation In-Charge</t>
        </is>
      </c>
      <c r="B354" s="430" t="n">
        <v>1</v>
      </c>
      <c r="C354" s="430">
        <f>COUNTIF(E354,"&lt;&gt;")</f>
        <v/>
      </c>
      <c r="D354" s="431">
        <f>C354-B354</f>
        <v/>
      </c>
      <c r="E354" s="48" t="inlineStr">
        <is>
          <t>Jennifer Sumayao De La Cruz</t>
        </is>
      </c>
      <c r="F354" s="71" t="inlineStr">
        <is>
          <t>Soft Service</t>
        </is>
      </c>
      <c r="G354" s="445" t="inlineStr">
        <is>
          <t>-</t>
        </is>
      </c>
      <c r="H354" s="445" t="n">
        <v>2526449646</v>
      </c>
      <c r="I354" s="446" t="inlineStr">
        <is>
          <t>Approved</t>
        </is>
      </c>
      <c r="J354" s="551" t="n">
        <v>46165</v>
      </c>
      <c r="K354" s="18" t="inlineStr">
        <is>
          <t>AL-FALAK VISA</t>
        </is>
      </c>
      <c r="L354" s="97"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96" t="inlineStr">
        <is>
          <t>Recreation Coordinator</t>
        </is>
      </c>
      <c r="B355" s="430" t="n">
        <v>1</v>
      </c>
      <c r="C355" s="430">
        <f>COUNTIF(E355,"&lt;&gt;")</f>
        <v/>
      </c>
      <c r="D355" s="431">
        <f>C355-B355</f>
        <v/>
      </c>
      <c r="E355" s="36" t="inlineStr">
        <is>
          <t>Ehtisham Wani</t>
        </is>
      </c>
      <c r="F355" s="71" t="inlineStr">
        <is>
          <t>Soft Service</t>
        </is>
      </c>
      <c r="G355" s="43" t="n">
        <v>704259</v>
      </c>
      <c r="H355" s="32" t="n">
        <v>2637726650</v>
      </c>
      <c r="I355" s="446" t="inlineStr">
        <is>
          <t>Approved</t>
        </is>
      </c>
      <c r="J355" s="551" t="n">
        <v>46168</v>
      </c>
      <c r="K355" s="44" t="inlineStr">
        <is>
          <t>FMCO</t>
        </is>
      </c>
      <c r="L355" s="97"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38" t="inlineStr">
        <is>
          <t>Laundry Supervisor</t>
        </is>
      </c>
      <c r="B356" s="439" t="n">
        <v>2</v>
      </c>
      <c r="C356" s="439">
        <f>COUNTIF(E356:E357,"&lt;&gt;")</f>
        <v/>
      </c>
      <c r="D356" s="439">
        <f>C356-B356</f>
        <v/>
      </c>
      <c r="E356" s="94" t="inlineStr">
        <is>
          <t>Muhammad Talal</t>
        </is>
      </c>
      <c r="F356" s="71" t="inlineStr">
        <is>
          <t>Soft Service</t>
        </is>
      </c>
      <c r="G356" s="446" t="n">
        <v>703455</v>
      </c>
      <c r="H356" s="446" t="n">
        <v>2581992506</v>
      </c>
      <c r="I356" s="446" t="inlineStr">
        <is>
          <t>Approved</t>
        </is>
      </c>
      <c r="J356" s="551" t="n">
        <v>45586</v>
      </c>
      <c r="K356" s="18" t="inlineStr">
        <is>
          <t>FMCO</t>
        </is>
      </c>
      <c r="L356" s="99"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553" t="n"/>
      <c r="B357" s="553" t="n"/>
      <c r="C357" s="553" t="n"/>
      <c r="D357" s="553" t="n"/>
      <c r="E357" s="48" t="inlineStr">
        <is>
          <t>Danish Jamshed Muhammad</t>
        </is>
      </c>
      <c r="F357" s="71" t="inlineStr">
        <is>
          <t>Soft Service</t>
        </is>
      </c>
      <c r="G357" s="446" t="inlineStr">
        <is>
          <t>C00433</t>
        </is>
      </c>
      <c r="H357" s="446" t="n">
        <v>2581346158</v>
      </c>
      <c r="I357" s="446" t="inlineStr">
        <is>
          <t>Approved</t>
        </is>
      </c>
      <c r="J357" s="551" t="n">
        <v>45902</v>
      </c>
      <c r="K357" s="18" t="inlineStr">
        <is>
          <t>MEHAN VISA</t>
        </is>
      </c>
      <c r="L357" s="99"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38" t="inlineStr">
        <is>
          <t>Laundry Team leader</t>
        </is>
      </c>
      <c r="B358" s="439" t="n">
        <v>2</v>
      </c>
      <c r="C358" s="439">
        <f>COUNTIF(E358:E359,"&lt;&gt;")</f>
        <v/>
      </c>
      <c r="D358" s="439">
        <f>C358-B358</f>
        <v/>
      </c>
      <c r="E358" s="48" t="inlineStr">
        <is>
          <t>Abidmiya Malek</t>
        </is>
      </c>
      <c r="F358" s="71" t="inlineStr">
        <is>
          <t>Soft Service</t>
        </is>
      </c>
      <c r="G358" s="446" t="inlineStr">
        <is>
          <t>EM-0002840</t>
        </is>
      </c>
      <c r="H358" s="446" t="n">
        <v>2612362174</v>
      </c>
      <c r="I358" s="446" t="inlineStr">
        <is>
          <t>Approved</t>
        </is>
      </c>
      <c r="J358" s="551" t="n">
        <v>45902</v>
      </c>
      <c r="K358" s="18" t="inlineStr">
        <is>
          <t>AL-FALAK VISA</t>
        </is>
      </c>
      <c r="L358" s="100"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553" t="n"/>
      <c r="B359" s="553" t="n"/>
      <c r="C359" s="553" t="n"/>
      <c r="D359" s="553" t="n"/>
      <c r="E359" s="48" t="inlineStr">
        <is>
          <t>Jamal Zahid</t>
        </is>
      </c>
      <c r="F359" s="71" t="inlineStr">
        <is>
          <t>Soft Service</t>
        </is>
      </c>
      <c r="G359" s="446" t="n">
        <v>701750</v>
      </c>
      <c r="H359" s="446" t="n">
        <v>2537299501</v>
      </c>
      <c r="I359" s="446" t="inlineStr">
        <is>
          <t>Approved</t>
        </is>
      </c>
      <c r="J359" s="551" t="n">
        <v>45937</v>
      </c>
      <c r="K359" s="18" t="inlineStr">
        <is>
          <t>FMCO</t>
        </is>
      </c>
      <c r="L359" s="100"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38" t="inlineStr">
        <is>
          <t>Laundry Operatives</t>
        </is>
      </c>
      <c r="B360" s="439" t="n">
        <v>36</v>
      </c>
      <c r="C360" s="439">
        <f>COUNTIF(E360:E395,"&lt;&gt;")</f>
        <v/>
      </c>
      <c r="D360" s="439">
        <f>C360-B360</f>
        <v/>
      </c>
      <c r="E360" s="48" t="inlineStr">
        <is>
          <t>Afsar Ali</t>
        </is>
      </c>
      <c r="F360" s="71" t="inlineStr">
        <is>
          <t>Soft Service</t>
        </is>
      </c>
      <c r="G360" s="446" t="inlineStr">
        <is>
          <t>-</t>
        </is>
      </c>
      <c r="H360" s="446" t="n">
        <v>2571657887</v>
      </c>
      <c r="I360" s="446" t="inlineStr">
        <is>
          <t>Approved</t>
        </is>
      </c>
      <c r="J360" s="551" t="n">
        <v>46178</v>
      </c>
      <c r="K360" s="18" t="inlineStr">
        <is>
          <t>UCC( RENTAL)</t>
        </is>
      </c>
      <c r="L360" s="100"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554" t="n"/>
      <c r="B361" s="554" t="n"/>
      <c r="C361" s="554" t="n"/>
      <c r="D361" s="554" t="n"/>
      <c r="E361" s="48" t="inlineStr">
        <is>
          <t>Md Showeb Molla</t>
        </is>
      </c>
      <c r="F361" s="71" t="inlineStr">
        <is>
          <t>Soft Service</t>
        </is>
      </c>
      <c r="G361" s="446" t="n">
        <v>1049</v>
      </c>
      <c r="H361" s="446" t="n">
        <v>2573679012</v>
      </c>
      <c r="I361" s="446" t="inlineStr">
        <is>
          <t>Approved</t>
        </is>
      </c>
      <c r="J361" s="551" t="n">
        <v>45648</v>
      </c>
      <c r="K361" s="18" t="inlineStr">
        <is>
          <t>UCC( RENTAL)</t>
        </is>
      </c>
      <c r="L361" s="100"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554" t="n"/>
      <c r="B362" s="554" t="n"/>
      <c r="C362" s="554" t="n"/>
      <c r="D362" s="554" t="n"/>
      <c r="E362" s="48" t="inlineStr">
        <is>
          <t>Abdur Rahim</t>
        </is>
      </c>
      <c r="F362" s="71" t="inlineStr">
        <is>
          <t>Soft Service</t>
        </is>
      </c>
      <c r="G362" s="446" t="n">
        <v>1081</v>
      </c>
      <c r="H362" s="446" t="n">
        <v>2569926674</v>
      </c>
      <c r="I362" s="446" t="inlineStr">
        <is>
          <t>Approved</t>
        </is>
      </c>
      <c r="J362" s="551" t="n">
        <v>45648</v>
      </c>
      <c r="K362" s="18" t="inlineStr">
        <is>
          <t>UCC( RENTAL)</t>
        </is>
      </c>
      <c r="L362" s="100"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554" t="n"/>
      <c r="B363" s="554" t="n"/>
      <c r="C363" s="554" t="n"/>
      <c r="D363" s="554" t="n"/>
      <c r="E363" s="48" t="inlineStr">
        <is>
          <t>Rasel Mia</t>
        </is>
      </c>
      <c r="F363" s="71" t="inlineStr">
        <is>
          <t>Soft Service</t>
        </is>
      </c>
      <c r="G363" s="446" t="n">
        <v>1296</v>
      </c>
      <c r="H363" s="446" t="n">
        <v>2598539993</v>
      </c>
      <c r="I363" s="446" t="inlineStr">
        <is>
          <t>Approved</t>
        </is>
      </c>
      <c r="J363" s="551" t="n">
        <v>45769</v>
      </c>
      <c r="K363" s="18" t="inlineStr">
        <is>
          <t>UCC( RENTAL)</t>
        </is>
      </c>
      <c r="L363" s="100"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554" t="n"/>
      <c r="B364" s="554" t="n"/>
      <c r="C364" s="554" t="n"/>
      <c r="D364" s="554" t="n"/>
      <c r="E364" s="48" t="inlineStr">
        <is>
          <t>Mohammad Jibrail</t>
        </is>
      </c>
      <c r="F364" s="71" t="inlineStr">
        <is>
          <t>Soft Service</t>
        </is>
      </c>
      <c r="G364" s="446" t="n">
        <v>18987</v>
      </c>
      <c r="H364" s="446" t="n">
        <v>2575472887</v>
      </c>
      <c r="I364" s="446" t="inlineStr">
        <is>
          <t>Approved</t>
        </is>
      </c>
      <c r="J364" s="551" t="n">
        <v>45902</v>
      </c>
      <c r="K364" s="18" t="inlineStr">
        <is>
          <t>NASEER AL HAMDI</t>
        </is>
      </c>
      <c r="L364" s="100"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554" t="n"/>
      <c r="B365" s="554" t="n"/>
      <c r="C365" s="554" t="n"/>
      <c r="D365" s="554" t="n"/>
      <c r="E365" s="48" t="inlineStr">
        <is>
          <t>Mohammad Belal</t>
        </is>
      </c>
      <c r="F365" s="71" t="inlineStr">
        <is>
          <t>Soft Service</t>
        </is>
      </c>
      <c r="G365" s="446" t="n">
        <v>700372</v>
      </c>
      <c r="H365" s="446" t="n">
        <v>2332859426</v>
      </c>
      <c r="I365" s="446" t="inlineStr">
        <is>
          <t>Approved</t>
        </is>
      </c>
      <c r="J365" s="551" t="n">
        <v>45604</v>
      </c>
      <c r="K365" s="18" t="inlineStr">
        <is>
          <t>FMCO</t>
        </is>
      </c>
      <c r="L365" s="100"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554" t="n"/>
      <c r="B366" s="554" t="n"/>
      <c r="C366" s="554" t="n"/>
      <c r="D366" s="554" t="n"/>
      <c r="E366" s="48" t="inlineStr">
        <is>
          <t>Sagar Mahato</t>
        </is>
      </c>
      <c r="F366" s="71" t="inlineStr">
        <is>
          <t>Soft Service</t>
        </is>
      </c>
      <c r="G366" s="446" t="n">
        <v>701598</v>
      </c>
      <c r="H366" s="446" t="n">
        <v>2534892175</v>
      </c>
      <c r="I366" s="446" t="inlineStr">
        <is>
          <t>Approved</t>
        </is>
      </c>
      <c r="J366" s="551" t="n">
        <v>45902</v>
      </c>
      <c r="K366" s="18" t="inlineStr">
        <is>
          <t>FMCO</t>
        </is>
      </c>
      <c r="L366" s="100"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554" t="n"/>
      <c r="B367" s="554" t="n"/>
      <c r="C367" s="554" t="n"/>
      <c r="D367" s="554" t="n"/>
      <c r="E367" s="48" t="inlineStr">
        <is>
          <t>Asim Shahzad</t>
        </is>
      </c>
      <c r="F367" s="71" t="inlineStr">
        <is>
          <t>Soft Service</t>
        </is>
      </c>
      <c r="G367" s="446" t="n">
        <v>701728</v>
      </c>
      <c r="H367" s="446" t="n">
        <v>2537909059</v>
      </c>
      <c r="I367" s="446" t="inlineStr">
        <is>
          <t>Approved</t>
        </is>
      </c>
      <c r="J367" s="551" t="n">
        <v>45604</v>
      </c>
      <c r="K367" s="18" t="inlineStr">
        <is>
          <t>FMCO</t>
        </is>
      </c>
      <c r="L367" s="34"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554" t="n"/>
      <c r="B368" s="554" t="n"/>
      <c r="C368" s="554" t="n"/>
      <c r="D368" s="554" t="n"/>
      <c r="E368" s="48" t="inlineStr">
        <is>
          <t>Ravi Ram</t>
        </is>
      </c>
      <c r="F368" s="71" t="inlineStr">
        <is>
          <t>Soft Service</t>
        </is>
      </c>
      <c r="G368" s="446" t="n">
        <v>702140</v>
      </c>
      <c r="H368" s="446" t="n">
        <v>2545745610</v>
      </c>
      <c r="I368" s="446" t="inlineStr">
        <is>
          <t>Approved</t>
        </is>
      </c>
      <c r="J368" s="551" t="n">
        <v>45902</v>
      </c>
      <c r="K368" s="18" t="inlineStr">
        <is>
          <t>FMCO</t>
        </is>
      </c>
      <c r="L368" s="100"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554" t="n"/>
      <c r="B369" s="554" t="n"/>
      <c r="C369" s="554" t="n"/>
      <c r="D369" s="554" t="n"/>
      <c r="E369" s="48" t="inlineStr">
        <is>
          <t>Md Mobin Mia</t>
        </is>
      </c>
      <c r="F369" s="71" t="inlineStr">
        <is>
          <t>Soft Service</t>
        </is>
      </c>
      <c r="G369" s="446" t="inlineStr">
        <is>
          <t>S448</t>
        </is>
      </c>
      <c r="H369" s="446" t="n">
        <v>2621897269</v>
      </c>
      <c r="I369" s="446" t="inlineStr">
        <is>
          <t>Approved</t>
        </is>
      </c>
      <c r="J369" s="551" t="n">
        <v>45996</v>
      </c>
      <c r="K369" s="18" t="inlineStr">
        <is>
          <t>SCC (RENTAL)</t>
        </is>
      </c>
      <c r="L369" s="100"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554" t="n"/>
      <c r="B370" s="554" t="n"/>
      <c r="C370" s="554" t="n"/>
      <c r="D370" s="554" t="n"/>
      <c r="E370" s="36" t="inlineStr">
        <is>
          <t>Md Shamshul Huq</t>
        </is>
      </c>
      <c r="F370" s="439" t="inlineStr">
        <is>
          <t>Soft Service</t>
        </is>
      </c>
      <c r="G370" s="43" t="inlineStr">
        <is>
          <t>-</t>
        </is>
      </c>
      <c r="H370" s="32" t="n">
        <v>2627881481</v>
      </c>
      <c r="I370" s="446" t="inlineStr">
        <is>
          <t>Approved</t>
        </is>
      </c>
      <c r="J370" s="551" t="n">
        <v>46085</v>
      </c>
      <c r="K370" s="147" t="inlineStr">
        <is>
          <t>SCC</t>
        </is>
      </c>
      <c r="L370" s="100"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554" t="n"/>
      <c r="B371" s="554" t="n"/>
      <c r="C371" s="554" t="n"/>
      <c r="D371" s="554" t="n"/>
      <c r="E371" s="48" t="inlineStr">
        <is>
          <t>Md Ariful Islam</t>
        </is>
      </c>
      <c r="F371" s="71" t="inlineStr">
        <is>
          <t>Soft Service</t>
        </is>
      </c>
      <c r="G371" s="446" t="inlineStr">
        <is>
          <t>GV227</t>
        </is>
      </c>
      <c r="H371" s="446" t="n">
        <v>2619194331</v>
      </c>
      <c r="I371" s="446" t="inlineStr">
        <is>
          <t>Approved</t>
        </is>
      </c>
      <c r="J371" s="551" t="n">
        <v>45967</v>
      </c>
      <c r="K371" s="18" t="inlineStr">
        <is>
          <t>GULF VISION ( RENTAL)</t>
        </is>
      </c>
      <c r="L371" s="100"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554" t="n"/>
      <c r="B372" s="554" t="n"/>
      <c r="C372" s="554" t="n"/>
      <c r="D372" s="554" t="n"/>
      <c r="E372" s="48" t="inlineStr">
        <is>
          <t>Mahmudur Rahman</t>
        </is>
      </c>
      <c r="F372" s="71" t="inlineStr">
        <is>
          <t>Soft Service</t>
        </is>
      </c>
      <c r="G372" s="446" t="inlineStr">
        <is>
          <t>-</t>
        </is>
      </c>
      <c r="H372" s="446" t="n">
        <v>2588502761</v>
      </c>
      <c r="I372" s="446" t="inlineStr">
        <is>
          <t>Approved</t>
        </is>
      </c>
      <c r="J372" s="551" t="n">
        <v>46184</v>
      </c>
      <c r="K372" s="18" t="inlineStr">
        <is>
          <t>UCC( RENTAL)</t>
        </is>
      </c>
      <c r="L372" s="100"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554" t="n"/>
      <c r="B373" s="554" t="n"/>
      <c r="C373" s="554" t="n"/>
      <c r="D373" s="554" t="n"/>
      <c r="E373" s="48" t="inlineStr">
        <is>
          <t>Sikandar Ali</t>
        </is>
      </c>
      <c r="F373" s="71" t="inlineStr">
        <is>
          <t>Soft Service</t>
        </is>
      </c>
      <c r="G373" s="446" t="inlineStr">
        <is>
          <t>R07471</t>
        </is>
      </c>
      <c r="H373" s="446" t="n">
        <v>2587196763</v>
      </c>
      <c r="I373" s="446" t="inlineStr">
        <is>
          <t>Approved</t>
        </is>
      </c>
      <c r="J373" s="551" t="n">
        <v>45592</v>
      </c>
      <c r="K373" s="18" t="inlineStr">
        <is>
          <t>MEHAN (RENTAL)</t>
        </is>
      </c>
      <c r="L373" s="100"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554" t="n"/>
      <c r="B374" s="554" t="n"/>
      <c r="C374" s="554" t="n"/>
      <c r="D374" s="554" t="n"/>
      <c r="E374" s="48" t="inlineStr">
        <is>
          <t>Pappu Kumar Singh</t>
        </is>
      </c>
      <c r="F374" s="71" t="inlineStr">
        <is>
          <t>Soft Service</t>
        </is>
      </c>
      <c r="G374" s="446" t="inlineStr">
        <is>
          <t>S211</t>
        </is>
      </c>
      <c r="H374" s="446" t="n">
        <v>2597976436</v>
      </c>
      <c r="I374" s="446" t="inlineStr">
        <is>
          <t>Approved</t>
        </is>
      </c>
      <c r="J374" s="551" t="n">
        <v>45734</v>
      </c>
      <c r="K374" s="18" t="inlineStr">
        <is>
          <t>SCC (RENTAL)</t>
        </is>
      </c>
      <c r="L374" s="100"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554" t="n"/>
      <c r="B375" s="554" t="n"/>
      <c r="C375" s="554" t="n"/>
      <c r="D375" s="554" t="n"/>
      <c r="E375" s="48" t="inlineStr">
        <is>
          <t>Saurabh Kumar</t>
        </is>
      </c>
      <c r="F375" s="71" t="inlineStr">
        <is>
          <t>Soft Service</t>
        </is>
      </c>
      <c r="G375" s="446" t="inlineStr">
        <is>
          <t>S218</t>
        </is>
      </c>
      <c r="H375" s="446" t="n">
        <v>2597976899</v>
      </c>
      <c r="I375" s="446" t="inlineStr">
        <is>
          <t>Approved</t>
        </is>
      </c>
      <c r="J375" s="551" t="n">
        <v>45734</v>
      </c>
      <c r="K375" s="18" t="inlineStr">
        <is>
          <t>SCC (RENTAL)</t>
        </is>
      </c>
      <c r="L375" s="100"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554" t="n"/>
      <c r="B376" s="554" t="n"/>
      <c r="C376" s="554" t="n"/>
      <c r="D376" s="554" t="n"/>
      <c r="E376" s="48" t="inlineStr">
        <is>
          <t>Md Nazmul Hossain</t>
        </is>
      </c>
      <c r="F376" s="71" t="inlineStr">
        <is>
          <t>Soft Service</t>
        </is>
      </c>
      <c r="G376" s="446" t="inlineStr">
        <is>
          <t>S325</t>
        </is>
      </c>
      <c r="H376" s="446" t="n">
        <v>2602237139</v>
      </c>
      <c r="I376" s="446" t="inlineStr">
        <is>
          <t>Approved</t>
        </is>
      </c>
      <c r="J376" s="551" t="n">
        <v>45785</v>
      </c>
      <c r="K376" s="18" t="inlineStr">
        <is>
          <t>SCC (RENTAL)</t>
        </is>
      </c>
      <c r="L376" s="100"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554" t="n"/>
      <c r="B377" s="554" t="n"/>
      <c r="C377" s="554" t="n"/>
      <c r="D377" s="554" t="n"/>
      <c r="E377" s="48" t="inlineStr">
        <is>
          <t>Ram Niwas Yadav</t>
        </is>
      </c>
      <c r="F377" s="71" t="inlineStr">
        <is>
          <t>Soft Service</t>
        </is>
      </c>
      <c r="G377" s="446" t="inlineStr">
        <is>
          <t>S336</t>
        </is>
      </c>
      <c r="H377" s="446" t="n">
        <v>2603240488</v>
      </c>
      <c r="I377" s="446" t="inlineStr">
        <is>
          <t>Approved</t>
        </is>
      </c>
      <c r="J377" s="551" t="n">
        <v>45785</v>
      </c>
      <c r="K377" s="18" t="inlineStr">
        <is>
          <t>SCC (RENTAL)</t>
        </is>
      </c>
      <c r="L377" s="100"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554" t="n"/>
      <c r="B378" s="554" t="n"/>
      <c r="C378" s="554" t="n"/>
      <c r="D378" s="554" t="n"/>
      <c r="E378" s="48" t="inlineStr">
        <is>
          <t>Mohammad Mokim Nat</t>
        </is>
      </c>
      <c r="F378" s="71" t="inlineStr">
        <is>
          <t>Soft Service</t>
        </is>
      </c>
      <c r="G378" s="446" t="inlineStr">
        <is>
          <t>S337</t>
        </is>
      </c>
      <c r="H378" s="446" t="n">
        <v>2603239290</v>
      </c>
      <c r="I378" s="446" t="inlineStr">
        <is>
          <t>Approved</t>
        </is>
      </c>
      <c r="J378" s="551" t="n">
        <v>45785</v>
      </c>
      <c r="K378" s="18" t="inlineStr">
        <is>
          <t>SCC (RENTAL)</t>
        </is>
      </c>
      <c r="L378" s="100"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554" t="n"/>
      <c r="B379" s="554" t="n"/>
      <c r="C379" s="554" t="n"/>
      <c r="D379" s="554" t="n"/>
      <c r="E379" s="48" t="inlineStr">
        <is>
          <t>Md Kawsar Miah</t>
        </is>
      </c>
      <c r="F379" s="71" t="inlineStr">
        <is>
          <t>Soft Service</t>
        </is>
      </c>
      <c r="G379" s="446" t="inlineStr">
        <is>
          <t>S343</t>
        </is>
      </c>
      <c r="H379" s="446" t="n">
        <v>2602871788</v>
      </c>
      <c r="I379" s="446" t="inlineStr">
        <is>
          <t>Approved</t>
        </is>
      </c>
      <c r="J379" s="551" t="n">
        <v>45809</v>
      </c>
      <c r="K379" s="18" t="inlineStr">
        <is>
          <t>SCC (RENTAL)</t>
        </is>
      </c>
      <c r="L379" s="100"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554" t="n"/>
      <c r="B380" s="554" t="n"/>
      <c r="C380" s="554" t="n"/>
      <c r="D380" s="554" t="n"/>
      <c r="E380" s="48" t="inlineStr">
        <is>
          <t>Pablu Miah</t>
        </is>
      </c>
      <c r="F380" s="71" t="inlineStr">
        <is>
          <t>Soft Service</t>
        </is>
      </c>
      <c r="G380" s="446" t="inlineStr">
        <is>
          <t>S344</t>
        </is>
      </c>
      <c r="H380" s="446" t="n">
        <v>2602871952</v>
      </c>
      <c r="I380" s="446" t="inlineStr">
        <is>
          <t>Approved</t>
        </is>
      </c>
      <c r="J380" s="551" t="n">
        <v>45809</v>
      </c>
      <c r="K380" s="18" t="inlineStr">
        <is>
          <t>SCC (RENTAL)</t>
        </is>
      </c>
      <c r="L380" s="100"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554" t="n"/>
      <c r="B381" s="554" t="n"/>
      <c r="C381" s="554" t="n"/>
      <c r="D381" s="554" t="n"/>
      <c r="E381" s="48" t="inlineStr">
        <is>
          <t>Md Motin Miah</t>
        </is>
      </c>
      <c r="F381" s="71" t="inlineStr">
        <is>
          <t>Soft Service</t>
        </is>
      </c>
      <c r="G381" s="446" t="inlineStr">
        <is>
          <t>S346</t>
        </is>
      </c>
      <c r="H381" s="446" t="n">
        <v>2602871820</v>
      </c>
      <c r="I381" s="446" t="inlineStr">
        <is>
          <t>Approved</t>
        </is>
      </c>
      <c r="J381" s="551" t="n">
        <v>45809</v>
      </c>
      <c r="K381" s="18" t="inlineStr">
        <is>
          <t>SCC (RENTAL)</t>
        </is>
      </c>
      <c r="L381" s="100"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554" t="n"/>
      <c r="B382" s="554" t="n"/>
      <c r="C382" s="554" t="n"/>
      <c r="D382" s="554" t="n"/>
      <c r="E382" s="48" t="inlineStr">
        <is>
          <t>Toriqul Islam</t>
        </is>
      </c>
      <c r="F382" s="71" t="inlineStr">
        <is>
          <t>Soft Service</t>
        </is>
      </c>
      <c r="G382" s="446" t="inlineStr">
        <is>
          <t>S358</t>
        </is>
      </c>
      <c r="H382" s="446" t="n">
        <v>2606020903</v>
      </c>
      <c r="I382" s="446" t="inlineStr">
        <is>
          <t>Approved</t>
        </is>
      </c>
      <c r="J382" s="551" t="n">
        <v>45818</v>
      </c>
      <c r="K382" s="18" t="inlineStr">
        <is>
          <t>SCC (RENTAL)</t>
        </is>
      </c>
      <c r="L382" s="100"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554" t="n"/>
      <c r="B383" s="554" t="n"/>
      <c r="C383" s="554" t="n"/>
      <c r="D383" s="554" t="n"/>
      <c r="E383" s="48" t="inlineStr">
        <is>
          <t>Badsha Miah</t>
        </is>
      </c>
      <c r="F383" s="71" t="inlineStr">
        <is>
          <t>Soft Service</t>
        </is>
      </c>
      <c r="G383" s="446" t="inlineStr">
        <is>
          <t>S366</t>
        </is>
      </c>
      <c r="H383" s="446" t="n">
        <v>2602238921</v>
      </c>
      <c r="I383" s="446" t="inlineStr">
        <is>
          <t>Approved</t>
        </is>
      </c>
      <c r="J383" s="551" t="n">
        <v>45820</v>
      </c>
      <c r="K383" s="18" t="inlineStr">
        <is>
          <t>SCC (RENTAL)</t>
        </is>
      </c>
      <c r="L383" s="100"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554" t="n"/>
      <c r="B384" s="554" t="n"/>
      <c r="C384" s="554" t="n"/>
      <c r="D384" s="554" t="n"/>
      <c r="E384" s="48" t="inlineStr">
        <is>
          <t>Sohel Rana</t>
        </is>
      </c>
      <c r="F384" s="71" t="inlineStr">
        <is>
          <t>Soft Service</t>
        </is>
      </c>
      <c r="G384" s="446" t="inlineStr">
        <is>
          <t>S407</t>
        </is>
      </c>
      <c r="H384" s="446" t="n">
        <v>2605407846</v>
      </c>
      <c r="I384" s="446" t="inlineStr">
        <is>
          <t>Approved</t>
        </is>
      </c>
      <c r="J384" s="551" t="n">
        <v>45868</v>
      </c>
      <c r="K384" s="18" t="inlineStr">
        <is>
          <t>SCC (RENTAL)</t>
        </is>
      </c>
      <c r="L384" s="100" t="inlineStr">
        <is>
          <t>-</t>
        </is>
      </c>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554" t="n"/>
      <c r="B385" s="554" t="n"/>
      <c r="C385" s="554" t="n"/>
      <c r="D385" s="554" t="n"/>
      <c r="E385" s="48" t="inlineStr">
        <is>
          <t>Krishna Ram</t>
        </is>
      </c>
      <c r="F385" s="71" t="inlineStr">
        <is>
          <t>Soft Service</t>
        </is>
      </c>
      <c r="G385" s="446" t="n">
        <v>1321</v>
      </c>
      <c r="H385" s="446" t="n">
        <v>2609040486</v>
      </c>
      <c r="I385" s="446" t="inlineStr">
        <is>
          <t>Approved</t>
        </is>
      </c>
      <c r="J385" s="551" t="n">
        <v>45866</v>
      </c>
      <c r="K385" s="18" t="inlineStr">
        <is>
          <t>UCC( RENTAL)</t>
        </is>
      </c>
      <c r="L385" s="100"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554" t="n"/>
      <c r="B386" s="554" t="n"/>
      <c r="C386" s="554" t="n"/>
      <c r="D386" s="554" t="n"/>
      <c r="E386" s="48" t="inlineStr">
        <is>
          <t>Sohel Rana Manik</t>
        </is>
      </c>
      <c r="F386" s="71" t="inlineStr">
        <is>
          <t>Soft Service</t>
        </is>
      </c>
      <c r="G386" s="446" t="n">
        <v>1189</v>
      </c>
      <c r="H386" s="446" t="n">
        <v>2574558009</v>
      </c>
      <c r="I386" s="446" t="inlineStr">
        <is>
          <t>Approved</t>
        </is>
      </c>
      <c r="J386" s="551" t="n">
        <v>45902</v>
      </c>
      <c r="K386" s="18" t="inlineStr">
        <is>
          <t>UCC( RENTAL)</t>
        </is>
      </c>
      <c r="L386" s="100"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554" t="n"/>
      <c r="B387" s="554" t="n"/>
      <c r="C387" s="554" t="n"/>
      <c r="D387" s="554" t="n"/>
      <c r="E387" s="48" t="inlineStr">
        <is>
          <t>Krishna Das</t>
        </is>
      </c>
      <c r="F387" s="71" t="inlineStr">
        <is>
          <t>Soft Service</t>
        </is>
      </c>
      <c r="G387" s="446" t="inlineStr">
        <is>
          <t>S313</t>
        </is>
      </c>
      <c r="H387" s="446" t="n">
        <v>2606912703</v>
      </c>
      <c r="I387" s="446" t="inlineStr">
        <is>
          <t>Approved</t>
        </is>
      </c>
      <c r="J387" s="551" t="n">
        <v>45957</v>
      </c>
      <c r="K387" s="18" t="inlineStr">
        <is>
          <t>SCC (RENTAL)</t>
        </is>
      </c>
      <c r="L387" s="100"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554" t="n"/>
      <c r="B388" s="554" t="n"/>
      <c r="C388" s="554" t="n"/>
      <c r="D388" s="554" t="n"/>
      <c r="E388" s="48" t="inlineStr">
        <is>
          <t>Md. Chand</t>
        </is>
      </c>
      <c r="F388" s="71" t="inlineStr">
        <is>
          <t>Soft Service</t>
        </is>
      </c>
      <c r="G388" s="446" t="inlineStr">
        <is>
          <t>S312</t>
        </is>
      </c>
      <c r="H388" s="446" t="n">
        <v>2606912455</v>
      </c>
      <c r="I388" s="446" t="inlineStr">
        <is>
          <t>Approved</t>
        </is>
      </c>
      <c r="J388" s="551" t="n">
        <v>45957</v>
      </c>
      <c r="K388" s="18" t="inlineStr">
        <is>
          <t>SCC (RENTAL)</t>
        </is>
      </c>
      <c r="L388" s="100"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554" t="n"/>
      <c r="B389" s="554" t="n"/>
      <c r="C389" s="554" t="n"/>
      <c r="D389" s="554" t="n"/>
      <c r="E389" s="48" t="inlineStr">
        <is>
          <t>Redoy Shek</t>
        </is>
      </c>
      <c r="F389" s="71" t="inlineStr">
        <is>
          <t>Soft Service</t>
        </is>
      </c>
      <c r="G389" s="446" t="n">
        <v>2574755423</v>
      </c>
      <c r="H389" s="446" t="n">
        <v>2574755423</v>
      </c>
      <c r="I389" s="446" t="inlineStr">
        <is>
          <t>Approved</t>
        </is>
      </c>
      <c r="J389" s="551" t="n">
        <v>45937</v>
      </c>
      <c r="K389" s="18" t="inlineStr">
        <is>
          <t>UCC( RENTAL)</t>
        </is>
      </c>
      <c r="L389" s="100"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554" t="n"/>
      <c r="B390" s="554" t="n"/>
      <c r="C390" s="554" t="n"/>
      <c r="D390" s="554" t="n"/>
      <c r="E390" s="48" t="inlineStr">
        <is>
          <t>Ashik Mahmud</t>
        </is>
      </c>
      <c r="F390" s="71" t="inlineStr">
        <is>
          <t>Soft Service</t>
        </is>
      </c>
      <c r="G390" s="446" t="inlineStr">
        <is>
          <t>S459</t>
        </is>
      </c>
      <c r="H390" s="446" t="n">
        <v>2621899067</v>
      </c>
      <c r="I390" s="446" t="inlineStr">
        <is>
          <t>Approved</t>
        </is>
      </c>
      <c r="J390" s="551" t="n">
        <v>45996</v>
      </c>
      <c r="K390" s="18" t="inlineStr">
        <is>
          <t>SCC (RENTAL)</t>
        </is>
      </c>
      <c r="L390" s="100"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554" t="n"/>
      <c r="B391" s="554" t="n"/>
      <c r="C391" s="554" t="n"/>
      <c r="D391" s="554" t="n"/>
      <c r="E391" s="48" t="inlineStr">
        <is>
          <t>Abdul Momin</t>
        </is>
      </c>
      <c r="F391" s="71" t="inlineStr">
        <is>
          <t>Soft Service</t>
        </is>
      </c>
      <c r="G391" s="446" t="n">
        <v>2607764095</v>
      </c>
      <c r="H391" s="446" t="n">
        <v>2607764095</v>
      </c>
      <c r="I391" s="446" t="inlineStr">
        <is>
          <t>Approved</t>
        </is>
      </c>
      <c r="J391" s="551" t="n">
        <v>45944</v>
      </c>
      <c r="K391" s="18" t="inlineStr">
        <is>
          <t>ESNAD (RENTAL)</t>
        </is>
      </c>
      <c r="L391" s="100"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554" t="n"/>
      <c r="B392" s="554" t="n"/>
      <c r="C392" s="554" t="n"/>
      <c r="D392" s="554" t="n"/>
      <c r="E392" s="48" t="inlineStr">
        <is>
          <t>Dayanand Ram</t>
        </is>
      </c>
      <c r="F392" s="71" t="inlineStr">
        <is>
          <t>Soft Service</t>
        </is>
      </c>
      <c r="G392" s="446" t="inlineStr">
        <is>
          <t>S314</t>
        </is>
      </c>
      <c r="H392" s="446" t="n">
        <v>2606912877</v>
      </c>
      <c r="I392" s="446" t="inlineStr">
        <is>
          <t>Approved</t>
        </is>
      </c>
      <c r="J392" s="551" t="n">
        <v>45957</v>
      </c>
      <c r="K392" s="18" t="inlineStr">
        <is>
          <t>SCC (RENTAL)</t>
        </is>
      </c>
      <c r="L392" s="100"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554" t="n"/>
      <c r="B393" s="554" t="n"/>
      <c r="C393" s="554" t="n"/>
      <c r="D393" s="554" t="n"/>
      <c r="E393" s="48" t="inlineStr">
        <is>
          <t>Md Shariful Islam</t>
        </is>
      </c>
      <c r="F393" s="71" t="inlineStr">
        <is>
          <t>Soft Service</t>
        </is>
      </c>
      <c r="G393" s="446" t="inlineStr">
        <is>
          <t>GV228</t>
        </is>
      </c>
      <c r="H393" s="446" t="n">
        <v>2619194208</v>
      </c>
      <c r="I393" s="446" t="inlineStr">
        <is>
          <t>Approved</t>
        </is>
      </c>
      <c r="J393" s="551" t="n">
        <v>45967</v>
      </c>
      <c r="K393" s="18" t="inlineStr">
        <is>
          <t>Gulf Vision ( RENTAL)</t>
        </is>
      </c>
      <c r="L393" s="100"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554" t="n"/>
      <c r="B394" s="554" t="n"/>
      <c r="C394" s="554" t="n"/>
      <c r="D394" s="554" t="n"/>
      <c r="E394" s="48" t="inlineStr">
        <is>
          <t>Sakil Hossain</t>
        </is>
      </c>
      <c r="F394" s="71" t="inlineStr">
        <is>
          <t>Soft Service</t>
        </is>
      </c>
      <c r="G394" s="446" t="inlineStr">
        <is>
          <t>GV231</t>
        </is>
      </c>
      <c r="H394" s="446" t="n">
        <v>2619886084</v>
      </c>
      <c r="I394" s="446" t="inlineStr">
        <is>
          <t>Approved</t>
        </is>
      </c>
      <c r="J394" s="551" t="n">
        <v>45967</v>
      </c>
      <c r="K394" s="18" t="inlineStr">
        <is>
          <t>Gulf Vision ( RENTAL)</t>
        </is>
      </c>
      <c r="L394" s="100"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553" t="n"/>
      <c r="B395" s="553" t="n"/>
      <c r="C395" s="553" t="n"/>
      <c r="D395" s="553" t="n"/>
      <c r="E395" s="48" t="inlineStr">
        <is>
          <t>Mohammad Faisal</t>
        </is>
      </c>
      <c r="F395" s="71" t="inlineStr">
        <is>
          <t>Soft Service</t>
        </is>
      </c>
      <c r="G395" s="446" t="inlineStr">
        <is>
          <t>R09005</t>
        </is>
      </c>
      <c r="H395" s="446" t="n">
        <v>2609902339</v>
      </c>
      <c r="I395" s="446" t="inlineStr">
        <is>
          <t>Approved</t>
        </is>
      </c>
      <c r="J395" s="551" t="n">
        <v>45976</v>
      </c>
      <c r="K395" s="18" t="inlineStr">
        <is>
          <t>MEHAN (RENTAL)</t>
        </is>
      </c>
      <c r="L395" s="100"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40" t="inlineStr">
        <is>
          <t>Laundry Driver</t>
        </is>
      </c>
      <c r="B396" s="430" t="n">
        <v>2</v>
      </c>
      <c r="C396" s="430">
        <f>COUNTIF(E396:E397,"&lt;&gt;")</f>
        <v/>
      </c>
      <c r="D396" s="430">
        <f>C396-B396</f>
        <v/>
      </c>
      <c r="E396" s="26" t="n"/>
      <c r="F396" s="71" t="inlineStr">
        <is>
          <t>Soft Service</t>
        </is>
      </c>
      <c r="G396" s="446" t="inlineStr">
        <is>
          <t>-</t>
        </is>
      </c>
      <c r="H396" s="446" t="inlineStr">
        <is>
          <t>-</t>
        </is>
      </c>
      <c r="I396" s="446" t="inlineStr">
        <is>
          <t>Vacant</t>
        </is>
      </c>
      <c r="J396" s="552" t="n"/>
      <c r="K396" s="18" t="inlineStr">
        <is>
          <t>-</t>
        </is>
      </c>
      <c r="L396" s="100"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553" t="n"/>
      <c r="B397" s="553" t="n"/>
      <c r="C397" s="553" t="n"/>
      <c r="D397" s="553" t="n"/>
      <c r="E397" s="26" t="n"/>
      <c r="F397" s="71" t="inlineStr">
        <is>
          <t>Soft Service</t>
        </is>
      </c>
      <c r="G397" s="446" t="inlineStr">
        <is>
          <t>-</t>
        </is>
      </c>
      <c r="H397" s="446" t="inlineStr">
        <is>
          <t>-</t>
        </is>
      </c>
      <c r="I397" s="446" t="inlineStr">
        <is>
          <t>Vacant</t>
        </is>
      </c>
      <c r="J397" s="552" t="n"/>
      <c r="K397" s="18" t="inlineStr">
        <is>
          <t>-</t>
        </is>
      </c>
      <c r="L397" s="100"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52" t="inlineStr">
        <is>
          <t>Total Team 
Laundry Services</t>
        </is>
      </c>
      <c r="B398" s="53" t="inlineStr">
        <is>
          <t>Contractual Requirement</t>
        </is>
      </c>
      <c r="C398" s="53" t="inlineStr">
        <is>
          <t>Approved</t>
        </is>
      </c>
      <c r="D398" s="53" t="inlineStr">
        <is>
          <t>Vacant Position</t>
        </is>
      </c>
      <c r="E398" s="54" t="inlineStr">
        <is>
          <t>Rejected</t>
        </is>
      </c>
      <c r="F398" s="55" t="inlineStr">
        <is>
          <t xml:space="preserve">Additional </t>
        </is>
      </c>
      <c r="G398" s="55" t="inlineStr">
        <is>
          <t>ID</t>
        </is>
      </c>
      <c r="H398" s="55" t="inlineStr">
        <is>
          <t>Iqama</t>
        </is>
      </c>
      <c r="I398" s="80" t="inlineStr">
        <is>
          <t>Status</t>
        </is>
      </c>
      <c r="J398" s="555" t="n"/>
      <c r="K398" s="58" t="n"/>
      <c r="L398" s="59"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53">
        <f>COUNTIF(E354:E397,"&lt;&gt;")</f>
        <v/>
      </c>
      <c r="B399" s="53">
        <f>SUM(B161:B397)</f>
        <v/>
      </c>
      <c r="C399" s="53">
        <f>COUNTIF(I161:I397,"Approved")</f>
        <v/>
      </c>
      <c r="D399" s="53">
        <f>COUNTIF(I161:I397,"Vacant")</f>
        <v/>
      </c>
      <c r="E399" s="59">
        <f>COUNTIF(I354:I397,"Rejected")</f>
        <v/>
      </c>
      <c r="F399" s="55">
        <f>COUNTIF(I161:I397,"Additional")</f>
        <v/>
      </c>
      <c r="G399" s="55">
        <f>COUNTIF(G161:G397,"-")</f>
        <v/>
      </c>
      <c r="H399" s="55">
        <f>COUNTIF(H161:H397,"-")</f>
        <v/>
      </c>
      <c r="I399" s="60" t="n"/>
      <c r="J399" s="556" t="n"/>
      <c r="K399" s="62" t="n"/>
      <c r="L399" s="60"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101" t="n"/>
      <c r="B400" s="102" t="n"/>
      <c r="C400" s="102" t="n"/>
      <c r="D400" s="102" t="n"/>
      <c r="E400" s="103" t="n"/>
      <c r="F400" s="103" t="n"/>
      <c r="G400" s="103" t="n"/>
      <c r="H400" s="103" t="n"/>
      <c r="I400" s="103" t="n"/>
      <c r="J400" s="563" t="n"/>
      <c r="K400" s="4" t="n"/>
      <c r="L400" s="105"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11" t="inlineStr">
        <is>
          <t>Position</t>
        </is>
      </c>
      <c r="B401" s="12" t="inlineStr">
        <is>
          <t>Contractual Requirement</t>
        </is>
      </c>
      <c r="C401" s="12" t="inlineStr">
        <is>
          <t>On-Site Availability</t>
        </is>
      </c>
      <c r="D401" s="12" t="inlineStr">
        <is>
          <t>Vacant Position</t>
        </is>
      </c>
      <c r="E401" s="13" t="inlineStr">
        <is>
          <t>Emaployee Name</t>
        </is>
      </c>
      <c r="F401" s="14" t="inlineStr">
        <is>
          <t>Decipline</t>
        </is>
      </c>
      <c r="G401" s="15" t="inlineStr">
        <is>
          <t>ID</t>
        </is>
      </c>
      <c r="H401" s="14" t="inlineStr">
        <is>
          <t>Iqama</t>
        </is>
      </c>
      <c r="I401" s="15" t="inlineStr">
        <is>
          <t>Status</t>
        </is>
      </c>
      <c r="J401" s="558" t="n"/>
      <c r="K401" s="70" t="n"/>
      <c r="L401" s="17"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38" t="inlineStr">
        <is>
          <t>QHSE Manager</t>
        </is>
      </c>
      <c r="B402" s="439" t="n">
        <v>2</v>
      </c>
      <c r="C402" s="439">
        <f>COUNTIF(E402:E403,"&lt;&gt;")</f>
        <v/>
      </c>
      <c r="D402" s="439">
        <f>C402-B402</f>
        <v/>
      </c>
      <c r="E402" s="48" t="inlineStr">
        <is>
          <t>Sachin Narayan Dharne</t>
        </is>
      </c>
      <c r="F402" s="32" t="inlineStr">
        <is>
          <t>Health &amp; Safety</t>
        </is>
      </c>
      <c r="G402" s="446" t="n">
        <v>700486</v>
      </c>
      <c r="H402" s="446" t="n">
        <v>2509359515</v>
      </c>
      <c r="I402" s="446" t="inlineStr">
        <is>
          <t>Approved</t>
        </is>
      </c>
      <c r="J402" s="551" t="n">
        <v>45902</v>
      </c>
      <c r="K402" s="18" t="inlineStr">
        <is>
          <t>FMCO</t>
        </is>
      </c>
      <c r="L402" s="34"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553" t="n"/>
      <c r="B403" s="553" t="n"/>
      <c r="C403" s="553" t="n"/>
      <c r="D403" s="553" t="n"/>
      <c r="E403" s="36" t="inlineStr">
        <is>
          <t>Umar Javaid</t>
        </is>
      </c>
      <c r="F403" s="32" t="inlineStr">
        <is>
          <t>Health &amp; Safety</t>
        </is>
      </c>
      <c r="G403" s="43" t="inlineStr">
        <is>
          <t>EM-0003730</t>
        </is>
      </c>
      <c r="H403" s="32" t="n">
        <v>2517315475</v>
      </c>
      <c r="I403" s="446" t="inlineStr">
        <is>
          <t>Approved</t>
        </is>
      </c>
      <c r="J403" s="551" t="n">
        <v>46148</v>
      </c>
      <c r="K403" s="44" t="inlineStr">
        <is>
          <t>AL-FALAK VISA</t>
        </is>
      </c>
      <c r="L403" s="99"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40" t="inlineStr">
        <is>
          <t>Environmental Inspector</t>
        </is>
      </c>
      <c r="B404" s="430" t="n">
        <v>3</v>
      </c>
      <c r="C404" s="430">
        <f>COUNTIF(E404:E406,"&lt;&gt;")</f>
        <v/>
      </c>
      <c r="D404" s="430">
        <f>C404-B404</f>
        <v/>
      </c>
      <c r="E404" s="26" t="n"/>
      <c r="F404" s="32" t="inlineStr">
        <is>
          <t>Health &amp; Safety</t>
        </is>
      </c>
      <c r="G404" s="446" t="inlineStr">
        <is>
          <t>-</t>
        </is>
      </c>
      <c r="H404" s="446" t="inlineStr">
        <is>
          <t>-</t>
        </is>
      </c>
      <c r="I404" s="446" t="inlineStr">
        <is>
          <t>Vacant</t>
        </is>
      </c>
      <c r="J404" s="552" t="n"/>
      <c r="K404" s="18" t="inlineStr">
        <is>
          <t>-</t>
        </is>
      </c>
      <c r="L404" s="99"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554" t="n"/>
      <c r="B405" s="554" t="n"/>
      <c r="C405" s="554" t="n"/>
      <c r="D405" s="554" t="n"/>
      <c r="E405" s="26" t="n"/>
      <c r="F405" s="32" t="inlineStr">
        <is>
          <t>Health &amp; Safety</t>
        </is>
      </c>
      <c r="G405" s="446" t="inlineStr">
        <is>
          <t>-</t>
        </is>
      </c>
      <c r="H405" s="446" t="inlineStr">
        <is>
          <t>-</t>
        </is>
      </c>
      <c r="I405" s="446" t="inlineStr">
        <is>
          <t>Vacant</t>
        </is>
      </c>
      <c r="J405" s="552" t="n"/>
      <c r="K405" s="18" t="inlineStr">
        <is>
          <t>-</t>
        </is>
      </c>
      <c r="L405" s="99"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553" t="n"/>
      <c r="B406" s="553" t="n"/>
      <c r="C406" s="553" t="n"/>
      <c r="D406" s="553" t="n"/>
      <c r="E406" s="26" t="n"/>
      <c r="F406" s="32" t="inlineStr">
        <is>
          <t>Health &amp; Safety</t>
        </is>
      </c>
      <c r="G406" s="446" t="inlineStr">
        <is>
          <t>-</t>
        </is>
      </c>
      <c r="H406" s="446" t="inlineStr">
        <is>
          <t>-</t>
        </is>
      </c>
      <c r="I406" s="446" t="inlineStr">
        <is>
          <t>Vacant</t>
        </is>
      </c>
      <c r="J406" s="552" t="n"/>
      <c r="K406" s="18" t="inlineStr">
        <is>
          <t>-</t>
        </is>
      </c>
      <c r="L406" s="99"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38" t="inlineStr">
        <is>
          <t>QHSE Officer</t>
        </is>
      </c>
      <c r="B407" s="439" t="n">
        <v>2</v>
      </c>
      <c r="C407" s="439">
        <f>COUNTIF(E407:E408,"&lt;&gt;")</f>
        <v/>
      </c>
      <c r="D407" s="439">
        <f>C407-B407</f>
        <v/>
      </c>
      <c r="E407" s="31" t="inlineStr">
        <is>
          <t>MD RUSSEL MAHMUD</t>
        </is>
      </c>
      <c r="F407" s="32" t="inlineStr">
        <is>
          <t>Health &amp; Safety</t>
        </is>
      </c>
      <c r="G407" s="446" t="inlineStr">
        <is>
          <t>-</t>
        </is>
      </c>
      <c r="H407" s="446" t="inlineStr">
        <is>
          <t>B00844925-</t>
        </is>
      </c>
      <c r="I407" s="446" t="inlineStr">
        <is>
          <t>Approved</t>
        </is>
      </c>
      <c r="J407" s="552" t="n">
        <v>46267</v>
      </c>
      <c r="K407" s="18" t="inlineStr">
        <is>
          <t>-</t>
        </is>
      </c>
      <c r="L407" s="99"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553" t="n"/>
      <c r="B408" s="553" t="n"/>
      <c r="C408" s="553" t="n"/>
      <c r="D408" s="553" t="n"/>
      <c r="E408" s="48" t="inlineStr">
        <is>
          <t>Shabbir Ahmed</t>
        </is>
      </c>
      <c r="F408" s="32" t="inlineStr">
        <is>
          <t>Health &amp; Safety</t>
        </is>
      </c>
      <c r="G408" s="446" t="inlineStr">
        <is>
          <t>EM-0002679</t>
        </is>
      </c>
      <c r="H408" s="446" t="n">
        <v>2586128544</v>
      </c>
      <c r="I408" s="446" t="inlineStr">
        <is>
          <t>Approved</t>
        </is>
      </c>
      <c r="J408" s="551" t="n">
        <v>45599</v>
      </c>
      <c r="K408" s="18" t="inlineStr">
        <is>
          <t>AL-FALAK VISA</t>
        </is>
      </c>
      <c r="L408" s="99"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38" t="inlineStr">
        <is>
          <t>Safety Officer</t>
        </is>
      </c>
      <c r="B409" s="439" t="n">
        <v>2</v>
      </c>
      <c r="C409" s="439">
        <f>COUNTIF(E409:E410,"&lt;&gt;")</f>
        <v/>
      </c>
      <c r="D409" s="439">
        <f>C409-B409</f>
        <v/>
      </c>
      <c r="E409" s="31" t="inlineStr">
        <is>
          <t>MOHAMED SAMIN ABDUL SALEEM</t>
        </is>
      </c>
      <c r="F409" s="32" t="inlineStr">
        <is>
          <t>Health &amp; Safety</t>
        </is>
      </c>
      <c r="G409" s="446" t="inlineStr">
        <is>
          <t>-</t>
        </is>
      </c>
      <c r="H409" s="446" t="inlineStr">
        <is>
          <t>AR904172</t>
        </is>
      </c>
      <c r="I409" s="446" t="inlineStr">
        <is>
          <t>Approved</t>
        </is>
      </c>
      <c r="J409" s="552" t="n">
        <v>46267</v>
      </c>
      <c r="K409" s="18" t="inlineStr">
        <is>
          <t>-</t>
        </is>
      </c>
      <c r="L409" s="99"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553" t="n"/>
      <c r="B410" s="553" t="n"/>
      <c r="C410" s="553" t="n"/>
      <c r="D410" s="553" t="n"/>
      <c r="E410" s="18" t="inlineStr">
        <is>
          <t>Rehan Qadir</t>
        </is>
      </c>
      <c r="F410" s="32" t="inlineStr">
        <is>
          <t>Health &amp; Safety</t>
        </is>
      </c>
      <c r="G410" s="446" t="inlineStr">
        <is>
          <t>-</t>
        </is>
      </c>
      <c r="H410" s="446" t="inlineStr">
        <is>
          <t>-</t>
        </is>
      </c>
      <c r="I410" s="446" t="inlineStr">
        <is>
          <t>Approved</t>
        </is>
      </c>
      <c r="J410" s="564" t="n">
        <v>46234</v>
      </c>
      <c r="K410" s="18" t="inlineStr">
        <is>
          <t>-</t>
        </is>
      </c>
      <c r="L410" s="99"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52" t="inlineStr">
        <is>
          <t>Total Team 
Health and Safety/HSE</t>
        </is>
      </c>
      <c r="B411" s="53" t="inlineStr">
        <is>
          <t>Contractual Requirement</t>
        </is>
      </c>
      <c r="C411" s="53" t="inlineStr">
        <is>
          <t>Approved</t>
        </is>
      </c>
      <c r="D411" s="53" t="inlineStr">
        <is>
          <t>Vacant Position</t>
        </is>
      </c>
      <c r="E411" s="54" t="inlineStr">
        <is>
          <t>Rejected</t>
        </is>
      </c>
      <c r="F411" s="55" t="inlineStr">
        <is>
          <t xml:space="preserve">Additional </t>
        </is>
      </c>
      <c r="G411" s="55" t="inlineStr">
        <is>
          <t>ID</t>
        </is>
      </c>
      <c r="H411" s="55" t="inlineStr">
        <is>
          <t>Iqama</t>
        </is>
      </c>
      <c r="I411" s="80" t="inlineStr">
        <is>
          <t>Status</t>
        </is>
      </c>
      <c r="J411" s="555" t="n"/>
      <c r="K411" s="58" t="n"/>
      <c r="L411" s="59"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53">
        <f>COUNTIF(E402:E410,"&lt;&gt;")</f>
        <v/>
      </c>
      <c r="B412" s="53">
        <f>SUM(B402:B410)</f>
        <v/>
      </c>
      <c r="C412" s="53">
        <f>COUNTIF(I402:I410,"Approved")</f>
        <v/>
      </c>
      <c r="D412" s="53">
        <f>COUNTIF(I402:I410,"Vacant")</f>
        <v/>
      </c>
      <c r="E412" s="59">
        <f>COUNTIF(I402:I410,"Rejected")</f>
        <v/>
      </c>
      <c r="F412" s="55">
        <f>COUNTIF(I402:I410,"Additional")</f>
        <v/>
      </c>
      <c r="G412" s="55">
        <f>COUNTIF(G402:G410,"-")</f>
        <v/>
      </c>
      <c r="H412" s="55">
        <f>COUNTIF(H402:H410,"-")</f>
        <v/>
      </c>
      <c r="I412" s="60" t="n"/>
      <c r="J412" s="556" t="n"/>
      <c r="K412" s="62" t="n"/>
      <c r="L412" s="60"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101" t="n"/>
      <c r="B413" s="102" t="n"/>
      <c r="C413" s="102" t="n"/>
      <c r="D413" s="102" t="n"/>
      <c r="E413" s="103" t="n"/>
      <c r="F413" s="103" t="n"/>
      <c r="G413" s="103" t="n"/>
      <c r="H413" s="103" t="n"/>
      <c r="I413" s="103" t="n"/>
      <c r="J413" s="563" t="n"/>
      <c r="K413" s="4" t="n"/>
      <c r="L413" s="105"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11" t="inlineStr">
        <is>
          <t>Position</t>
        </is>
      </c>
      <c r="B414" s="12" t="inlineStr">
        <is>
          <t>Contractual Requirement</t>
        </is>
      </c>
      <c r="C414" s="12" t="inlineStr">
        <is>
          <t>On-Site Availability</t>
        </is>
      </c>
      <c r="D414" s="12" t="inlineStr">
        <is>
          <t>Vacant Position</t>
        </is>
      </c>
      <c r="E414" s="13" t="inlineStr">
        <is>
          <t>Emaployee Name</t>
        </is>
      </c>
      <c r="F414" s="14" t="inlineStr">
        <is>
          <t>Decipline</t>
        </is>
      </c>
      <c r="G414" s="15" t="inlineStr">
        <is>
          <t>ID</t>
        </is>
      </c>
      <c r="H414" s="14" t="inlineStr">
        <is>
          <t>Iqama</t>
        </is>
      </c>
      <c r="I414" s="15" t="inlineStr">
        <is>
          <t>Status</t>
        </is>
      </c>
      <c r="J414" s="558" t="n"/>
      <c r="K414" s="70" t="n"/>
      <c r="L414" s="17"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38" t="inlineStr">
        <is>
          <t>Fire Protection Engineer</t>
        </is>
      </c>
      <c r="B415" s="439" t="n">
        <v>2</v>
      </c>
      <c r="C415" s="439">
        <f>COUNTIF(E415:E416,"&lt;&gt;")</f>
        <v/>
      </c>
      <c r="D415" s="439">
        <f>C415-B415</f>
        <v/>
      </c>
      <c r="E415" s="48" t="inlineStr">
        <is>
          <t>Badrul Alam Barbhuiya</t>
        </is>
      </c>
      <c r="F415" s="32" t="inlineStr">
        <is>
          <t>FLS</t>
        </is>
      </c>
      <c r="G415" s="446" t="n">
        <v>703391</v>
      </c>
      <c r="H415" s="446" t="n">
        <v>2469196378</v>
      </c>
      <c r="I415" s="446" t="inlineStr">
        <is>
          <t>Approved</t>
        </is>
      </c>
      <c r="J415" s="551" t="n">
        <v>45479</v>
      </c>
      <c r="K415" s="18" t="inlineStr">
        <is>
          <t>FMCO</t>
        </is>
      </c>
      <c r="L415" s="99"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553" t="n"/>
      <c r="B416" s="553" t="n"/>
      <c r="C416" s="553" t="n"/>
      <c r="D416" s="553" t="n"/>
      <c r="E416" s="26" t="n"/>
      <c r="F416" s="32" t="inlineStr">
        <is>
          <t>FLS</t>
        </is>
      </c>
      <c r="G416" s="446" t="inlineStr">
        <is>
          <t>-</t>
        </is>
      </c>
      <c r="H416" s="446" t="inlineStr">
        <is>
          <t>-</t>
        </is>
      </c>
      <c r="I416" s="446" t="inlineStr">
        <is>
          <t>Vacant</t>
        </is>
      </c>
      <c r="J416" s="552" t="n"/>
      <c r="K416" s="18" t="inlineStr">
        <is>
          <t>-</t>
        </is>
      </c>
      <c r="L416" s="99"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38" t="inlineStr">
        <is>
          <t>Fire Figting Team Leader</t>
        </is>
      </c>
      <c r="B417" s="439" t="n">
        <v>2</v>
      </c>
      <c r="C417" s="439">
        <f>COUNTIF(E417:E418,"&lt;&gt;")</f>
        <v/>
      </c>
      <c r="D417" s="439">
        <f>C417-B417</f>
        <v/>
      </c>
      <c r="E417" s="48" t="inlineStr">
        <is>
          <t>Abare Alam</t>
        </is>
      </c>
      <c r="F417" s="32" t="inlineStr">
        <is>
          <t>FLS</t>
        </is>
      </c>
      <c r="G417" s="446" t="inlineStr">
        <is>
          <t>EM-0001967</t>
        </is>
      </c>
      <c r="H417" s="446" t="n">
        <v>2586671428</v>
      </c>
      <c r="I417" s="446" t="inlineStr">
        <is>
          <t>Approved</t>
        </is>
      </c>
      <c r="J417" s="551" t="n">
        <v>45902</v>
      </c>
      <c r="K417" s="18" t="inlineStr">
        <is>
          <t>AL-FALAK VISA</t>
        </is>
      </c>
      <c r="L417" s="99"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553" t="n"/>
      <c r="B418" s="553" t="n"/>
      <c r="C418" s="553" t="n"/>
      <c r="D418" s="553" t="n"/>
      <c r="E418" s="26" t="n"/>
      <c r="F418" s="32" t="inlineStr">
        <is>
          <t>FLS</t>
        </is>
      </c>
      <c r="G418" s="446" t="inlineStr">
        <is>
          <t>-</t>
        </is>
      </c>
      <c r="H418" s="446" t="inlineStr">
        <is>
          <t>-</t>
        </is>
      </c>
      <c r="I418" s="446" t="inlineStr">
        <is>
          <t>Vacant</t>
        </is>
      </c>
      <c r="J418" s="552" t="n"/>
      <c r="K418" s="18" t="inlineStr">
        <is>
          <t>-</t>
        </is>
      </c>
      <c r="L418" s="99"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38" t="inlineStr">
        <is>
          <t>Fire Alarm Techncian</t>
        </is>
      </c>
      <c r="B419" s="439" t="n">
        <v>6</v>
      </c>
      <c r="C419" s="439">
        <f>COUNTIF(E419:E424,"&lt;&gt;")</f>
        <v/>
      </c>
      <c r="D419" s="439">
        <f>C419-B419</f>
        <v/>
      </c>
      <c r="E419" s="48" t="inlineStr">
        <is>
          <t>Arshalan Khan</t>
        </is>
      </c>
      <c r="F419" s="32" t="inlineStr">
        <is>
          <t>FLS</t>
        </is>
      </c>
      <c r="G419" s="446" t="inlineStr">
        <is>
          <t>C00789</t>
        </is>
      </c>
      <c r="H419" s="446" t="n">
        <v>2584344812</v>
      </c>
      <c r="I419" s="446" t="inlineStr">
        <is>
          <t>Approved</t>
        </is>
      </c>
      <c r="J419" s="551" t="n">
        <v>45599</v>
      </c>
      <c r="K419" s="18" t="inlineStr">
        <is>
          <t>MEHAN VISA</t>
        </is>
      </c>
      <c r="L419" s="99"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554" t="n"/>
      <c r="B420" s="554" t="n"/>
      <c r="C420" s="554" t="n"/>
      <c r="D420" s="554" t="n"/>
      <c r="E420" s="31" t="n"/>
      <c r="F420" s="107" t="n"/>
      <c r="G420" s="446" t="inlineStr">
        <is>
          <t>-</t>
        </is>
      </c>
      <c r="H420" s="446" t="inlineStr">
        <is>
          <t>-</t>
        </is>
      </c>
      <c r="I420" s="446" t="inlineStr">
        <is>
          <t>Vacant</t>
        </is>
      </c>
      <c r="J420" s="552" t="n"/>
      <c r="K420" s="18" t="inlineStr">
        <is>
          <t>-</t>
        </is>
      </c>
      <c r="L420" s="99"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554" t="n"/>
      <c r="B421" s="554" t="n"/>
      <c r="C421" s="554" t="n"/>
      <c r="D421" s="554" t="n"/>
      <c r="E421" s="48" t="inlineStr">
        <is>
          <t>Sakib Khan</t>
        </is>
      </c>
      <c r="F421" s="32" t="inlineStr">
        <is>
          <t>FLS</t>
        </is>
      </c>
      <c r="G421" s="446" t="inlineStr">
        <is>
          <t>EM-0002680</t>
        </is>
      </c>
      <c r="H421" s="446" t="n">
        <v>2586128734</v>
      </c>
      <c r="I421" s="446" t="inlineStr">
        <is>
          <t>Approved</t>
        </is>
      </c>
      <c r="J421" s="551" t="n">
        <v>45586</v>
      </c>
      <c r="K421" s="18" t="inlineStr">
        <is>
          <t>AL-FALAK VISA</t>
        </is>
      </c>
      <c r="L421" s="99"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554" t="n"/>
      <c r="B422" s="554" t="n"/>
      <c r="C422" s="554" t="n"/>
      <c r="D422" s="554" t="n"/>
      <c r="E422" s="48" t="inlineStr">
        <is>
          <t>SHAFIQUE AHMED SHAIKH</t>
        </is>
      </c>
      <c r="F422" s="32" t="inlineStr">
        <is>
          <t>FLS</t>
        </is>
      </c>
      <c r="G422" s="446" t="n"/>
      <c r="H422" s="446" t="inlineStr">
        <is>
          <t>AU883781</t>
        </is>
      </c>
      <c r="I422" s="446" t="inlineStr">
        <is>
          <t>Approved</t>
        </is>
      </c>
      <c r="J422" s="551" t="n">
        <v>46268</v>
      </c>
      <c r="K422" s="18" t="n"/>
      <c r="L422" s="99"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554" t="n"/>
      <c r="B423" s="554" t="n"/>
      <c r="C423" s="554" t="n"/>
      <c r="D423" s="554" t="n"/>
      <c r="E423" s="48" t="n"/>
      <c r="F423" s="32" t="inlineStr">
        <is>
          <t>FLS</t>
        </is>
      </c>
      <c r="G423" s="446" t="n"/>
      <c r="H423" s="446" t="n"/>
      <c r="I423" s="446" t="inlineStr">
        <is>
          <t>Vacant</t>
        </is>
      </c>
      <c r="J423" s="551" t="n"/>
      <c r="K423" s="18" t="n"/>
      <c r="L423" s="99"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553" t="n"/>
      <c r="B424" s="553" t="n"/>
      <c r="C424" s="553" t="n"/>
      <c r="D424" s="553" t="n"/>
      <c r="E424" s="48" t="inlineStr">
        <is>
          <t>Md Zaid Alam</t>
        </is>
      </c>
      <c r="F424" s="32" t="inlineStr">
        <is>
          <t>FLS</t>
        </is>
      </c>
      <c r="G424" s="446" t="inlineStr">
        <is>
          <t>EM-0001947</t>
        </is>
      </c>
      <c r="H424" s="446" t="n">
        <v>2585395300</v>
      </c>
      <c r="I424" s="446" t="inlineStr">
        <is>
          <t>Approved</t>
        </is>
      </c>
      <c r="J424" s="551" t="n">
        <v>45599</v>
      </c>
      <c r="K424" s="18" t="inlineStr">
        <is>
          <t>AL-FALAK VISA</t>
        </is>
      </c>
      <c r="L424" s="99"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52" t="inlineStr">
        <is>
          <t>Total Team 
Fire, Life and Safety/FLS</t>
        </is>
      </c>
      <c r="B425" s="53" t="inlineStr">
        <is>
          <t>Contractual Requirement</t>
        </is>
      </c>
      <c r="C425" s="53" t="inlineStr">
        <is>
          <t>Approved</t>
        </is>
      </c>
      <c r="D425" s="53" t="inlineStr">
        <is>
          <t>Vacant Position</t>
        </is>
      </c>
      <c r="E425" s="54" t="inlineStr">
        <is>
          <t>Rejected</t>
        </is>
      </c>
      <c r="F425" s="55" t="inlineStr">
        <is>
          <t xml:space="preserve">Additional </t>
        </is>
      </c>
      <c r="G425" s="55" t="inlineStr">
        <is>
          <t>ID</t>
        </is>
      </c>
      <c r="H425" s="55" t="inlineStr">
        <is>
          <t>Iqama</t>
        </is>
      </c>
      <c r="I425" s="80" t="inlineStr">
        <is>
          <t>Status</t>
        </is>
      </c>
      <c r="J425" s="555" t="n"/>
      <c r="K425" s="58" t="n"/>
      <c r="L425" s="59"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53">
        <f>COUNTIF(E415:E424,"&lt;&gt;")</f>
        <v/>
      </c>
      <c r="B426" s="53">
        <f>SUM(B415:B424)</f>
        <v/>
      </c>
      <c r="C426" s="53">
        <f>COUNTIF(I415:I424,"Approved")</f>
        <v/>
      </c>
      <c r="D426" s="53">
        <f>COUNTIF(I415:I424,"Vacant")</f>
        <v/>
      </c>
      <c r="E426" s="59">
        <f>COUNTIF(L415:L424,"Rejected")</f>
        <v/>
      </c>
      <c r="F426" s="55">
        <f>COUNTIF(I415:I424,"Additional")</f>
        <v/>
      </c>
      <c r="G426" s="55">
        <f>COUNTIF(G415:G424,"-")</f>
        <v/>
      </c>
      <c r="H426" s="55">
        <f>COUNTIF(H415:H424,"-")</f>
        <v/>
      </c>
      <c r="I426" s="60" t="n"/>
      <c r="J426" s="556" t="n"/>
      <c r="K426" s="62" t="n"/>
      <c r="L426" s="60"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108" t="n"/>
      <c r="B427" s="109" t="n"/>
      <c r="C427" s="109" t="n"/>
      <c r="D427" s="109" t="n"/>
      <c r="E427" s="110" t="n"/>
      <c r="F427" s="110" t="n"/>
      <c r="G427" s="110" t="n"/>
      <c r="H427" s="110" t="n"/>
      <c r="I427" s="110" t="n"/>
      <c r="J427" s="565" t="n"/>
      <c r="K427" s="112" t="n"/>
      <c r="L427" s="113"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11" t="inlineStr">
        <is>
          <t>Position</t>
        </is>
      </c>
      <c r="B428" s="12" t="inlineStr">
        <is>
          <t>Contractual Requirement</t>
        </is>
      </c>
      <c r="C428" s="12" t="inlineStr">
        <is>
          <t>On-Site Availability</t>
        </is>
      </c>
      <c r="D428" s="12" t="inlineStr">
        <is>
          <t>Vacant Position</t>
        </is>
      </c>
      <c r="E428" s="13" t="inlineStr">
        <is>
          <t>Emaployee Name</t>
        </is>
      </c>
      <c r="F428" s="14" t="inlineStr">
        <is>
          <t>Decipline</t>
        </is>
      </c>
      <c r="G428" s="15" t="inlineStr">
        <is>
          <t>ID</t>
        </is>
      </c>
      <c r="H428" s="14" t="inlineStr">
        <is>
          <t>Iqama</t>
        </is>
      </c>
      <c r="I428" s="15" t="inlineStr">
        <is>
          <t>Status</t>
        </is>
      </c>
      <c r="J428" s="558" t="n"/>
      <c r="K428" s="70" t="n"/>
      <c r="L428" s="17"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28" t="inlineStr">
        <is>
          <t>Security Manager</t>
        </is>
      </c>
      <c r="B429" s="429" t="n">
        <v>1</v>
      </c>
      <c r="C429" s="429">
        <f>COUNTIF(E429,"&lt;&gt;")</f>
        <v/>
      </c>
      <c r="D429" s="430">
        <f>C429-B429</f>
        <v/>
      </c>
      <c r="E429" s="73" t="n"/>
      <c r="F429" s="32" t="inlineStr">
        <is>
          <t>Security Services</t>
        </is>
      </c>
      <c r="G429" s="446" t="inlineStr">
        <is>
          <t>-</t>
        </is>
      </c>
      <c r="H429" s="45" t="inlineStr">
        <is>
          <t>-</t>
        </is>
      </c>
      <c r="I429" s="446" t="inlineStr">
        <is>
          <t>Vacant</t>
        </is>
      </c>
      <c r="J429" s="552" t="n"/>
      <c r="K429" s="446" t="inlineStr">
        <is>
          <t>-</t>
        </is>
      </c>
      <c r="L429" s="24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41" t="inlineStr">
        <is>
          <t>Security Supervisor</t>
        </is>
      </c>
      <c r="B430" s="439" t="n">
        <v>8</v>
      </c>
      <c r="C430" s="439">
        <f>COUNTIF(E430:E437,"&lt;&gt;")</f>
        <v/>
      </c>
      <c r="D430" s="427">
        <f>C430-B430</f>
        <v/>
      </c>
      <c r="E430" s="48" t="inlineStr">
        <is>
          <t>Bandar Mohammed Alqahtani</t>
        </is>
      </c>
      <c r="F430" s="32" t="inlineStr">
        <is>
          <t>Security Services</t>
        </is>
      </c>
      <c r="G430" s="446" t="n">
        <v>703767</v>
      </c>
      <c r="H430" s="446" t="n">
        <v>1086875620</v>
      </c>
      <c r="I430" s="446" t="inlineStr">
        <is>
          <t>Approved</t>
        </is>
      </c>
      <c r="J430" s="551" t="n">
        <v>45705</v>
      </c>
      <c r="K430" s="446" t="inlineStr">
        <is>
          <t>FMCO</t>
        </is>
      </c>
      <c r="L430" s="24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554" t="n"/>
      <c r="B431" s="554" t="n"/>
      <c r="C431" s="554" t="n"/>
      <c r="D431" s="554" t="n"/>
      <c r="E431" s="48" t="inlineStr">
        <is>
          <t>Dalal Ali Alsahli</t>
        </is>
      </c>
      <c r="F431" s="32" t="inlineStr">
        <is>
          <t>Security Services</t>
        </is>
      </c>
      <c r="G431" s="446" t="n">
        <v>704069</v>
      </c>
      <c r="H431" s="446" t="n">
        <v>1097320277</v>
      </c>
      <c r="I431" s="446" t="inlineStr">
        <is>
          <t>Approved</t>
        </is>
      </c>
      <c r="J431" s="551" t="n">
        <v>45992</v>
      </c>
      <c r="K431" s="446" t="inlineStr">
        <is>
          <t>FMCO</t>
        </is>
      </c>
      <c r="L431" s="24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554" t="n"/>
      <c r="B432" s="554" t="n"/>
      <c r="C432" s="554" t="n"/>
      <c r="D432" s="554" t="n"/>
      <c r="E432" s="48" t="inlineStr">
        <is>
          <t>Musad Mohammed Siren</t>
        </is>
      </c>
      <c r="F432" s="32" t="inlineStr">
        <is>
          <t>Security Services</t>
        </is>
      </c>
      <c r="G432" s="446" t="n">
        <v>704021</v>
      </c>
      <c r="H432" s="446" t="n">
        <v>1075325751</v>
      </c>
      <c r="I432" s="446" t="inlineStr">
        <is>
          <t>Approved</t>
        </is>
      </c>
      <c r="J432" s="551" t="n">
        <v>45908</v>
      </c>
      <c r="K432" s="446" t="inlineStr">
        <is>
          <t>FMCO</t>
        </is>
      </c>
      <c r="L432" s="24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554" t="n"/>
      <c r="B433" s="554" t="n"/>
      <c r="C433" s="554" t="n"/>
      <c r="D433" s="554" t="n"/>
      <c r="E433" s="88" t="n"/>
      <c r="F433" s="32" t="inlineStr">
        <is>
          <t>Security Services</t>
        </is>
      </c>
      <c r="G433" s="446" t="inlineStr">
        <is>
          <t>-</t>
        </is>
      </c>
      <c r="H433" s="45" t="inlineStr">
        <is>
          <t>-</t>
        </is>
      </c>
      <c r="I433" s="313" t="n"/>
      <c r="J433" s="559" t="n"/>
      <c r="K433" s="446" t="inlineStr">
        <is>
          <t>-</t>
        </is>
      </c>
      <c r="L433" s="24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554" t="n"/>
      <c r="B434" s="554" t="n"/>
      <c r="C434" s="554" t="n"/>
      <c r="D434" s="554" t="n"/>
      <c r="E434" s="73" t="n"/>
      <c r="F434" s="32" t="inlineStr">
        <is>
          <t>Security Services</t>
        </is>
      </c>
      <c r="G434" s="446" t="inlineStr">
        <is>
          <t>-</t>
        </is>
      </c>
      <c r="H434" s="45" t="inlineStr">
        <is>
          <t>-</t>
        </is>
      </c>
      <c r="I434" s="446" t="inlineStr">
        <is>
          <t>Vacant</t>
        </is>
      </c>
      <c r="J434" s="552" t="n"/>
      <c r="K434" s="446" t="inlineStr">
        <is>
          <t>-</t>
        </is>
      </c>
      <c r="L434" s="24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554" t="n"/>
      <c r="B435" s="554" t="n"/>
      <c r="C435" s="554" t="n"/>
      <c r="D435" s="554" t="n"/>
      <c r="E435" s="78" t="n"/>
      <c r="F435" s="32" t="inlineStr">
        <is>
          <t>Security Services</t>
        </is>
      </c>
      <c r="G435" s="446" t="inlineStr">
        <is>
          <t>-</t>
        </is>
      </c>
      <c r="H435" s="45" t="inlineStr">
        <is>
          <t>-</t>
        </is>
      </c>
      <c r="I435" s="446" t="inlineStr">
        <is>
          <t>Vacant</t>
        </is>
      </c>
      <c r="J435" s="552" t="n"/>
      <c r="K435" s="446" t="inlineStr">
        <is>
          <t>-</t>
        </is>
      </c>
      <c r="L435" s="24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554" t="n"/>
      <c r="B436" s="554" t="n"/>
      <c r="C436" s="554" t="n"/>
      <c r="D436" s="554" t="n"/>
      <c r="E436" s="78" t="n"/>
      <c r="F436" s="32" t="inlineStr">
        <is>
          <t>Security Services</t>
        </is>
      </c>
      <c r="G436" s="446" t="inlineStr">
        <is>
          <t>-</t>
        </is>
      </c>
      <c r="H436" s="45" t="inlineStr">
        <is>
          <t>-</t>
        </is>
      </c>
      <c r="I436" s="446" t="inlineStr">
        <is>
          <t>Vacant</t>
        </is>
      </c>
      <c r="J436" s="552" t="n"/>
      <c r="K436" s="446" t="inlineStr">
        <is>
          <t>-</t>
        </is>
      </c>
      <c r="L436" s="24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553" t="n"/>
      <c r="B437" s="553" t="n"/>
      <c r="C437" s="553" t="n"/>
      <c r="D437" s="553" t="n"/>
      <c r="E437" s="78" t="n"/>
      <c r="F437" s="32" t="inlineStr">
        <is>
          <t>Security Services</t>
        </is>
      </c>
      <c r="G437" s="446" t="inlineStr">
        <is>
          <t>-</t>
        </is>
      </c>
      <c r="H437" s="45" t="inlineStr">
        <is>
          <t>-</t>
        </is>
      </c>
      <c r="I437" s="446" t="inlineStr">
        <is>
          <t>Vacant</t>
        </is>
      </c>
      <c r="J437" s="552" t="n"/>
      <c r="K437" s="446" t="inlineStr">
        <is>
          <t>-</t>
        </is>
      </c>
      <c r="L437" s="24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41" t="inlineStr">
        <is>
          <t>Security Admins</t>
        </is>
      </c>
      <c r="B438" s="439" t="n">
        <v>8</v>
      </c>
      <c r="C438" s="439">
        <f>COUNTIF(E438:E445,"&lt;&gt;")</f>
        <v/>
      </c>
      <c r="D438" s="427">
        <f>C438-B438</f>
        <v/>
      </c>
      <c r="E438" s="48" t="inlineStr">
        <is>
          <t>Munahi Mutlaq Binherais</t>
        </is>
      </c>
      <c r="F438" s="32" t="inlineStr">
        <is>
          <t>Security Services</t>
        </is>
      </c>
      <c r="G438" s="446" t="n">
        <v>703628</v>
      </c>
      <c r="H438" s="446" t="n">
        <v>1139608168</v>
      </c>
      <c r="I438" s="446" t="inlineStr">
        <is>
          <t>Approved</t>
        </is>
      </c>
      <c r="J438" s="551" t="n">
        <v>45624</v>
      </c>
      <c r="K438" s="446" t="inlineStr">
        <is>
          <t>FMCO</t>
        </is>
      </c>
      <c r="L438" s="24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554" t="n"/>
      <c r="B439" s="554" t="n"/>
      <c r="C439" s="554" t="n"/>
      <c r="D439" s="554" t="n"/>
      <c r="E439" s="48" t="inlineStr">
        <is>
          <t>Sattam Mohammed Alqahtani</t>
        </is>
      </c>
      <c r="F439" s="32" t="inlineStr">
        <is>
          <t>Security Services</t>
        </is>
      </c>
      <c r="G439" s="446" t="n">
        <v>703881</v>
      </c>
      <c r="H439" s="446" t="n">
        <v>1126340585</v>
      </c>
      <c r="I439" s="446" t="inlineStr">
        <is>
          <t>Approved</t>
        </is>
      </c>
      <c r="J439" s="551" t="n">
        <v>45844</v>
      </c>
      <c r="K439" s="446" t="inlineStr">
        <is>
          <t>FMCO</t>
        </is>
      </c>
      <c r="L439" s="24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554" t="n"/>
      <c r="B440" s="554" t="n"/>
      <c r="C440" s="554" t="n"/>
      <c r="D440" s="554" t="n"/>
      <c r="E440" s="48" t="inlineStr">
        <is>
          <t>Nasser Mohammed Algahtani</t>
        </is>
      </c>
      <c r="F440" s="32" t="inlineStr">
        <is>
          <t>Security Services</t>
        </is>
      </c>
      <c r="G440" s="446" t="n">
        <v>703831</v>
      </c>
      <c r="H440" s="446" t="n">
        <v>1136677083</v>
      </c>
      <c r="I440" s="446" t="inlineStr">
        <is>
          <t>Approved</t>
        </is>
      </c>
      <c r="J440" s="551" t="n">
        <v>45789</v>
      </c>
      <c r="K440" s="446" t="inlineStr">
        <is>
          <t>FMCO</t>
        </is>
      </c>
      <c r="L440" s="24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554" t="n"/>
      <c r="B441" s="554" t="n"/>
      <c r="C441" s="554" t="n"/>
      <c r="D441" s="554" t="n"/>
      <c r="E441" s="31" t="n"/>
      <c r="F441" s="32" t="inlineStr">
        <is>
          <t>Security Services</t>
        </is>
      </c>
      <c r="G441" s="446" t="inlineStr">
        <is>
          <t>-</t>
        </is>
      </c>
      <c r="H441" s="446" t="inlineStr">
        <is>
          <t>-</t>
        </is>
      </c>
      <c r="I441" s="446" t="inlineStr">
        <is>
          <t>Vacant</t>
        </is>
      </c>
      <c r="J441" s="552" t="n"/>
      <c r="K441" s="446" t="inlineStr">
        <is>
          <t>-</t>
        </is>
      </c>
      <c r="L441" s="24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554" t="n"/>
      <c r="B442" s="554" t="n"/>
      <c r="C442" s="554" t="n"/>
      <c r="D442" s="554" t="n"/>
      <c r="E442" s="78" t="n"/>
      <c r="F442" s="32" t="inlineStr">
        <is>
          <t>Security Services</t>
        </is>
      </c>
      <c r="G442" s="446" t="inlineStr">
        <is>
          <t>-</t>
        </is>
      </c>
      <c r="H442" s="45" t="inlineStr">
        <is>
          <t>-</t>
        </is>
      </c>
      <c r="I442" s="446" t="inlineStr">
        <is>
          <t>Vacant</t>
        </is>
      </c>
      <c r="J442" s="552" t="n"/>
      <c r="K442" s="446" t="inlineStr">
        <is>
          <t>-</t>
        </is>
      </c>
      <c r="L442" s="24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554" t="n"/>
      <c r="B443" s="554" t="n"/>
      <c r="C443" s="554" t="n"/>
      <c r="D443" s="554" t="n"/>
      <c r="E443" s="78" t="n"/>
      <c r="F443" s="32" t="inlineStr">
        <is>
          <t>Security Services</t>
        </is>
      </c>
      <c r="G443" s="446" t="inlineStr">
        <is>
          <t>-</t>
        </is>
      </c>
      <c r="H443" s="45" t="inlineStr">
        <is>
          <t>-</t>
        </is>
      </c>
      <c r="I443" s="446" t="inlineStr">
        <is>
          <t>Vacant</t>
        </is>
      </c>
      <c r="J443" s="552" t="n"/>
      <c r="K443" s="446" t="inlineStr">
        <is>
          <t>-</t>
        </is>
      </c>
      <c r="L443" s="24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554" t="n"/>
      <c r="B444" s="554" t="n"/>
      <c r="C444" s="554" t="n"/>
      <c r="D444" s="554" t="n"/>
      <c r="E444" s="78" t="n"/>
      <c r="F444" s="32" t="inlineStr">
        <is>
          <t>Security Services</t>
        </is>
      </c>
      <c r="G444" s="446" t="inlineStr">
        <is>
          <t>-</t>
        </is>
      </c>
      <c r="H444" s="45" t="inlineStr">
        <is>
          <t>-</t>
        </is>
      </c>
      <c r="I444" s="446" t="inlineStr">
        <is>
          <t>Vacant</t>
        </is>
      </c>
      <c r="J444" s="552" t="n"/>
      <c r="K444" s="446" t="inlineStr">
        <is>
          <t>-</t>
        </is>
      </c>
      <c r="L444" s="314"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553" t="n"/>
      <c r="B445" s="553" t="n"/>
      <c r="C445" s="553" t="n"/>
      <c r="D445" s="553" t="n"/>
      <c r="E445" s="78" t="n"/>
      <c r="F445" s="32" t="inlineStr">
        <is>
          <t>Security Services</t>
        </is>
      </c>
      <c r="G445" s="446" t="inlineStr">
        <is>
          <t>-</t>
        </is>
      </c>
      <c r="H445" s="45" t="inlineStr">
        <is>
          <t>-</t>
        </is>
      </c>
      <c r="I445" s="446" t="inlineStr">
        <is>
          <t>Vacant</t>
        </is>
      </c>
      <c r="J445" s="552" t="n"/>
      <c r="K445" s="446" t="inlineStr">
        <is>
          <t>-</t>
        </is>
      </c>
      <c r="L445" s="24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26" t="inlineStr">
        <is>
          <t>Security Watchman/Guards</t>
        </is>
      </c>
      <c r="B446" s="439" t="n">
        <v>60</v>
      </c>
      <c r="C446" s="439">
        <f>COUNTIF(E446:E505,"&lt;&gt;")</f>
        <v/>
      </c>
      <c r="D446" s="439">
        <f>C446-B446</f>
        <v/>
      </c>
      <c r="E446" s="48" t="inlineStr">
        <is>
          <t>Ali Abdullah Alotaibi</t>
        </is>
      </c>
      <c r="F446" s="32" t="inlineStr">
        <is>
          <t>Security Services</t>
        </is>
      </c>
      <c r="G446" s="446" t="n">
        <v>703621</v>
      </c>
      <c r="H446" s="446" t="n">
        <v>1101816948</v>
      </c>
      <c r="I446" s="446" t="inlineStr">
        <is>
          <t>Approved</t>
        </is>
      </c>
      <c r="J446" s="551" t="n">
        <v>45624</v>
      </c>
      <c r="K446" s="446" t="inlineStr">
        <is>
          <t>FMCO</t>
        </is>
      </c>
      <c r="L446" s="114"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554" t="n"/>
      <c r="B447" s="554" t="n"/>
      <c r="C447" s="554" t="n"/>
      <c r="D447" s="554" t="n"/>
      <c r="E447" s="48" t="inlineStr">
        <is>
          <t>Bader Bandar Huwaymil</t>
        </is>
      </c>
      <c r="F447" s="32" t="inlineStr">
        <is>
          <t>Security Services</t>
        </is>
      </c>
      <c r="G447" s="446" t="n">
        <v>703798</v>
      </c>
      <c r="H447" s="446" t="n">
        <v>1127914636</v>
      </c>
      <c r="I447" s="446" t="inlineStr">
        <is>
          <t>Approved</t>
        </is>
      </c>
      <c r="J447" s="551" t="n">
        <v>45754</v>
      </c>
      <c r="K447" s="446" t="inlineStr">
        <is>
          <t>FMCO</t>
        </is>
      </c>
      <c r="L447" s="114"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554" t="n"/>
      <c r="B448" s="554" t="n"/>
      <c r="C448" s="554" t="n"/>
      <c r="D448" s="554" t="n"/>
      <c r="E448" s="48" t="inlineStr">
        <is>
          <t>Abdulaziz Abdullah Alguraini</t>
        </is>
      </c>
      <c r="F448" s="32" t="inlineStr">
        <is>
          <t>Security Services</t>
        </is>
      </c>
      <c r="G448" s="446" t="n">
        <v>703799</v>
      </c>
      <c r="H448" s="446" t="n">
        <v>1112756430</v>
      </c>
      <c r="I448" s="446" t="inlineStr">
        <is>
          <t>Approved</t>
        </is>
      </c>
      <c r="J448" s="551" t="n">
        <v>45754</v>
      </c>
      <c r="K448" s="446" t="inlineStr">
        <is>
          <t>FMCO</t>
        </is>
      </c>
      <c r="L448" s="114"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554" t="n"/>
      <c r="B449" s="554" t="n"/>
      <c r="C449" s="554" t="n"/>
      <c r="D449" s="554" t="n"/>
      <c r="E449" s="48" t="inlineStr">
        <is>
          <t>Musharbih Abdullah Qaysi</t>
        </is>
      </c>
      <c r="F449" s="32" t="inlineStr">
        <is>
          <t>Security Services</t>
        </is>
      </c>
      <c r="G449" s="446" t="n">
        <v>703800</v>
      </c>
      <c r="H449" s="446" t="n">
        <v>1131196774</v>
      </c>
      <c r="I449" s="446" t="inlineStr">
        <is>
          <t>Approved</t>
        </is>
      </c>
      <c r="J449" s="551" t="n">
        <v>45754</v>
      </c>
      <c r="K449" s="446" t="inlineStr">
        <is>
          <t>FMCO</t>
        </is>
      </c>
      <c r="L449" s="114"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554" t="n"/>
      <c r="B450" s="554" t="n"/>
      <c r="C450" s="554" t="n"/>
      <c r="D450" s="554" t="n"/>
      <c r="E450" s="48" t="inlineStr">
        <is>
          <t>Khulud Ali Alsahli</t>
        </is>
      </c>
      <c r="F450" s="32" t="inlineStr">
        <is>
          <t>Security Services</t>
        </is>
      </c>
      <c r="G450" s="446" t="n">
        <v>703864</v>
      </c>
      <c r="H450" s="446" t="n">
        <v>1112246853</v>
      </c>
      <c r="I450" s="446" t="inlineStr">
        <is>
          <t>Approved</t>
        </is>
      </c>
      <c r="J450" s="551" t="n">
        <v>45824</v>
      </c>
      <c r="K450" s="446" t="inlineStr">
        <is>
          <t>FMCO</t>
        </is>
      </c>
      <c r="L450" s="114"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554" t="n"/>
      <c r="B451" s="554" t="n"/>
      <c r="C451" s="554" t="n"/>
      <c r="D451" s="554" t="n"/>
      <c r="E451" s="48" t="inlineStr">
        <is>
          <t>Rajeh Zaid Alqahtani</t>
        </is>
      </c>
      <c r="F451" s="32" t="inlineStr">
        <is>
          <t>Security Services</t>
        </is>
      </c>
      <c r="G451" s="446" t="n">
        <v>703880</v>
      </c>
      <c r="H451" s="446" t="n">
        <v>1138956238</v>
      </c>
      <c r="I451" s="446" t="inlineStr">
        <is>
          <t>Approved</t>
        </is>
      </c>
      <c r="J451" s="551" t="n">
        <v>45844</v>
      </c>
      <c r="K451" s="446" t="inlineStr">
        <is>
          <t>FMCO</t>
        </is>
      </c>
      <c r="L451" s="114"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554" t="n"/>
      <c r="B452" s="554" t="n"/>
      <c r="C452" s="554" t="n"/>
      <c r="D452" s="554" t="n"/>
      <c r="E452" s="48" t="inlineStr">
        <is>
          <t>Muhannad Saeed Alawaji</t>
        </is>
      </c>
      <c r="F452" s="32" t="inlineStr">
        <is>
          <t>Security Services</t>
        </is>
      </c>
      <c r="G452" s="446" t="n">
        <v>704008</v>
      </c>
      <c r="H452" s="446" t="n">
        <v>1123076620</v>
      </c>
      <c r="I452" s="446" t="inlineStr">
        <is>
          <t>Approved</t>
        </is>
      </c>
      <c r="J452" s="551" t="n">
        <v>45904</v>
      </c>
      <c r="K452" s="446" t="inlineStr">
        <is>
          <t>FMCO</t>
        </is>
      </c>
      <c r="L452" s="114"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554" t="n"/>
      <c r="B453" s="554" t="n"/>
      <c r="C453" s="554" t="n"/>
      <c r="D453" s="554" t="n"/>
      <c r="E453" s="48" t="inlineStr">
        <is>
          <t>Abdulaziz Rashed Alghuwainem</t>
        </is>
      </c>
      <c r="F453" s="32" t="inlineStr">
        <is>
          <t>Security Services</t>
        </is>
      </c>
      <c r="G453" s="446" t="n">
        <v>704012</v>
      </c>
      <c r="H453" s="446" t="n">
        <v>1064467945</v>
      </c>
      <c r="I453" s="446" t="inlineStr">
        <is>
          <t>Approved</t>
        </is>
      </c>
      <c r="J453" s="551" t="n">
        <v>45904</v>
      </c>
      <c r="K453" s="446" t="inlineStr">
        <is>
          <t>FMCO</t>
        </is>
      </c>
      <c r="L453" s="114"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554" t="n"/>
      <c r="B454" s="554" t="n"/>
      <c r="C454" s="554" t="n"/>
      <c r="D454" s="554" t="n"/>
      <c r="E454" s="48" t="inlineStr">
        <is>
          <t>Ali Mohsen Al Qahtani</t>
        </is>
      </c>
      <c r="F454" s="32" t="inlineStr">
        <is>
          <t>Security Services</t>
        </is>
      </c>
      <c r="G454" s="446" t="n">
        <v>703762</v>
      </c>
      <c r="H454" s="446" t="n">
        <v>1135809059</v>
      </c>
      <c r="I454" s="446" t="inlineStr">
        <is>
          <t>Approved</t>
        </is>
      </c>
      <c r="J454" s="551" t="n">
        <v>45704</v>
      </c>
      <c r="K454" s="446" t="inlineStr">
        <is>
          <t>FMCO</t>
        </is>
      </c>
      <c r="L454" s="114"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554" t="n"/>
      <c r="B455" s="554" t="n"/>
      <c r="C455" s="554" t="n"/>
      <c r="D455" s="554" t="n"/>
      <c r="E455" s="48" t="inlineStr">
        <is>
          <t>Abdullah Ahmed Qaysi</t>
        </is>
      </c>
      <c r="F455" s="32" t="inlineStr">
        <is>
          <t>Security Services</t>
        </is>
      </c>
      <c r="G455" s="446" t="n">
        <v>704015</v>
      </c>
      <c r="H455" s="446" t="n">
        <v>1136433693</v>
      </c>
      <c r="I455" s="446" t="inlineStr">
        <is>
          <t>Approved</t>
        </is>
      </c>
      <c r="J455" s="551" t="n">
        <v>45904</v>
      </c>
      <c r="K455" s="446" t="inlineStr">
        <is>
          <t>FMCO</t>
        </is>
      </c>
      <c r="L455" s="114"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554" t="n"/>
      <c r="B456" s="554" t="n"/>
      <c r="C456" s="554" t="n"/>
      <c r="D456" s="554" t="n"/>
      <c r="E456" s="48" t="inlineStr">
        <is>
          <t>Osama Mohammed Gesi</t>
        </is>
      </c>
      <c r="F456" s="32" t="inlineStr">
        <is>
          <t>Security Services</t>
        </is>
      </c>
      <c r="G456" s="446" t="n">
        <v>704038</v>
      </c>
      <c r="H456" s="446" t="n">
        <v>1130820374</v>
      </c>
      <c r="I456" s="446" t="inlineStr">
        <is>
          <t>Approved</t>
        </is>
      </c>
      <c r="J456" s="551" t="n">
        <v>45949</v>
      </c>
      <c r="K456" s="446" t="inlineStr">
        <is>
          <t>FMCO</t>
        </is>
      </c>
      <c r="L456" s="114"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554" t="n"/>
      <c r="B457" s="554" t="n"/>
      <c r="C457" s="554" t="n"/>
      <c r="D457" s="554" t="n"/>
      <c r="E457" s="48" t="inlineStr">
        <is>
          <t>Waled Khalid Alawaji</t>
        </is>
      </c>
      <c r="F457" s="32" t="inlineStr">
        <is>
          <t>Security Services</t>
        </is>
      </c>
      <c r="G457" s="446" t="n">
        <v>704040</v>
      </c>
      <c r="H457" s="446" t="n">
        <v>1113088007</v>
      </c>
      <c r="I457" s="446" t="inlineStr">
        <is>
          <t>Approved</t>
        </is>
      </c>
      <c r="J457" s="551" t="n">
        <v>45952</v>
      </c>
      <c r="K457" s="446" t="inlineStr">
        <is>
          <t>FMCO</t>
        </is>
      </c>
      <c r="L457" s="114"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554" t="n"/>
      <c r="B458" s="554" t="n"/>
      <c r="C458" s="554" t="n"/>
      <c r="D458" s="554" t="n"/>
      <c r="E458" s="48" t="inlineStr">
        <is>
          <t>Mohammed Ali Albishi</t>
        </is>
      </c>
      <c r="F458" s="32" t="inlineStr">
        <is>
          <t>Security Services</t>
        </is>
      </c>
      <c r="G458" s="446" t="n">
        <v>704051</v>
      </c>
      <c r="H458" s="446" t="n">
        <v>1120126956</v>
      </c>
      <c r="I458" s="446" t="inlineStr">
        <is>
          <t>Approved</t>
        </is>
      </c>
      <c r="J458" s="551" t="n">
        <v>45972</v>
      </c>
      <c r="K458" s="446" t="inlineStr">
        <is>
          <t>FMCO</t>
        </is>
      </c>
      <c r="L458" s="114"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554" t="n"/>
      <c r="B459" s="554" t="n"/>
      <c r="C459" s="554" t="n"/>
      <c r="D459" s="554" t="n"/>
      <c r="E459" s="48" t="inlineStr">
        <is>
          <t>Fahad Salman Alqahtani</t>
        </is>
      </c>
      <c r="F459" s="32" t="inlineStr">
        <is>
          <t>Security Services</t>
        </is>
      </c>
      <c r="G459" s="446" t="n">
        <v>704053</v>
      </c>
      <c r="H459" s="446" t="n">
        <v>1114766270</v>
      </c>
      <c r="I459" s="446" t="inlineStr">
        <is>
          <t>Approved</t>
        </is>
      </c>
      <c r="J459" s="551" t="n">
        <v>45972</v>
      </c>
      <c r="K459" s="446" t="inlineStr">
        <is>
          <t>FMCO</t>
        </is>
      </c>
      <c r="L459" s="114"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554" t="n"/>
      <c r="B460" s="554" t="n"/>
      <c r="C460" s="554" t="n"/>
      <c r="D460" s="554" t="n"/>
      <c r="E460" s="48" t="inlineStr">
        <is>
          <t>Abdullah Turki Alhomidi</t>
        </is>
      </c>
      <c r="F460" s="32" t="inlineStr">
        <is>
          <t>Security Services</t>
        </is>
      </c>
      <c r="G460" s="446" t="n">
        <v>704129</v>
      </c>
      <c r="H460" s="446" t="n">
        <v>1151168398</v>
      </c>
      <c r="I460" s="446" t="inlineStr">
        <is>
          <t>Approved</t>
        </is>
      </c>
      <c r="J460" s="551" t="n">
        <v>46047</v>
      </c>
      <c r="K460" s="446" t="inlineStr">
        <is>
          <t>FMCO</t>
        </is>
      </c>
      <c r="L460" s="114"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554" t="n"/>
      <c r="B461" s="554" t="n"/>
      <c r="C461" s="554" t="n"/>
      <c r="D461" s="554" t="n"/>
      <c r="E461" s="48" t="inlineStr">
        <is>
          <t>Farraj Fahhad Aldawsari</t>
        </is>
      </c>
      <c r="F461" s="32" t="inlineStr">
        <is>
          <t>Security Services</t>
        </is>
      </c>
      <c r="G461" s="446" t="n">
        <v>704116</v>
      </c>
      <c r="H461" s="446" t="n">
        <v>1053845432</v>
      </c>
      <c r="I461" s="446" t="inlineStr">
        <is>
          <t>Approved</t>
        </is>
      </c>
      <c r="J461" s="551" t="n">
        <v>46044</v>
      </c>
      <c r="K461" s="446" t="inlineStr">
        <is>
          <t>FMCO</t>
        </is>
      </c>
      <c r="L461" s="114"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554" t="n"/>
      <c r="B462" s="554" t="n"/>
      <c r="C462" s="554" t="n"/>
      <c r="D462" s="554" t="n"/>
      <c r="E462" s="48" t="inlineStr">
        <is>
          <t>Khalaf Abdullah Alhababi</t>
        </is>
      </c>
      <c r="F462" s="32" t="inlineStr">
        <is>
          <t>Security Services</t>
        </is>
      </c>
      <c r="G462" s="446" t="n">
        <v>704118</v>
      </c>
      <c r="H462" s="446" t="n">
        <v>1090198001</v>
      </c>
      <c r="I462" s="446" t="inlineStr">
        <is>
          <t>Approved</t>
        </is>
      </c>
      <c r="J462" s="551" t="n">
        <v>46047</v>
      </c>
      <c r="K462" s="446" t="inlineStr">
        <is>
          <t>FMCO</t>
        </is>
      </c>
      <c r="L462" s="114"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554" t="n"/>
      <c r="B463" s="554" t="n"/>
      <c r="C463" s="554" t="n"/>
      <c r="D463" s="554" t="n"/>
      <c r="E463" s="48" t="inlineStr">
        <is>
          <t>Abdullah Salem Gharib Al-Qahtani</t>
        </is>
      </c>
      <c r="F463" s="32" t="inlineStr">
        <is>
          <t>Security Services</t>
        </is>
      </c>
      <c r="G463" s="446" t="n">
        <v>704228</v>
      </c>
      <c r="H463" s="446" t="n">
        <v>1124766575</v>
      </c>
      <c r="I463" s="446" t="inlineStr">
        <is>
          <t>Approved</t>
        </is>
      </c>
      <c r="J463" s="551" t="n">
        <v>46131</v>
      </c>
      <c r="K463" s="446" t="inlineStr">
        <is>
          <t>FMCO</t>
        </is>
      </c>
      <c r="L463" s="114"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554" t="n"/>
      <c r="B464" s="554" t="n"/>
      <c r="C464" s="554" t="n"/>
      <c r="D464" s="554" t="n"/>
      <c r="E464" s="48" t="inlineStr">
        <is>
          <t>Sultan Thaar Alqahtani</t>
        </is>
      </c>
      <c r="F464" s="32" t="inlineStr">
        <is>
          <t>Security Services</t>
        </is>
      </c>
      <c r="G464" s="446" t="n">
        <v>704220</v>
      </c>
      <c r="H464" s="446" t="n">
        <v>1134981719</v>
      </c>
      <c r="I464" s="446" t="inlineStr">
        <is>
          <t>Approved</t>
        </is>
      </c>
      <c r="J464" s="551" t="n">
        <v>46131</v>
      </c>
      <c r="K464" s="446" t="inlineStr">
        <is>
          <t>FMCO</t>
        </is>
      </c>
      <c r="L464" s="114"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554" t="n"/>
      <c r="B465" s="554" t="n"/>
      <c r="C465" s="554" t="n"/>
      <c r="D465" s="554" t="n"/>
      <c r="E465" s="48" t="inlineStr">
        <is>
          <t>Saeed Rashed Alqahtani</t>
        </is>
      </c>
      <c r="F465" s="32" t="inlineStr">
        <is>
          <t>Security Services</t>
        </is>
      </c>
      <c r="G465" s="446" t="n">
        <v>704218</v>
      </c>
      <c r="H465" s="446" t="n">
        <v>1137221816</v>
      </c>
      <c r="I465" s="446" t="inlineStr">
        <is>
          <t>Approved</t>
        </is>
      </c>
      <c r="J465" s="551" t="n">
        <v>46131</v>
      </c>
      <c r="K465" s="446" t="inlineStr">
        <is>
          <t>FMCO</t>
        </is>
      </c>
      <c r="L465" s="114"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554" t="n"/>
      <c r="B466" s="554" t="n"/>
      <c r="C466" s="554" t="n"/>
      <c r="D466" s="554" t="n"/>
      <c r="E466" s="48" t="inlineStr">
        <is>
          <t>Saad Mohammed Alqahtani</t>
        </is>
      </c>
      <c r="F466" s="32" t="inlineStr">
        <is>
          <t>Security Services</t>
        </is>
      </c>
      <c r="G466" s="446" t="n">
        <v>704221</v>
      </c>
      <c r="H466" s="446" t="n">
        <v>1148193673</v>
      </c>
      <c r="I466" s="446" t="inlineStr">
        <is>
          <t>Approved</t>
        </is>
      </c>
      <c r="J466" s="551" t="n">
        <v>46131</v>
      </c>
      <c r="K466" s="446" t="inlineStr">
        <is>
          <t>FMCO</t>
        </is>
      </c>
      <c r="L466" s="114"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554" t="n"/>
      <c r="B467" s="554" t="n"/>
      <c r="C467" s="554" t="n"/>
      <c r="D467" s="554" t="n"/>
      <c r="E467" s="48" t="inlineStr">
        <is>
          <t>Mushabbab Theed Alqahtani</t>
        </is>
      </c>
      <c r="F467" s="32" t="inlineStr">
        <is>
          <t>Security Services</t>
        </is>
      </c>
      <c r="G467" s="446" t="n">
        <v>704288</v>
      </c>
      <c r="H467" s="446" t="n">
        <v>1109520047</v>
      </c>
      <c r="I467" s="446" t="inlineStr">
        <is>
          <t>Approved</t>
        </is>
      </c>
      <c r="J467" s="551" t="n">
        <v>46131</v>
      </c>
      <c r="K467" s="446" t="inlineStr">
        <is>
          <t>FMCO</t>
        </is>
      </c>
      <c r="L467" s="114"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554" t="n"/>
      <c r="B468" s="554" t="n"/>
      <c r="C468" s="554" t="n"/>
      <c r="D468" s="554" t="n"/>
      <c r="E468" s="48" t="inlineStr">
        <is>
          <t>Mubarak Saad Alqahtani</t>
        </is>
      </c>
      <c r="F468" s="32" t="inlineStr">
        <is>
          <t>Security Services</t>
        </is>
      </c>
      <c r="G468" s="446" t="n">
        <v>704223</v>
      </c>
      <c r="H468" s="446" t="n">
        <v>1126215910</v>
      </c>
      <c r="I468" s="446" t="inlineStr">
        <is>
          <t>Approved</t>
        </is>
      </c>
      <c r="J468" s="551" t="n">
        <v>46131</v>
      </c>
      <c r="K468" s="446" t="inlineStr">
        <is>
          <t>FMCO</t>
        </is>
      </c>
      <c r="L468" s="114"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554" t="n"/>
      <c r="B469" s="554" t="n"/>
      <c r="C469" s="554" t="n"/>
      <c r="D469" s="554" t="n"/>
      <c r="E469" s="48" t="inlineStr">
        <is>
          <t>Mohammed Zaben Alotaibi</t>
        </is>
      </c>
      <c r="F469" s="32" t="inlineStr">
        <is>
          <t>Security Services</t>
        </is>
      </c>
      <c r="G469" s="446" t="n">
        <v>704224</v>
      </c>
      <c r="H469" s="446" t="n">
        <v>1134869005</v>
      </c>
      <c r="I469" s="446" t="inlineStr">
        <is>
          <t>Approved</t>
        </is>
      </c>
      <c r="J469" s="551" t="n">
        <v>46131</v>
      </c>
      <c r="K469" s="446" t="inlineStr">
        <is>
          <t>FMCO</t>
        </is>
      </c>
      <c r="L469" s="114"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554" t="n"/>
      <c r="B470" s="554" t="n"/>
      <c r="C470" s="554" t="n"/>
      <c r="D470" s="554" t="n"/>
      <c r="E470" s="48" t="inlineStr">
        <is>
          <t>Abdullah Saad Almutairi</t>
        </is>
      </c>
      <c r="F470" s="32" t="inlineStr">
        <is>
          <t>Security Services</t>
        </is>
      </c>
      <c r="G470" s="446" t="n">
        <v>704227</v>
      </c>
      <c r="H470" s="446" t="n">
        <v>1130326497</v>
      </c>
      <c r="I470" s="446" t="inlineStr">
        <is>
          <t>Approved</t>
        </is>
      </c>
      <c r="J470" s="551" t="n">
        <v>46131</v>
      </c>
      <c r="K470" s="446" t="inlineStr">
        <is>
          <t>FMCO</t>
        </is>
      </c>
      <c r="L470" s="114"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554" t="n"/>
      <c r="B471" s="554" t="n"/>
      <c r="C471" s="554" t="n"/>
      <c r="D471" s="554" t="n"/>
      <c r="E471" s="48" t="inlineStr">
        <is>
          <t>Sultan Thaar Alqahtani</t>
        </is>
      </c>
      <c r="F471" s="32" t="inlineStr">
        <is>
          <t>Security Services</t>
        </is>
      </c>
      <c r="G471" s="446" t="n">
        <v>704220</v>
      </c>
      <c r="H471" s="446" t="n">
        <v>1134981718</v>
      </c>
      <c r="I471" s="446" t="inlineStr">
        <is>
          <t>Approved</t>
        </is>
      </c>
      <c r="J471" s="551" t="n">
        <v>46131</v>
      </c>
      <c r="K471" s="446" t="inlineStr">
        <is>
          <t>FMCO</t>
        </is>
      </c>
      <c r="L471" s="114"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554" t="n"/>
      <c r="B472" s="554" t="n"/>
      <c r="C472" s="554" t="n"/>
      <c r="D472" s="554" t="n"/>
      <c r="E472" s="48" t="inlineStr">
        <is>
          <t>Khalid Fayih Al Otaibi</t>
        </is>
      </c>
      <c r="F472" s="32" t="inlineStr">
        <is>
          <t>Security Services</t>
        </is>
      </c>
      <c r="G472" s="446" t="n">
        <v>704308</v>
      </c>
      <c r="H472" s="446" t="n">
        <v>1109213700</v>
      </c>
      <c r="I472" s="446" t="inlineStr">
        <is>
          <t>Approved</t>
        </is>
      </c>
      <c r="J472" s="551" t="n">
        <v>46182</v>
      </c>
      <c r="K472" s="446" t="inlineStr">
        <is>
          <t>FMCO</t>
        </is>
      </c>
      <c r="L472" s="114"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554" t="n"/>
      <c r="B473" s="554" t="n"/>
      <c r="C473" s="554" t="n"/>
      <c r="D473" s="554" t="n"/>
      <c r="E473" s="48" t="inlineStr">
        <is>
          <t>Munahi Ayidh Al Qahtani</t>
        </is>
      </c>
      <c r="F473" s="32" t="inlineStr">
        <is>
          <t>Security Services</t>
        </is>
      </c>
      <c r="G473" s="446" t="n">
        <v>704309</v>
      </c>
      <c r="H473" s="446" t="n">
        <v>1139065393</v>
      </c>
      <c r="I473" s="446" t="inlineStr">
        <is>
          <t>Approved</t>
        </is>
      </c>
      <c r="J473" s="551" t="n">
        <v>46182</v>
      </c>
      <c r="K473" s="446" t="inlineStr">
        <is>
          <t>FMCO</t>
        </is>
      </c>
      <c r="L473" s="114"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554" t="n"/>
      <c r="B474" s="554" t="n"/>
      <c r="C474" s="554" t="n"/>
      <c r="D474" s="554" t="n"/>
      <c r="E474" s="48" t="inlineStr">
        <is>
          <t>Fahad Moghib Al Otaibi</t>
        </is>
      </c>
      <c r="F474" s="32" t="inlineStr">
        <is>
          <t>Security Services</t>
        </is>
      </c>
      <c r="G474" s="446" t="n">
        <v>704310</v>
      </c>
      <c r="H474" s="446" t="n">
        <v>1123085076</v>
      </c>
      <c r="I474" s="446" t="inlineStr">
        <is>
          <t>Approved</t>
        </is>
      </c>
      <c r="J474" s="551" t="n">
        <v>46182</v>
      </c>
      <c r="K474" s="446" t="inlineStr">
        <is>
          <t>FMCO</t>
        </is>
      </c>
      <c r="L474" s="114"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554" t="n"/>
      <c r="B475" s="554" t="n"/>
      <c r="C475" s="554" t="n"/>
      <c r="D475" s="554" t="n"/>
      <c r="E475" s="48" t="inlineStr">
        <is>
          <t>Meshal Mohammed Al Dajani</t>
        </is>
      </c>
      <c r="F475" s="32" t="inlineStr">
        <is>
          <t>Security Services</t>
        </is>
      </c>
      <c r="G475" s="446" t="n">
        <v>704313</v>
      </c>
      <c r="H475" s="446" t="n">
        <v>1122811019</v>
      </c>
      <c r="I475" s="446" t="inlineStr">
        <is>
          <t>Approved</t>
        </is>
      </c>
      <c r="J475" s="551" t="n">
        <v>46182</v>
      </c>
      <c r="K475" s="446" t="inlineStr">
        <is>
          <t>FMCO</t>
        </is>
      </c>
      <c r="L475" s="114"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554" t="n"/>
      <c r="B476" s="554" t="n"/>
      <c r="C476" s="554" t="n"/>
      <c r="D476" s="554" t="n"/>
      <c r="E476" s="48" t="inlineStr">
        <is>
          <t>Ibrahim Fahad Al Haydhal</t>
        </is>
      </c>
      <c r="F476" s="32" t="inlineStr">
        <is>
          <t>Security Services</t>
        </is>
      </c>
      <c r="G476" s="446" t="n">
        <v>704314</v>
      </c>
      <c r="H476" s="446" t="n">
        <v>1077847042</v>
      </c>
      <c r="I476" s="446" t="inlineStr">
        <is>
          <t>Approved</t>
        </is>
      </c>
      <c r="J476" s="551" t="n">
        <v>46182</v>
      </c>
      <c r="K476" s="446" t="inlineStr">
        <is>
          <t>FMCO</t>
        </is>
      </c>
      <c r="L476" s="114"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554" t="n"/>
      <c r="B477" s="554" t="n"/>
      <c r="C477" s="554" t="n"/>
      <c r="D477" s="554" t="n"/>
      <c r="E477" s="48" t="inlineStr">
        <is>
          <t>Salman Faez Al Otaibi</t>
        </is>
      </c>
      <c r="F477" s="32" t="inlineStr">
        <is>
          <t>Security Services</t>
        </is>
      </c>
      <c r="G477" s="446" t="n">
        <v>704315</v>
      </c>
      <c r="H477" s="446" t="n">
        <v>1195428014</v>
      </c>
      <c r="I477" s="446" t="inlineStr">
        <is>
          <t>Approved</t>
        </is>
      </c>
      <c r="J477" s="551" t="n">
        <v>46182</v>
      </c>
      <c r="K477" s="446" t="inlineStr">
        <is>
          <t>FMCO</t>
        </is>
      </c>
      <c r="L477" s="114"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554" t="n"/>
      <c r="B478" s="554" t="n"/>
      <c r="C478" s="554" t="n"/>
      <c r="D478" s="554" t="n"/>
      <c r="E478" s="48" t="inlineStr">
        <is>
          <t>Abdulaziz Mohammed Al Otaibi</t>
        </is>
      </c>
      <c r="F478" s="32" t="inlineStr">
        <is>
          <t>Security Services</t>
        </is>
      </c>
      <c r="G478" s="446" t="n">
        <v>704316</v>
      </c>
      <c r="H478" s="446" t="n">
        <v>1140669597</v>
      </c>
      <c r="I478" s="446" t="inlineStr">
        <is>
          <t>Approved</t>
        </is>
      </c>
      <c r="J478" s="551" t="n">
        <v>46182</v>
      </c>
      <c r="K478" s="446" t="inlineStr">
        <is>
          <t>FMCO</t>
        </is>
      </c>
      <c r="L478" s="114"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554" t="n"/>
      <c r="B479" s="554" t="n"/>
      <c r="C479" s="554" t="n"/>
      <c r="D479" s="554" t="n"/>
      <c r="E479" s="48" t="inlineStr">
        <is>
          <t>Saif Ayedh Al Otaibi</t>
        </is>
      </c>
      <c r="F479" s="32" t="inlineStr">
        <is>
          <t>Security Services</t>
        </is>
      </c>
      <c r="G479" s="446" t="n">
        <v>704318</v>
      </c>
      <c r="H479" s="446" t="n">
        <v>1094580071</v>
      </c>
      <c r="I479" s="446" t="inlineStr">
        <is>
          <t>Approved</t>
        </is>
      </c>
      <c r="J479" s="551" t="n">
        <v>46182</v>
      </c>
      <c r="K479" s="446" t="inlineStr">
        <is>
          <t>FMCO</t>
        </is>
      </c>
      <c r="L479" s="114"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554" t="n"/>
      <c r="B480" s="554" t="n"/>
      <c r="C480" s="554" t="n"/>
      <c r="D480" s="554" t="n"/>
      <c r="E480" s="48" t="inlineStr">
        <is>
          <t>Mohammad Nasser Aldossari</t>
        </is>
      </c>
      <c r="F480" s="32" t="inlineStr">
        <is>
          <t>Security Services</t>
        </is>
      </c>
      <c r="G480" s="446" t="n">
        <v>704339</v>
      </c>
      <c r="H480" s="446" t="n">
        <v>1131664060</v>
      </c>
      <c r="I480" s="446" t="inlineStr">
        <is>
          <t>Approved</t>
        </is>
      </c>
      <c r="J480" s="551" t="n">
        <v>46195</v>
      </c>
      <c r="K480" s="446" t="inlineStr">
        <is>
          <t>FMCO</t>
        </is>
      </c>
      <c r="L480" s="114"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554" t="n"/>
      <c r="B481" s="554" t="n"/>
      <c r="C481" s="554" t="n"/>
      <c r="D481" s="554" t="n"/>
      <c r="E481" s="88" t="n"/>
      <c r="F481" s="32" t="inlineStr">
        <is>
          <t>Security Services</t>
        </is>
      </c>
      <c r="G481" s="116" t="inlineStr">
        <is>
          <t>-</t>
        </is>
      </c>
      <c r="H481" s="116" t="inlineStr">
        <is>
          <t>-</t>
        </is>
      </c>
      <c r="I481" s="446" t="inlineStr">
        <is>
          <t>Vacant</t>
        </is>
      </c>
      <c r="J481" s="559" t="n"/>
      <c r="K481" s="446" t="inlineStr">
        <is>
          <t>-</t>
        </is>
      </c>
      <c r="L481" s="114"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554" t="n"/>
      <c r="B482" s="554" t="n"/>
      <c r="C482" s="554" t="n"/>
      <c r="D482" s="554" t="n"/>
      <c r="E482" s="88" t="n"/>
      <c r="F482" s="32" t="inlineStr">
        <is>
          <t>Security Services</t>
        </is>
      </c>
      <c r="G482" s="116" t="inlineStr">
        <is>
          <t>-</t>
        </is>
      </c>
      <c r="H482" s="116" t="inlineStr">
        <is>
          <t>-</t>
        </is>
      </c>
      <c r="I482" s="446" t="inlineStr">
        <is>
          <t>Vacant</t>
        </is>
      </c>
      <c r="J482" s="559" t="n"/>
      <c r="K482" s="446" t="inlineStr">
        <is>
          <t>-</t>
        </is>
      </c>
      <c r="L482" s="114"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554" t="n"/>
      <c r="B483" s="554" t="n"/>
      <c r="C483" s="554" t="n"/>
      <c r="D483" s="554" t="n"/>
      <c r="E483" s="88" t="n"/>
      <c r="F483" s="32" t="inlineStr">
        <is>
          <t>Security Services</t>
        </is>
      </c>
      <c r="G483" s="116" t="inlineStr">
        <is>
          <t>-</t>
        </is>
      </c>
      <c r="H483" s="116" t="inlineStr">
        <is>
          <t>-</t>
        </is>
      </c>
      <c r="I483" s="446" t="inlineStr">
        <is>
          <t>Vacant</t>
        </is>
      </c>
      <c r="J483" s="559" t="n"/>
      <c r="K483" s="446" t="inlineStr">
        <is>
          <t>-</t>
        </is>
      </c>
      <c r="L483" s="114"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554" t="n"/>
      <c r="B484" s="554" t="n"/>
      <c r="C484" s="554" t="n"/>
      <c r="D484" s="554" t="n"/>
      <c r="E484" s="88" t="n"/>
      <c r="F484" s="32" t="inlineStr">
        <is>
          <t>Security Services</t>
        </is>
      </c>
      <c r="G484" s="116" t="inlineStr">
        <is>
          <t>-</t>
        </is>
      </c>
      <c r="H484" s="116" t="inlineStr">
        <is>
          <t>-</t>
        </is>
      </c>
      <c r="I484" s="446" t="inlineStr">
        <is>
          <t>Vacant</t>
        </is>
      </c>
      <c r="J484" s="559" t="n"/>
      <c r="K484" s="446" t="inlineStr">
        <is>
          <t>-</t>
        </is>
      </c>
      <c r="L484" s="114"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554" t="n"/>
      <c r="B485" s="554" t="n"/>
      <c r="C485" s="554" t="n"/>
      <c r="D485" s="554" t="n"/>
      <c r="E485" s="115" t="n"/>
      <c r="F485" s="32" t="inlineStr">
        <is>
          <t>Security Services</t>
        </is>
      </c>
      <c r="G485" s="116" t="inlineStr">
        <is>
          <t>-</t>
        </is>
      </c>
      <c r="H485" s="116" t="inlineStr">
        <is>
          <t>-</t>
        </is>
      </c>
      <c r="I485" s="446" t="inlineStr">
        <is>
          <t>Vacant</t>
        </is>
      </c>
      <c r="J485" s="552" t="n"/>
      <c r="K485" s="446" t="inlineStr">
        <is>
          <t>-</t>
        </is>
      </c>
      <c r="L485" s="114"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554" t="n"/>
      <c r="B486" s="554" t="n"/>
      <c r="C486" s="554" t="n"/>
      <c r="D486" s="554" t="n"/>
      <c r="E486" s="115" t="n"/>
      <c r="F486" s="32" t="inlineStr">
        <is>
          <t>Security Services</t>
        </is>
      </c>
      <c r="G486" s="116" t="inlineStr">
        <is>
          <t>-</t>
        </is>
      </c>
      <c r="H486" s="116" t="inlineStr">
        <is>
          <t>-</t>
        </is>
      </c>
      <c r="I486" s="446" t="inlineStr">
        <is>
          <t>Vacant</t>
        </is>
      </c>
      <c r="J486" s="552" t="n"/>
      <c r="K486" s="446" t="inlineStr">
        <is>
          <t>-</t>
        </is>
      </c>
      <c r="L486" s="114"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554" t="n"/>
      <c r="B487" s="554" t="n"/>
      <c r="C487" s="554" t="n"/>
      <c r="D487" s="554" t="n"/>
      <c r="E487" s="115" t="n"/>
      <c r="F487" s="32" t="inlineStr">
        <is>
          <t>Security Services</t>
        </is>
      </c>
      <c r="G487" s="116" t="inlineStr">
        <is>
          <t>-</t>
        </is>
      </c>
      <c r="H487" s="116" t="inlineStr">
        <is>
          <t>-</t>
        </is>
      </c>
      <c r="I487" s="446" t="inlineStr">
        <is>
          <t>Vacant</t>
        </is>
      </c>
      <c r="J487" s="552" t="n"/>
      <c r="K487" s="446" t="inlineStr">
        <is>
          <t>-</t>
        </is>
      </c>
      <c r="L487" s="114"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554" t="n"/>
      <c r="B488" s="554" t="n"/>
      <c r="C488" s="554" t="n"/>
      <c r="D488" s="554" t="n"/>
      <c r="E488" s="115" t="n"/>
      <c r="F488" s="32" t="inlineStr">
        <is>
          <t>Security Services</t>
        </is>
      </c>
      <c r="G488" s="116" t="inlineStr">
        <is>
          <t>-</t>
        </is>
      </c>
      <c r="H488" s="116" t="inlineStr">
        <is>
          <t>-</t>
        </is>
      </c>
      <c r="I488" s="446" t="inlineStr">
        <is>
          <t>Vacant</t>
        </is>
      </c>
      <c r="J488" s="552" t="n"/>
      <c r="K488" s="446" t="inlineStr">
        <is>
          <t>-</t>
        </is>
      </c>
      <c r="L488" s="114"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554" t="n"/>
      <c r="B489" s="554" t="n"/>
      <c r="C489" s="554" t="n"/>
      <c r="D489" s="554" t="n"/>
      <c r="E489" s="115" t="n"/>
      <c r="F489" s="32" t="inlineStr">
        <is>
          <t>Security Services</t>
        </is>
      </c>
      <c r="G489" s="116" t="inlineStr">
        <is>
          <t>-</t>
        </is>
      </c>
      <c r="H489" s="116" t="inlineStr">
        <is>
          <t>-</t>
        </is>
      </c>
      <c r="I489" s="446" t="inlineStr">
        <is>
          <t>Vacant</t>
        </is>
      </c>
      <c r="J489" s="552" t="n"/>
      <c r="K489" s="446" t="inlineStr">
        <is>
          <t>-</t>
        </is>
      </c>
      <c r="L489" s="114"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554" t="n"/>
      <c r="B490" s="554" t="n"/>
      <c r="C490" s="554" t="n"/>
      <c r="D490" s="554" t="n"/>
      <c r="E490" s="115" t="n"/>
      <c r="F490" s="32" t="inlineStr">
        <is>
          <t>Security Services</t>
        </is>
      </c>
      <c r="G490" s="116" t="inlineStr">
        <is>
          <t>-</t>
        </is>
      </c>
      <c r="H490" s="116" t="inlineStr">
        <is>
          <t>-</t>
        </is>
      </c>
      <c r="I490" s="446" t="inlineStr">
        <is>
          <t>Vacant</t>
        </is>
      </c>
      <c r="J490" s="552" t="n"/>
      <c r="K490" s="446" t="inlineStr">
        <is>
          <t>-</t>
        </is>
      </c>
      <c r="L490" s="114"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554" t="n"/>
      <c r="B491" s="554" t="n"/>
      <c r="C491" s="554" t="n"/>
      <c r="D491" s="554" t="n"/>
      <c r="E491" s="115" t="n"/>
      <c r="F491" s="32" t="inlineStr">
        <is>
          <t>Security Services</t>
        </is>
      </c>
      <c r="G491" s="116" t="inlineStr">
        <is>
          <t>-</t>
        </is>
      </c>
      <c r="H491" s="116" t="inlineStr">
        <is>
          <t>-</t>
        </is>
      </c>
      <c r="I491" s="446" t="inlineStr">
        <is>
          <t>Vacant</t>
        </is>
      </c>
      <c r="J491" s="552" t="n"/>
      <c r="K491" s="446" t="inlineStr">
        <is>
          <t>-</t>
        </is>
      </c>
      <c r="L491" s="114"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554" t="n"/>
      <c r="B492" s="554" t="n"/>
      <c r="C492" s="554" t="n"/>
      <c r="D492" s="554" t="n"/>
      <c r="E492" s="115" t="n"/>
      <c r="F492" s="32" t="inlineStr">
        <is>
          <t>Security Services</t>
        </is>
      </c>
      <c r="G492" s="116" t="inlineStr">
        <is>
          <t>-</t>
        </is>
      </c>
      <c r="H492" s="116" t="inlineStr">
        <is>
          <t>-</t>
        </is>
      </c>
      <c r="I492" s="446" t="inlineStr">
        <is>
          <t>Vacant</t>
        </is>
      </c>
      <c r="J492" s="552" t="n"/>
      <c r="K492" s="446" t="inlineStr">
        <is>
          <t>-</t>
        </is>
      </c>
      <c r="L492" s="114"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554" t="n"/>
      <c r="B493" s="554" t="n"/>
      <c r="C493" s="554" t="n"/>
      <c r="D493" s="554" t="n"/>
      <c r="E493" s="115" t="n"/>
      <c r="F493" s="32" t="inlineStr">
        <is>
          <t>Security Services</t>
        </is>
      </c>
      <c r="G493" s="116" t="inlineStr">
        <is>
          <t>-</t>
        </is>
      </c>
      <c r="H493" s="116" t="inlineStr">
        <is>
          <t>-</t>
        </is>
      </c>
      <c r="I493" s="446" t="inlineStr">
        <is>
          <t>Vacant</t>
        </is>
      </c>
      <c r="J493" s="552" t="n"/>
      <c r="K493" s="446" t="inlineStr">
        <is>
          <t>-</t>
        </is>
      </c>
      <c r="L493" s="114"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554" t="n"/>
      <c r="B494" s="554" t="n"/>
      <c r="C494" s="554" t="n"/>
      <c r="D494" s="554" t="n"/>
      <c r="E494" s="115" t="n"/>
      <c r="F494" s="32" t="inlineStr">
        <is>
          <t>Security Services</t>
        </is>
      </c>
      <c r="G494" s="116" t="inlineStr">
        <is>
          <t>-</t>
        </is>
      </c>
      <c r="H494" s="116" t="inlineStr">
        <is>
          <t>-</t>
        </is>
      </c>
      <c r="I494" s="446" t="inlineStr">
        <is>
          <t>Vacant</t>
        </is>
      </c>
      <c r="J494" s="552" t="n"/>
      <c r="K494" s="446" t="inlineStr">
        <is>
          <t>-</t>
        </is>
      </c>
      <c r="L494" s="114"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554" t="n"/>
      <c r="B495" s="554" t="n"/>
      <c r="C495" s="554" t="n"/>
      <c r="D495" s="554" t="n"/>
      <c r="E495" s="115" t="n"/>
      <c r="F495" s="32" t="inlineStr">
        <is>
          <t>Security Services</t>
        </is>
      </c>
      <c r="G495" s="116" t="inlineStr">
        <is>
          <t>-</t>
        </is>
      </c>
      <c r="H495" s="116" t="inlineStr">
        <is>
          <t>-</t>
        </is>
      </c>
      <c r="I495" s="446" t="inlineStr">
        <is>
          <t>Vacant</t>
        </is>
      </c>
      <c r="J495" s="552" t="n"/>
      <c r="K495" s="446" t="inlineStr">
        <is>
          <t>-</t>
        </is>
      </c>
      <c r="L495" s="114"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554" t="n"/>
      <c r="B496" s="554" t="n"/>
      <c r="C496" s="554" t="n"/>
      <c r="D496" s="554" t="n"/>
      <c r="E496" s="115" t="n"/>
      <c r="F496" s="32" t="inlineStr">
        <is>
          <t>Security Services</t>
        </is>
      </c>
      <c r="G496" s="116" t="inlineStr">
        <is>
          <t>-</t>
        </is>
      </c>
      <c r="H496" s="116" t="inlineStr">
        <is>
          <t>-</t>
        </is>
      </c>
      <c r="I496" s="446" t="inlineStr">
        <is>
          <t>Vacant</t>
        </is>
      </c>
      <c r="J496" s="552" t="n"/>
      <c r="K496" s="446" t="inlineStr">
        <is>
          <t>-</t>
        </is>
      </c>
      <c r="L496" s="114"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554" t="n"/>
      <c r="B497" s="554" t="n"/>
      <c r="C497" s="554" t="n"/>
      <c r="D497" s="554" t="n"/>
      <c r="E497" s="115" t="n"/>
      <c r="F497" s="32" t="inlineStr">
        <is>
          <t>Security Services</t>
        </is>
      </c>
      <c r="G497" s="116" t="inlineStr">
        <is>
          <t>-</t>
        </is>
      </c>
      <c r="H497" s="116" t="inlineStr">
        <is>
          <t>-</t>
        </is>
      </c>
      <c r="I497" s="446" t="inlineStr">
        <is>
          <t>Vacant</t>
        </is>
      </c>
      <c r="J497" s="552" t="n"/>
      <c r="K497" s="446" t="inlineStr">
        <is>
          <t>-</t>
        </is>
      </c>
      <c r="L497" s="114"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554" t="n"/>
      <c r="B498" s="554" t="n"/>
      <c r="C498" s="554" t="n"/>
      <c r="D498" s="554" t="n"/>
      <c r="E498" s="115" t="n"/>
      <c r="F498" s="32" t="inlineStr">
        <is>
          <t>Security Services</t>
        </is>
      </c>
      <c r="G498" s="116" t="inlineStr">
        <is>
          <t>-</t>
        </is>
      </c>
      <c r="H498" s="116" t="inlineStr">
        <is>
          <t>-</t>
        </is>
      </c>
      <c r="I498" s="446" t="inlineStr">
        <is>
          <t>Vacant</t>
        </is>
      </c>
      <c r="J498" s="552" t="n"/>
      <c r="K498" s="446" t="inlineStr">
        <is>
          <t>-</t>
        </is>
      </c>
      <c r="L498" s="114"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554" t="n"/>
      <c r="B499" s="554" t="n"/>
      <c r="C499" s="554" t="n"/>
      <c r="D499" s="554" t="n"/>
      <c r="E499" s="115" t="n"/>
      <c r="F499" s="32" t="inlineStr">
        <is>
          <t>Security Services</t>
        </is>
      </c>
      <c r="G499" s="116" t="inlineStr">
        <is>
          <t>-</t>
        </is>
      </c>
      <c r="H499" s="116" t="inlineStr">
        <is>
          <t>-</t>
        </is>
      </c>
      <c r="I499" s="446" t="inlineStr">
        <is>
          <t>Vacant</t>
        </is>
      </c>
      <c r="J499" s="552" t="n"/>
      <c r="K499" s="446" t="inlineStr">
        <is>
          <t>-</t>
        </is>
      </c>
      <c r="L499" s="114"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554" t="n"/>
      <c r="B500" s="554" t="n"/>
      <c r="C500" s="554" t="n"/>
      <c r="D500" s="554" t="n"/>
      <c r="E500" s="115" t="n"/>
      <c r="F500" s="32" t="inlineStr">
        <is>
          <t>Security Services</t>
        </is>
      </c>
      <c r="G500" s="116" t="inlineStr">
        <is>
          <t>-</t>
        </is>
      </c>
      <c r="H500" s="116" t="inlineStr">
        <is>
          <t>-</t>
        </is>
      </c>
      <c r="I500" s="446" t="inlineStr">
        <is>
          <t>Vacant</t>
        </is>
      </c>
      <c r="J500" s="552" t="n"/>
      <c r="K500" s="446" t="inlineStr">
        <is>
          <t>-</t>
        </is>
      </c>
      <c r="L500" s="114"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554" t="n"/>
      <c r="B501" s="554" t="n"/>
      <c r="C501" s="554" t="n"/>
      <c r="D501" s="554" t="n"/>
      <c r="E501" s="115" t="n"/>
      <c r="F501" s="32" t="inlineStr">
        <is>
          <t>Security Services</t>
        </is>
      </c>
      <c r="G501" s="116" t="inlineStr">
        <is>
          <t>-</t>
        </is>
      </c>
      <c r="H501" s="116" t="inlineStr">
        <is>
          <t>-</t>
        </is>
      </c>
      <c r="I501" s="446" t="inlineStr">
        <is>
          <t>Vacant</t>
        </is>
      </c>
      <c r="J501" s="552" t="n"/>
      <c r="K501" s="446" t="inlineStr">
        <is>
          <t>-</t>
        </is>
      </c>
      <c r="L501" s="114"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554" t="n"/>
      <c r="B502" s="554" t="n"/>
      <c r="C502" s="554" t="n"/>
      <c r="D502" s="554" t="n"/>
      <c r="E502" s="115" t="n"/>
      <c r="F502" s="32" t="inlineStr">
        <is>
          <t>Security Services</t>
        </is>
      </c>
      <c r="G502" s="116" t="inlineStr">
        <is>
          <t>-</t>
        </is>
      </c>
      <c r="H502" s="116" t="inlineStr">
        <is>
          <t>-</t>
        </is>
      </c>
      <c r="I502" s="446" t="inlineStr">
        <is>
          <t>Vacant</t>
        </is>
      </c>
      <c r="J502" s="552" t="n"/>
      <c r="K502" s="446" t="inlineStr">
        <is>
          <t>-</t>
        </is>
      </c>
      <c r="L502" s="114"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554" t="n"/>
      <c r="B503" s="554" t="n"/>
      <c r="C503" s="554" t="n"/>
      <c r="D503" s="554" t="n"/>
      <c r="E503" s="115" t="n"/>
      <c r="F503" s="32" t="inlineStr">
        <is>
          <t>Security Services</t>
        </is>
      </c>
      <c r="G503" s="116" t="inlineStr">
        <is>
          <t>-</t>
        </is>
      </c>
      <c r="H503" s="116" t="inlineStr">
        <is>
          <t>-</t>
        </is>
      </c>
      <c r="I503" s="446" t="inlineStr">
        <is>
          <t>Vacant</t>
        </is>
      </c>
      <c r="J503" s="552" t="n"/>
      <c r="K503" s="446" t="inlineStr">
        <is>
          <t>-</t>
        </is>
      </c>
      <c r="L503" s="114"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554" t="n"/>
      <c r="B504" s="554" t="n"/>
      <c r="C504" s="554" t="n"/>
      <c r="D504" s="554" t="n"/>
      <c r="E504" s="115" t="n"/>
      <c r="F504" s="32" t="inlineStr">
        <is>
          <t>Security Services</t>
        </is>
      </c>
      <c r="G504" s="116" t="inlineStr">
        <is>
          <t>-</t>
        </is>
      </c>
      <c r="H504" s="116" t="inlineStr">
        <is>
          <t>-</t>
        </is>
      </c>
      <c r="I504" s="446" t="inlineStr">
        <is>
          <t>Vacant</t>
        </is>
      </c>
      <c r="J504" s="552" t="n"/>
      <c r="K504" s="446" t="inlineStr">
        <is>
          <t>-</t>
        </is>
      </c>
      <c r="L504" s="114"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553" t="n"/>
      <c r="B505" s="553" t="n"/>
      <c r="C505" s="553" t="n"/>
      <c r="D505" s="553" t="n"/>
      <c r="E505" s="115" t="n"/>
      <c r="F505" s="32" t="inlineStr">
        <is>
          <t>Security Services</t>
        </is>
      </c>
      <c r="G505" s="116" t="inlineStr">
        <is>
          <t>-</t>
        </is>
      </c>
      <c r="H505" s="116" t="inlineStr">
        <is>
          <t>-</t>
        </is>
      </c>
      <c r="I505" s="446" t="inlineStr">
        <is>
          <t>Vacant</t>
        </is>
      </c>
      <c r="J505" s="552" t="n"/>
      <c r="K505" s="446" t="inlineStr">
        <is>
          <t>-</t>
        </is>
      </c>
      <c r="L505" s="114"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28" t="inlineStr">
        <is>
          <t>Security Partols</t>
        </is>
      </c>
      <c r="B506" s="430" t="n">
        <v>8</v>
      </c>
      <c r="C506" s="430">
        <f>COUNTIF(E506:E513,"&lt;&gt;")</f>
        <v/>
      </c>
      <c r="D506" s="430">
        <f>C506-B506</f>
        <v/>
      </c>
      <c r="E506" s="115" t="n"/>
      <c r="F506" s="32" t="inlineStr">
        <is>
          <t>Security Services</t>
        </is>
      </c>
      <c r="G506" s="116" t="inlineStr">
        <is>
          <t>-</t>
        </is>
      </c>
      <c r="H506" s="116" t="inlineStr">
        <is>
          <t>-</t>
        </is>
      </c>
      <c r="I506" s="446" t="inlineStr">
        <is>
          <t>Vacant</t>
        </is>
      </c>
      <c r="J506" s="552" t="n"/>
      <c r="K506" s="446" t="inlineStr">
        <is>
          <t>-</t>
        </is>
      </c>
      <c r="L506" s="114"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554" t="n"/>
      <c r="B507" s="554" t="n"/>
      <c r="C507" s="554" t="n"/>
      <c r="D507" s="554" t="n"/>
      <c r="E507" s="115" t="n"/>
      <c r="F507" s="32" t="inlineStr">
        <is>
          <t>Security Services</t>
        </is>
      </c>
      <c r="G507" s="116" t="inlineStr">
        <is>
          <t>-</t>
        </is>
      </c>
      <c r="H507" s="116" t="inlineStr">
        <is>
          <t>-</t>
        </is>
      </c>
      <c r="I507" s="446" t="inlineStr">
        <is>
          <t>Vacant</t>
        </is>
      </c>
      <c r="J507" s="552" t="n"/>
      <c r="K507" s="446" t="inlineStr">
        <is>
          <t>-</t>
        </is>
      </c>
      <c r="L507" s="114"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554" t="n"/>
      <c r="B508" s="554" t="n"/>
      <c r="C508" s="554" t="n"/>
      <c r="D508" s="554" t="n"/>
      <c r="E508" s="115" t="n"/>
      <c r="F508" s="32" t="inlineStr">
        <is>
          <t>Security Services</t>
        </is>
      </c>
      <c r="G508" s="116" t="inlineStr">
        <is>
          <t>-</t>
        </is>
      </c>
      <c r="H508" s="116" t="inlineStr">
        <is>
          <t>-</t>
        </is>
      </c>
      <c r="I508" s="446" t="inlineStr">
        <is>
          <t>Vacant</t>
        </is>
      </c>
      <c r="J508" s="552" t="n"/>
      <c r="K508" s="446" t="inlineStr">
        <is>
          <t>-</t>
        </is>
      </c>
      <c r="L508" s="114"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554" t="n"/>
      <c r="B509" s="554" t="n"/>
      <c r="C509" s="554" t="n"/>
      <c r="D509" s="554" t="n"/>
      <c r="E509" s="115" t="n"/>
      <c r="F509" s="32" t="inlineStr">
        <is>
          <t>Security Services</t>
        </is>
      </c>
      <c r="G509" s="116" t="inlineStr">
        <is>
          <t>-</t>
        </is>
      </c>
      <c r="H509" s="116" t="inlineStr">
        <is>
          <t>-</t>
        </is>
      </c>
      <c r="I509" s="446" t="inlineStr">
        <is>
          <t>Vacant</t>
        </is>
      </c>
      <c r="J509" s="552" t="n"/>
      <c r="K509" s="446" t="inlineStr">
        <is>
          <t>-</t>
        </is>
      </c>
      <c r="L509" s="114"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554" t="n"/>
      <c r="B510" s="554" t="n"/>
      <c r="C510" s="554" t="n"/>
      <c r="D510" s="554" t="n"/>
      <c r="E510" s="115" t="n"/>
      <c r="F510" s="32" t="inlineStr">
        <is>
          <t>Security Services</t>
        </is>
      </c>
      <c r="G510" s="116" t="inlineStr">
        <is>
          <t>-</t>
        </is>
      </c>
      <c r="H510" s="116" t="inlineStr">
        <is>
          <t>-</t>
        </is>
      </c>
      <c r="I510" s="446" t="inlineStr">
        <is>
          <t>Vacant</t>
        </is>
      </c>
      <c r="J510" s="552" t="n"/>
      <c r="K510" s="446" t="inlineStr">
        <is>
          <t>-</t>
        </is>
      </c>
      <c r="L510" s="114"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554" t="n"/>
      <c r="B511" s="554" t="n"/>
      <c r="C511" s="554" t="n"/>
      <c r="D511" s="554" t="n"/>
      <c r="E511" s="115" t="n"/>
      <c r="F511" s="32" t="inlineStr">
        <is>
          <t>Security Services</t>
        </is>
      </c>
      <c r="G511" s="116" t="inlineStr">
        <is>
          <t>-</t>
        </is>
      </c>
      <c r="H511" s="116" t="inlineStr">
        <is>
          <t>-</t>
        </is>
      </c>
      <c r="I511" s="446" t="inlineStr">
        <is>
          <t>Vacant</t>
        </is>
      </c>
      <c r="J511" s="552" t="n"/>
      <c r="K511" s="446" t="inlineStr">
        <is>
          <t>-</t>
        </is>
      </c>
      <c r="L511" s="114"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554" t="n"/>
      <c r="B512" s="554" t="n"/>
      <c r="C512" s="554" t="n"/>
      <c r="D512" s="554" t="n"/>
      <c r="E512" s="115" t="n"/>
      <c r="F512" s="32" t="inlineStr">
        <is>
          <t>Security Services</t>
        </is>
      </c>
      <c r="G512" s="116" t="inlineStr">
        <is>
          <t>-</t>
        </is>
      </c>
      <c r="H512" s="116" t="inlineStr">
        <is>
          <t>-</t>
        </is>
      </c>
      <c r="I512" s="446" t="inlineStr">
        <is>
          <t>Vacant</t>
        </is>
      </c>
      <c r="J512" s="552" t="n"/>
      <c r="K512" s="446" t="inlineStr">
        <is>
          <t>-</t>
        </is>
      </c>
      <c r="L512" s="114"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553" t="n"/>
      <c r="B513" s="553" t="n"/>
      <c r="C513" s="553" t="n"/>
      <c r="D513" s="553" t="n"/>
      <c r="E513" s="115" t="n"/>
      <c r="F513" s="32" t="inlineStr">
        <is>
          <t>Security Services</t>
        </is>
      </c>
      <c r="G513" s="116" t="inlineStr">
        <is>
          <t>-</t>
        </is>
      </c>
      <c r="H513" s="116" t="inlineStr">
        <is>
          <t>-</t>
        </is>
      </c>
      <c r="I513" s="446" t="inlineStr">
        <is>
          <t>Vacant</t>
        </is>
      </c>
      <c r="J513" s="552" t="n"/>
      <c r="K513" s="446" t="inlineStr">
        <is>
          <t>-</t>
        </is>
      </c>
      <c r="L513" s="114"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52" t="inlineStr">
        <is>
          <t>Total Team 
Security Services</t>
        </is>
      </c>
      <c r="B514" s="53" t="inlineStr">
        <is>
          <t>Contractual Requirement</t>
        </is>
      </c>
      <c r="C514" s="53" t="inlineStr">
        <is>
          <t>Approved</t>
        </is>
      </c>
      <c r="D514" s="53" t="inlineStr">
        <is>
          <t>Vacant Position</t>
        </is>
      </c>
      <c r="E514" s="54" t="inlineStr">
        <is>
          <t>Rejected</t>
        </is>
      </c>
      <c r="F514" s="55" t="inlineStr">
        <is>
          <t xml:space="preserve">Additional </t>
        </is>
      </c>
      <c r="G514" s="55" t="inlineStr">
        <is>
          <t>ID</t>
        </is>
      </c>
      <c r="H514" s="55" t="inlineStr">
        <is>
          <t>Iqama</t>
        </is>
      </c>
      <c r="I514" s="80" t="inlineStr">
        <is>
          <t>Status</t>
        </is>
      </c>
      <c r="J514" s="555" t="n"/>
      <c r="K514" s="58" t="n"/>
      <c r="L514" s="59"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53">
        <f>COUNTIF(E429:E513,"&lt;&gt;")</f>
        <v/>
      </c>
      <c r="B515" s="53">
        <f>SUM(B429:B513)</f>
        <v/>
      </c>
      <c r="C515" s="53">
        <f>COUNTIF(I429:I513,"Approved")</f>
        <v/>
      </c>
      <c r="D515" s="53">
        <f>COUNTIF(I429:I513,"Vacant")</f>
        <v/>
      </c>
      <c r="E515" s="59">
        <f>COUNTIF(L429:L513,"Rejected")</f>
        <v/>
      </c>
      <c r="F515" s="55">
        <f>COUNTIF(I429:I513,"Additional")</f>
        <v/>
      </c>
      <c r="G515" s="55">
        <f>COUNTIF(G429:G513,"-")</f>
        <v/>
      </c>
      <c r="H515" s="55">
        <f>COUNTIF(H429:H513,"-")</f>
        <v/>
      </c>
      <c r="I515" s="60" t="n"/>
      <c r="J515" s="556" t="n"/>
      <c r="K515" s="62" t="n"/>
      <c r="L515" s="60"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117" t="n"/>
      <c r="B516" s="118" t="n"/>
      <c r="C516" s="118" t="n"/>
      <c r="D516" s="118" t="n"/>
      <c r="E516" s="1" t="n"/>
      <c r="I516" s="1" t="n"/>
      <c r="J516" s="549"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11" t="inlineStr">
        <is>
          <t>Position</t>
        </is>
      </c>
      <c r="B517" s="12" t="inlineStr">
        <is>
          <t>Contractual Requirement</t>
        </is>
      </c>
      <c r="C517" s="12" t="inlineStr">
        <is>
          <t>On-Site Availability</t>
        </is>
      </c>
      <c r="D517" s="12" t="inlineStr">
        <is>
          <t>Vacant Position</t>
        </is>
      </c>
      <c r="E517" s="85" t="inlineStr">
        <is>
          <t>Emaployee Name</t>
        </is>
      </c>
      <c r="F517" s="14" t="inlineStr">
        <is>
          <t>Decipline</t>
        </is>
      </c>
      <c r="G517" s="15" t="inlineStr">
        <is>
          <t>ID</t>
        </is>
      </c>
      <c r="H517" s="14" t="inlineStr">
        <is>
          <t>Iqama</t>
        </is>
      </c>
      <c r="I517" s="15" t="inlineStr">
        <is>
          <t>Status</t>
        </is>
      </c>
      <c r="J517" s="558" t="n"/>
      <c r="K517" s="70" t="n"/>
      <c r="L517" s="17"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42" t="inlineStr">
        <is>
          <t>Cleaning Staff</t>
        </is>
      </c>
      <c r="B518" s="426" t="n">
        <v>2</v>
      </c>
      <c r="C518" s="426">
        <f>COUNTIF(E518:E519,"&lt;&gt;")</f>
        <v/>
      </c>
      <c r="D518" s="443">
        <f>C518-B518</f>
        <v/>
      </c>
      <c r="E518" s="48" t="inlineStr">
        <is>
          <t>Md Alal Uddin Abdul</t>
        </is>
      </c>
      <c r="F518" s="120" t="inlineStr">
        <is>
          <t>Medical Services</t>
        </is>
      </c>
      <c r="G518" s="87" t="n">
        <v>700832</v>
      </c>
      <c r="H518" s="87" t="n">
        <v>2509029860</v>
      </c>
      <c r="I518" s="446" t="inlineStr">
        <is>
          <t>Approved</t>
        </is>
      </c>
      <c r="J518" s="551" t="n">
        <v>46040</v>
      </c>
      <c r="K518" s="18" t="inlineStr">
        <is>
          <t>FMCO</t>
        </is>
      </c>
      <c r="L518" s="114"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553" t="n"/>
      <c r="B519" s="553" t="n"/>
      <c r="C519" s="553" t="n"/>
      <c r="D519" s="560" t="n"/>
      <c r="E519" s="48" t="inlineStr">
        <is>
          <t>Shahin Miah</t>
        </is>
      </c>
      <c r="F519" s="120" t="inlineStr">
        <is>
          <t>Medical Services</t>
        </is>
      </c>
      <c r="G519" s="87" t="n">
        <v>701104</v>
      </c>
      <c r="H519" s="87" t="n">
        <v>2499712327</v>
      </c>
      <c r="I519" s="446" t="inlineStr">
        <is>
          <t>Approved</t>
        </is>
      </c>
      <c r="J519" s="551" t="n">
        <v>46040</v>
      </c>
      <c r="K519" s="18" t="inlineStr">
        <is>
          <t>FMCO</t>
        </is>
      </c>
      <c r="L519" s="114"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52" t="inlineStr">
        <is>
          <t>Total Team 
Medical Services</t>
        </is>
      </c>
      <c r="B520" s="53" t="inlineStr">
        <is>
          <t>Contractual Requirement</t>
        </is>
      </c>
      <c r="C520" s="53" t="inlineStr">
        <is>
          <t>Approved</t>
        </is>
      </c>
      <c r="D520" s="53" t="inlineStr">
        <is>
          <t>Vacant Position</t>
        </is>
      </c>
      <c r="E520" s="121" t="inlineStr">
        <is>
          <t>Rejected</t>
        </is>
      </c>
      <c r="F520" s="55" t="inlineStr">
        <is>
          <t xml:space="preserve">Additional </t>
        </is>
      </c>
      <c r="G520" s="55" t="inlineStr">
        <is>
          <t>ID</t>
        </is>
      </c>
      <c r="H520" s="55" t="inlineStr">
        <is>
          <t>Iqama</t>
        </is>
      </c>
      <c r="I520" s="80" t="inlineStr">
        <is>
          <t>Status</t>
        </is>
      </c>
      <c r="J520" s="555" t="n"/>
      <c r="K520" s="58" t="n"/>
      <c r="L520" s="59"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122">
        <f>COUNTIF(E518:E519,"&lt;&gt;")</f>
        <v/>
      </c>
      <c r="B521" s="122">
        <f>SUM(B518:B519)</f>
        <v/>
      </c>
      <c r="C521" s="122">
        <f>COUNTIF(I518:I519,"Approved")</f>
        <v/>
      </c>
      <c r="D521" s="122">
        <f>COUNTIF(I518:I519,"Vacant")</f>
        <v/>
      </c>
      <c r="E521" s="123">
        <f>COUNTIF(I518:I519,"Rejected")</f>
        <v/>
      </c>
      <c r="F521" s="124">
        <f>COUNTIF(I518:I519,"Additional")</f>
        <v/>
      </c>
      <c r="G521" s="124">
        <f>COUNTIF(G518:G519,"-")</f>
        <v/>
      </c>
      <c r="H521" s="124">
        <f>COUNTIF(H518:H519,"-")</f>
        <v/>
      </c>
      <c r="I521" s="125" t="n"/>
      <c r="J521" s="566" t="n"/>
      <c r="K521" s="127" t="n"/>
      <c r="L521" s="125"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128" t="n"/>
      <c r="B522" s="129" t="n"/>
      <c r="C522" s="129" t="n"/>
      <c r="D522" s="130" t="n"/>
      <c r="E522" s="131" t="n"/>
      <c r="F522" s="132" t="n"/>
      <c r="G522" s="132" t="n"/>
      <c r="H522" s="132" t="n"/>
      <c r="I522" s="129" t="n"/>
      <c r="J522" s="567" t="n"/>
      <c r="K522" s="134" t="n"/>
      <c r="L522" s="135"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36" t="inlineStr">
        <is>
          <t>Position</t>
        </is>
      </c>
      <c r="B523" s="137" t="inlineStr">
        <is>
          <t>Contractual Requirement</t>
        </is>
      </c>
      <c r="C523" s="137" t="inlineStr">
        <is>
          <t>On-Site Availability</t>
        </is>
      </c>
      <c r="D523" s="137" t="inlineStr">
        <is>
          <t>Vacant Position</t>
        </is>
      </c>
      <c r="E523" s="138" t="inlineStr">
        <is>
          <t>Emaployee Name</t>
        </is>
      </c>
      <c r="F523" s="139" t="inlineStr">
        <is>
          <t>Decipline</t>
        </is>
      </c>
      <c r="G523" s="140" t="inlineStr">
        <is>
          <t>ID</t>
        </is>
      </c>
      <c r="H523" s="139" t="inlineStr">
        <is>
          <t>Iqama</t>
        </is>
      </c>
      <c r="I523" s="140" t="inlineStr">
        <is>
          <t>Status</t>
        </is>
      </c>
      <c r="J523" s="568" t="inlineStr">
        <is>
          <t xml:space="preserve"> Deployement Date</t>
        </is>
      </c>
      <c r="K523" s="142" t="inlineStr">
        <is>
          <t>Sponsor</t>
        </is>
      </c>
      <c r="L523" s="142"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44" t="inlineStr">
        <is>
          <t>On-Site Operation Manager</t>
        </is>
      </c>
      <c r="B524" s="446" t="n">
        <v>0</v>
      </c>
      <c r="C524" s="446">
        <f>COUNTIF(E524,"&lt;&gt;")</f>
        <v/>
      </c>
      <c r="D524" s="447" t="n">
        <v>0</v>
      </c>
      <c r="E524" s="36" t="inlineStr">
        <is>
          <t>Ayaz Ahsan Mohd Shamim</t>
        </is>
      </c>
      <c r="F524" s="42" t="inlineStr">
        <is>
          <t>Site Management</t>
        </is>
      </c>
      <c r="G524" s="418" t="inlineStr">
        <is>
          <t>-</t>
        </is>
      </c>
      <c r="H524" s="32" t="n">
        <v>2549844161</v>
      </c>
      <c r="I524" s="446" t="inlineStr">
        <is>
          <t>Additional</t>
        </is>
      </c>
      <c r="J524" s="551" t="n">
        <v>46174</v>
      </c>
      <c r="K524" s="44" t="inlineStr">
        <is>
          <t>FMCO</t>
        </is>
      </c>
      <c r="L524" s="34"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44" t="inlineStr">
        <is>
          <t>Waste Manger</t>
        </is>
      </c>
      <c r="B525" s="446" t="n">
        <v>0</v>
      </c>
      <c r="C525" s="446" t="n">
        <v>1</v>
      </c>
      <c r="D525" s="447" t="n">
        <v>0</v>
      </c>
      <c r="E525" s="36" t="inlineStr">
        <is>
          <t>FAHAD HUSSAIN RAJA</t>
        </is>
      </c>
      <c r="F525" s="42" t="inlineStr">
        <is>
          <t>Site Management</t>
        </is>
      </c>
      <c r="G525" s="145" t="inlineStr">
        <is>
          <t>-</t>
        </is>
      </c>
      <c r="H525" s="32" t="n">
        <v>2577914100</v>
      </c>
      <c r="I525" s="446" t="inlineStr">
        <is>
          <t>Additional</t>
        </is>
      </c>
      <c r="J525" s="551" t="n">
        <v>46236</v>
      </c>
      <c r="K525" s="44" t="inlineStr">
        <is>
          <t>-</t>
        </is>
      </c>
      <c r="L525" s="34"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44" t="inlineStr">
        <is>
          <t>Manager Operation</t>
        </is>
      </c>
      <c r="B526" s="446" t="n">
        <v>0</v>
      </c>
      <c r="C526" s="446">
        <f>COUNTIF(E526,"&lt;&gt;")</f>
        <v/>
      </c>
      <c r="D526" s="447" t="n">
        <v>0</v>
      </c>
      <c r="E526" s="36" t="inlineStr">
        <is>
          <t>Mohammed Ghormallah Ahmed Alghamdi</t>
        </is>
      </c>
      <c r="F526" s="42" t="inlineStr">
        <is>
          <t>Security Service</t>
        </is>
      </c>
      <c r="G526" s="43" t="n">
        <v>700214</v>
      </c>
      <c r="H526" s="32" t="n">
        <v>1035043734</v>
      </c>
      <c r="I526" s="446" t="inlineStr">
        <is>
          <t>Additional</t>
        </is>
      </c>
      <c r="J526" s="551" t="n">
        <v>45919</v>
      </c>
      <c r="K526" s="44" t="inlineStr">
        <is>
          <t>FMCO</t>
        </is>
      </c>
      <c r="L526" s="34"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44" t="inlineStr">
        <is>
          <t>Security Operations Manager</t>
        </is>
      </c>
      <c r="B527" s="446" t="n">
        <v>0</v>
      </c>
      <c r="C527" s="446">
        <f>COUNTIF(E527,"&lt;&gt;")</f>
        <v/>
      </c>
      <c r="D527" s="447" t="n">
        <v>0</v>
      </c>
      <c r="E527" s="36" t="inlineStr">
        <is>
          <t xml:space="preserve">Christopher Lashford </t>
        </is>
      </c>
      <c r="F527" s="42" t="inlineStr">
        <is>
          <t>Security Service</t>
        </is>
      </c>
      <c r="G527" s="43" t="inlineStr">
        <is>
          <t>-</t>
        </is>
      </c>
      <c r="H527" s="32" t="n">
        <v>2639140819</v>
      </c>
      <c r="I527" s="446" t="inlineStr">
        <is>
          <t>Additional</t>
        </is>
      </c>
      <c r="J527" s="551" t="n">
        <v>46174</v>
      </c>
      <c r="K527" s="44" t="inlineStr">
        <is>
          <t>FMCO</t>
        </is>
      </c>
      <c r="L527" s="34"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44" t="inlineStr">
        <is>
          <t>Senior QHSE Manager</t>
        </is>
      </c>
      <c r="B528" s="446" t="n">
        <v>0</v>
      </c>
      <c r="C528" s="446" t="n">
        <v>1</v>
      </c>
      <c r="D528" s="447" t="n">
        <v>0</v>
      </c>
      <c r="E528" s="36" t="inlineStr">
        <is>
          <t>Ahmed Ansari</t>
        </is>
      </c>
      <c r="F528" s="42" t="inlineStr">
        <is>
          <t>Health &amp; Saftey</t>
        </is>
      </c>
      <c r="G528" s="43" t="inlineStr">
        <is>
          <t>-</t>
        </is>
      </c>
      <c r="H528" s="32" t="n">
        <v>2539092755</v>
      </c>
      <c r="I528" s="446" t="inlineStr">
        <is>
          <t>Additional</t>
        </is>
      </c>
      <c r="J528" s="551" t="n">
        <v>46223</v>
      </c>
      <c r="K528" s="44" t="inlineStr">
        <is>
          <t>-</t>
        </is>
      </c>
      <c r="L528" s="34"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44" t="inlineStr">
        <is>
          <t>Purchaser</t>
        </is>
      </c>
      <c r="B529" s="446" t="n">
        <v>0</v>
      </c>
      <c r="C529" s="446">
        <f>COUNTIF(E529,"&lt;&gt;")</f>
        <v/>
      </c>
      <c r="D529" s="447" t="n">
        <v>0</v>
      </c>
      <c r="E529" s="36" t="inlineStr">
        <is>
          <t>Naseeruddin Mahmood Ahmad</t>
        </is>
      </c>
      <c r="F529" s="42" t="inlineStr">
        <is>
          <t>Site Management</t>
        </is>
      </c>
      <c r="G529" s="43" t="n">
        <v>700518</v>
      </c>
      <c r="H529" s="32" t="n">
        <v>2510865328</v>
      </c>
      <c r="I529" s="446" t="inlineStr">
        <is>
          <t>Additional</t>
        </is>
      </c>
      <c r="J529" s="551" t="n">
        <v>46054</v>
      </c>
      <c r="K529" s="44" t="inlineStr">
        <is>
          <t>FMCO</t>
        </is>
      </c>
      <c r="L529" s="34"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44" t="inlineStr">
        <is>
          <t>IVF Coordinator</t>
        </is>
      </c>
      <c r="B530" s="446" t="n">
        <v>0</v>
      </c>
      <c r="C530" s="446">
        <f>COUNTIF(E530,"&lt;&gt;")</f>
        <v/>
      </c>
      <c r="D530" s="447" t="n">
        <v>0</v>
      </c>
      <c r="E530" s="36" t="inlineStr">
        <is>
          <t>Umar Farooq Mehboob Quadri</t>
        </is>
      </c>
      <c r="F530" s="42" t="inlineStr">
        <is>
          <t>Site Management</t>
        </is>
      </c>
      <c r="G530" s="43" t="n">
        <v>700107</v>
      </c>
      <c r="H530" s="32" t="n">
        <v>2439317666</v>
      </c>
      <c r="I530" s="446" t="inlineStr">
        <is>
          <t>Additional</t>
        </is>
      </c>
      <c r="J530" s="551" t="n">
        <v>45971</v>
      </c>
      <c r="K530" s="44" t="inlineStr">
        <is>
          <t>FMCO</t>
        </is>
      </c>
      <c r="L530" s="34"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44" t="inlineStr">
        <is>
          <t>Fleet And Housing Coordinator</t>
        </is>
      </c>
      <c r="B531" s="446" t="n">
        <v>0</v>
      </c>
      <c r="C531" s="446">
        <f>COUNTIF(E531,"&lt;&gt;")</f>
        <v/>
      </c>
      <c r="D531" s="447" t="n">
        <v>0</v>
      </c>
      <c r="E531" s="36" t="inlineStr">
        <is>
          <t>Mohammad Khalid Abdul Aziz Mustafa</t>
        </is>
      </c>
      <c r="F531" s="32" t="inlineStr">
        <is>
          <t>Logistic Services</t>
        </is>
      </c>
      <c r="G531" s="43" t="n">
        <v>704250</v>
      </c>
      <c r="H531" s="32" t="n">
        <v>2010152870</v>
      </c>
      <c r="I531" s="446" t="inlineStr">
        <is>
          <t>Additional</t>
        </is>
      </c>
      <c r="J531" s="551" t="n">
        <v>46161</v>
      </c>
      <c r="K531" s="44" t="inlineStr">
        <is>
          <t>FMCO</t>
        </is>
      </c>
      <c r="L531" s="34"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44" t="inlineStr">
        <is>
          <t>Helpdesk/CAFM</t>
        </is>
      </c>
      <c r="B532" s="444" t="n"/>
      <c r="C532" s="445" t="n">
        <v>4</v>
      </c>
      <c r="D532" s="444" t="n"/>
      <c r="E532" s="36" t="inlineStr">
        <is>
          <t>Shoaib Shaik</t>
        </is>
      </c>
      <c r="F532" s="32" t="inlineStr">
        <is>
          <t>Helpdesk/CAFM</t>
        </is>
      </c>
      <c r="G532" s="43" t="inlineStr">
        <is>
          <t>EM-0003079</t>
        </is>
      </c>
      <c r="H532" s="32" t="n">
        <v>2620088258</v>
      </c>
      <c r="I532" s="446" t="inlineStr">
        <is>
          <t>Additional</t>
        </is>
      </c>
      <c r="J532" s="551" t="n">
        <v>46079</v>
      </c>
      <c r="K532" s="44" t="inlineStr">
        <is>
          <t>AL-FALAK VISA</t>
        </is>
      </c>
      <c r="L532" s="146"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569" t="n"/>
      <c r="B533" s="569" t="n"/>
      <c r="C533" s="569" t="n"/>
      <c r="D533" s="569" t="n"/>
      <c r="E533" s="48" t="inlineStr">
        <is>
          <t>Aljawharah Mohssen Al Qahtani</t>
        </is>
      </c>
      <c r="F533" s="32" t="inlineStr">
        <is>
          <t>Helpdesk/CAFM</t>
        </is>
      </c>
      <c r="G533" s="43" t="n">
        <v>703742</v>
      </c>
      <c r="H533" s="32" t="n">
        <v>1125273399</v>
      </c>
      <c r="I533" s="446" t="inlineStr">
        <is>
          <t>Additional</t>
        </is>
      </c>
      <c r="J533" s="551" t="n">
        <v>45711</v>
      </c>
      <c r="K533" s="18" t="inlineStr">
        <is>
          <t>FMCO</t>
        </is>
      </c>
      <c r="L533" s="146"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569" t="n"/>
      <c r="B534" s="569" t="n"/>
      <c r="C534" s="569" t="n"/>
      <c r="D534" s="569" t="n"/>
      <c r="E534" s="48" t="n"/>
      <c r="F534" s="32" t="inlineStr">
        <is>
          <t>Helpdesk/CAFM</t>
        </is>
      </c>
      <c r="G534" s="43" t="inlineStr">
        <is>
          <t>-</t>
        </is>
      </c>
      <c r="H534" s="32" t="inlineStr">
        <is>
          <t>-</t>
        </is>
      </c>
      <c r="I534" s="446" t="inlineStr">
        <is>
          <t>Vacant</t>
        </is>
      </c>
      <c r="J534" s="551" t="n"/>
      <c r="K534" s="18" t="inlineStr">
        <is>
          <t>-</t>
        </is>
      </c>
      <c r="L534" s="146"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570" t="n"/>
      <c r="B535" s="570" t="n"/>
      <c r="C535" s="570" t="n"/>
      <c r="D535" s="570" t="n"/>
      <c r="E535" s="36" t="inlineStr">
        <is>
          <t>Momin Nazir Shah</t>
        </is>
      </c>
      <c r="F535" s="42" t="inlineStr">
        <is>
          <t>Helpdesk/CAFM</t>
        </is>
      </c>
      <c r="G535" s="43" t="n">
        <v>704260</v>
      </c>
      <c r="H535" s="32" t="n">
        <v>2637726684</v>
      </c>
      <c r="I535" s="446" t="inlineStr">
        <is>
          <t>Additional</t>
        </is>
      </c>
      <c r="J535" s="551" t="n">
        <v>46168</v>
      </c>
      <c r="K535" s="44" t="inlineStr">
        <is>
          <t>FMCO</t>
        </is>
      </c>
      <c r="L535" s="34"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44" t="inlineStr">
        <is>
          <t>System Admin</t>
        </is>
      </c>
      <c r="B536" s="446" t="n">
        <v>0</v>
      </c>
      <c r="C536" s="446">
        <f>COUNTIF(E536,"&lt;&gt;")</f>
        <v/>
      </c>
      <c r="D536" s="447" t="n">
        <v>0</v>
      </c>
      <c r="E536" s="36" t="inlineStr">
        <is>
          <t>Shashigouda Biradar</t>
        </is>
      </c>
      <c r="F536" s="42" t="inlineStr">
        <is>
          <t>I.T</t>
        </is>
      </c>
      <c r="G536" s="43" t="inlineStr">
        <is>
          <t>EM0003474</t>
        </is>
      </c>
      <c r="H536" s="32" t="n">
        <v>2630687834</v>
      </c>
      <c r="I536" s="446" t="inlineStr">
        <is>
          <t>Additional</t>
        </is>
      </c>
      <c r="J536" s="551" t="n">
        <v>45586</v>
      </c>
      <c r="K536" s="44" t="inlineStr">
        <is>
          <t>AL-FALAK VISA</t>
        </is>
      </c>
      <c r="L536" s="34"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44" t="inlineStr">
        <is>
          <t>Laundry Manager</t>
        </is>
      </c>
      <c r="B537" s="446" t="n">
        <v>0</v>
      </c>
      <c r="C537" s="446">
        <f>COUNTIF(E537,"&lt;&gt;")</f>
        <v/>
      </c>
      <c r="D537" s="447" t="n">
        <v>0</v>
      </c>
      <c r="E537" s="36" t="inlineStr">
        <is>
          <t>Ghulam Akbar Wahid Bakhsh</t>
        </is>
      </c>
      <c r="F537" s="42" t="inlineStr">
        <is>
          <t>Soft Service</t>
        </is>
      </c>
      <c r="G537" s="43" t="n">
        <v>704081</v>
      </c>
      <c r="H537" s="32" t="n">
        <v>2222602837</v>
      </c>
      <c r="I537" s="446" t="inlineStr">
        <is>
          <t>Additional</t>
        </is>
      </c>
      <c r="J537" s="551" t="n">
        <v>46015</v>
      </c>
      <c r="K537" s="44" t="inlineStr">
        <is>
          <t>FMCO</t>
        </is>
      </c>
      <c r="L537" s="34"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44" t="inlineStr">
        <is>
          <t>Laundry Team Lead</t>
        </is>
      </c>
      <c r="B538" s="446" t="n">
        <v>0</v>
      </c>
      <c r="C538" s="446">
        <f>COUNTIF(E538,"&lt;&gt;")</f>
        <v/>
      </c>
      <c r="D538" s="447" t="n">
        <v>0</v>
      </c>
      <c r="E538" s="36" t="inlineStr">
        <is>
          <t>Md Mahmood Alam</t>
        </is>
      </c>
      <c r="F538" s="42" t="inlineStr">
        <is>
          <t>Soft Service</t>
        </is>
      </c>
      <c r="G538" s="43" t="inlineStr">
        <is>
          <t>EM-0002719</t>
        </is>
      </c>
      <c r="H538" s="32" t="n">
        <v>2586440824</v>
      </c>
      <c r="I538" s="446" t="inlineStr">
        <is>
          <t>Additional</t>
        </is>
      </c>
      <c r="J538" s="551" t="n">
        <v>45600</v>
      </c>
      <c r="K538" s="44" t="inlineStr">
        <is>
          <t>AL-FALAK VISA</t>
        </is>
      </c>
      <c r="L538" s="34"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44" t="inlineStr">
        <is>
          <t>Laundry Operator</t>
        </is>
      </c>
      <c r="B539" s="446" t="n">
        <v>0</v>
      </c>
      <c r="C539" s="446">
        <f>COUNTIF(E539:E541,"&lt;&gt;")</f>
        <v/>
      </c>
      <c r="D539" s="447" t="n">
        <v>0</v>
      </c>
      <c r="E539" s="36" t="n"/>
      <c r="F539" s="42" t="inlineStr">
        <is>
          <t>Soft Service</t>
        </is>
      </c>
      <c r="G539" s="43" t="inlineStr">
        <is>
          <t>-</t>
        </is>
      </c>
      <c r="H539" s="32" t="inlineStr">
        <is>
          <t>-</t>
        </is>
      </c>
      <c r="I539" s="446" t="inlineStr">
        <is>
          <t>Vacant</t>
        </is>
      </c>
      <c r="J539" s="551" t="n"/>
      <c r="K539" s="44" t="inlineStr">
        <is>
          <t>-</t>
        </is>
      </c>
      <c r="L539" s="34"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569" t="n"/>
      <c r="B540" s="569" t="n"/>
      <c r="C540" s="569" t="n"/>
      <c r="D540" s="569" t="n"/>
      <c r="E540" s="36" t="inlineStr">
        <is>
          <t>Arman Md Khokon Miah</t>
        </is>
      </c>
      <c r="F540" s="42" t="inlineStr">
        <is>
          <t>Soft Service</t>
        </is>
      </c>
      <c r="G540" s="43" t="inlineStr">
        <is>
          <t>-</t>
        </is>
      </c>
      <c r="H540" s="32" t="n">
        <v>2547715595</v>
      </c>
      <c r="I540" s="446" t="inlineStr">
        <is>
          <t>Additional</t>
        </is>
      </c>
      <c r="J540" s="551" t="n">
        <v>46182</v>
      </c>
      <c r="K540" s="44" t="inlineStr">
        <is>
          <t>UCC RENTAL</t>
        </is>
      </c>
      <c r="L540" s="34"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570" t="n"/>
      <c r="B541" s="570" t="n"/>
      <c r="C541" s="570" t="n"/>
      <c r="D541" s="570" t="n"/>
      <c r="E541" s="36" t="inlineStr">
        <is>
          <t>Md Biplob Hossain</t>
        </is>
      </c>
      <c r="F541" s="439" t="inlineStr">
        <is>
          <t>Soft Service</t>
        </is>
      </c>
      <c r="G541" s="43" t="inlineStr">
        <is>
          <t>-</t>
        </is>
      </c>
      <c r="H541" s="32" t="n">
        <v>2624586307</v>
      </c>
      <c r="I541" s="446" t="inlineStr">
        <is>
          <t>Additional</t>
        </is>
      </c>
      <c r="J541" s="551" t="n">
        <v>46085</v>
      </c>
      <c r="K541" s="147" t="inlineStr">
        <is>
          <t>SCC</t>
        </is>
      </c>
      <c r="L541" s="34" t="inlineStr">
        <is>
          <t>-</t>
        </is>
      </c>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44" t="inlineStr">
        <is>
          <t>Landscape Engineer</t>
        </is>
      </c>
      <c r="B542" s="446" t="n">
        <v>0</v>
      </c>
      <c r="C542" s="446">
        <f>COUNTIF(E542,"&lt;&gt;")</f>
        <v/>
      </c>
      <c r="D542" s="447" t="n">
        <v>0</v>
      </c>
      <c r="E542" s="36" t="inlineStr">
        <is>
          <t>MD RAIHAN ALI</t>
        </is>
      </c>
      <c r="F542" s="42" t="inlineStr">
        <is>
          <t>Soft Service</t>
        </is>
      </c>
      <c r="G542" s="43" t="n">
        <v>1269</v>
      </c>
      <c r="H542" s="32" t="inlineStr">
        <is>
          <t>2598730279</t>
        </is>
      </c>
      <c r="I542" s="446" t="inlineStr">
        <is>
          <t>Approved</t>
        </is>
      </c>
      <c r="J542" s="551" t="inlineStr">
        <is>
          <t>2025-03-27 00:00:00</t>
        </is>
      </c>
      <c r="K542" s="44" t="inlineStr">
        <is>
          <t>UCC RENTAL</t>
        </is>
      </c>
      <c r="L542" s="34"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48" t="inlineStr">
        <is>
          <t>Landscape Supervisor</t>
        </is>
      </c>
      <c r="B543" s="494" t="n">
        <v>0</v>
      </c>
      <c r="C543" s="446">
        <f>COUNTIF(E543,"&lt;&gt;")</f>
        <v/>
      </c>
      <c r="D543" s="449" t="n">
        <v>0</v>
      </c>
      <c r="E543" s="36" t="inlineStr">
        <is>
          <t>Md Mahabubur Rahman Robi</t>
        </is>
      </c>
      <c r="F543" s="42" t="inlineStr">
        <is>
          <t>Soft Service</t>
        </is>
      </c>
      <c r="G543" s="43" t="n">
        <v>703456</v>
      </c>
      <c r="H543" s="32" t="n">
        <v>2582129645</v>
      </c>
      <c r="I543" s="446" t="inlineStr">
        <is>
          <t>Additional</t>
        </is>
      </c>
      <c r="J543" s="551" t="n">
        <v>45599</v>
      </c>
      <c r="K543" s="44" t="inlineStr">
        <is>
          <t>FMCO</t>
        </is>
      </c>
      <c r="L543" s="34" t="inlineStr">
        <is>
          <t>-</t>
        </is>
      </c>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44" t="inlineStr">
        <is>
          <t>Irrigation Supervisor</t>
        </is>
      </c>
      <c r="B544" s="446" t="n">
        <v>0</v>
      </c>
      <c r="C544" s="446">
        <f>COUNTIF(E544,"&lt;&gt;")</f>
        <v/>
      </c>
      <c r="D544" s="447" t="n">
        <v>0</v>
      </c>
      <c r="E544" s="36" t="inlineStr">
        <is>
          <t>Muhammad Mudassir</t>
        </is>
      </c>
      <c r="F544" s="42" t="inlineStr">
        <is>
          <t>Soft Service</t>
        </is>
      </c>
      <c r="G544" s="43" t="n">
        <v>701375</v>
      </c>
      <c r="H544" s="32" t="n">
        <v>2532144363</v>
      </c>
      <c r="I544" s="446" t="inlineStr">
        <is>
          <t>Additional</t>
        </is>
      </c>
      <c r="J544" s="551" t="n">
        <v>45881</v>
      </c>
      <c r="K544" s="44" t="inlineStr">
        <is>
          <t>FMCO</t>
        </is>
      </c>
      <c r="L544" s="34"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44" t="inlineStr">
        <is>
          <t>Irrigation Technician</t>
        </is>
      </c>
      <c r="B545" s="446" t="n">
        <v>0</v>
      </c>
      <c r="C545" s="446">
        <f>COUNTIF(E545,"&lt;&gt;")</f>
        <v/>
      </c>
      <c r="D545" s="447" t="n">
        <v>0</v>
      </c>
      <c r="E545" s="36" t="inlineStr">
        <is>
          <t>SK Mizanur Rahman</t>
        </is>
      </c>
      <c r="F545" s="42" t="inlineStr">
        <is>
          <t>Soft Service</t>
        </is>
      </c>
      <c r="G545" s="43" t="n">
        <v>1283</v>
      </c>
      <c r="H545" s="32" t="n">
        <v>2599694532</v>
      </c>
      <c r="I545" s="446" t="inlineStr">
        <is>
          <t>Additional</t>
        </is>
      </c>
      <c r="J545" s="551" t="n">
        <v>45769</v>
      </c>
      <c r="K545" s="44" t="inlineStr">
        <is>
          <t>UCC RENTAL</t>
        </is>
      </c>
      <c r="L545" s="34"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48" t="inlineStr">
        <is>
          <t>Gardener</t>
        </is>
      </c>
      <c r="B546" s="446" t="n">
        <v>0</v>
      </c>
      <c r="C546" s="446" t="n">
        <v>19</v>
      </c>
      <c r="D546" s="447" t="n">
        <v>0</v>
      </c>
      <c r="E546" s="36" t="inlineStr">
        <is>
          <t>Sagar Abdul Hay</t>
        </is>
      </c>
      <c r="F546" s="42" t="inlineStr">
        <is>
          <t>Soft Service</t>
        </is>
      </c>
      <c r="G546" s="43" t="inlineStr">
        <is>
          <t>-</t>
        </is>
      </c>
      <c r="H546" s="32" t="n">
        <v>2618207779</v>
      </c>
      <c r="I546" s="446" t="inlineStr">
        <is>
          <t>Additional</t>
        </is>
      </c>
      <c r="J546" s="551" t="n">
        <v>46187</v>
      </c>
      <c r="K546" s="44" t="inlineStr">
        <is>
          <t>ESNAD SUPPLIER</t>
        </is>
      </c>
      <c r="L546" s="34"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569" t="n"/>
      <c r="B547" s="569" t="n"/>
      <c r="C547" s="569" t="n"/>
      <c r="D547" s="569" t="n"/>
      <c r="E547" s="36" t="inlineStr">
        <is>
          <t>Zahid Saqlain Ghulam Saqlain</t>
        </is>
      </c>
      <c r="F547" s="42" t="inlineStr">
        <is>
          <t>Soft Service</t>
        </is>
      </c>
      <c r="G547" s="43" t="inlineStr">
        <is>
          <t>-</t>
        </is>
      </c>
      <c r="H547" s="32" t="n">
        <v>2631560071</v>
      </c>
      <c r="I547" s="446" t="inlineStr">
        <is>
          <t>Additional</t>
        </is>
      </c>
      <c r="J547" s="551" t="n">
        <v>46190</v>
      </c>
      <c r="K547" s="44" t="inlineStr">
        <is>
          <t>UCC RENTAL</t>
        </is>
      </c>
      <c r="L547" s="34"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569" t="n"/>
      <c r="B548" s="569" t="n"/>
      <c r="C548" s="569" t="n"/>
      <c r="D548" s="569" t="n"/>
      <c r="E548" s="36" t="inlineStr">
        <is>
          <t>Wahab Ali Bakht Zada</t>
        </is>
      </c>
      <c r="F548" s="42" t="inlineStr">
        <is>
          <t>Soft Service</t>
        </is>
      </c>
      <c r="G548" s="43" t="inlineStr">
        <is>
          <t>-</t>
        </is>
      </c>
      <c r="H548" s="32" t="n">
        <v>2638291555</v>
      </c>
      <c r="I548" s="446" t="inlineStr">
        <is>
          <t>Additional</t>
        </is>
      </c>
      <c r="J548" s="551" t="n">
        <v>46190</v>
      </c>
      <c r="K548" s="44" t="inlineStr">
        <is>
          <t>UCC RENTAL</t>
        </is>
      </c>
      <c r="L548" s="34"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569" t="n"/>
      <c r="B549" s="569" t="n"/>
      <c r="C549" s="569" t="n"/>
      <c r="D549" s="569" t="n"/>
      <c r="E549" s="36" t="inlineStr">
        <is>
          <t>Jamal Hussain Wali Muhammad</t>
        </is>
      </c>
      <c r="F549" s="42" t="inlineStr">
        <is>
          <t>Soft Service</t>
        </is>
      </c>
      <c r="G549" s="43" t="inlineStr">
        <is>
          <t>-</t>
        </is>
      </c>
      <c r="H549" s="32" t="n">
        <v>2638290979</v>
      </c>
      <c r="I549" s="446" t="inlineStr">
        <is>
          <t>Additional</t>
        </is>
      </c>
      <c r="J549" s="551" t="n">
        <v>46190</v>
      </c>
      <c r="K549" s="44" t="inlineStr">
        <is>
          <t>UCC RENTAL</t>
        </is>
      </c>
      <c r="L549" s="34"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569" t="n"/>
      <c r="B550" s="569" t="n"/>
      <c r="C550" s="569" t="n"/>
      <c r="D550" s="569" t="n"/>
      <c r="E550" s="48" t="inlineStr">
        <is>
          <t>Narayan Prashad Poudel</t>
        </is>
      </c>
      <c r="F550" s="42" t="inlineStr">
        <is>
          <t>Soft Service</t>
        </is>
      </c>
      <c r="G550" s="446" t="inlineStr">
        <is>
          <t>-</t>
        </is>
      </c>
      <c r="H550" s="446" t="n">
        <v>2615973720</v>
      </c>
      <c r="I550" s="446" t="inlineStr">
        <is>
          <t>Additional</t>
        </is>
      </c>
      <c r="J550" s="551" t="n">
        <v>46217</v>
      </c>
      <c r="K550" s="18" t="inlineStr">
        <is>
          <t>Gulf vision</t>
        </is>
      </c>
      <c r="L550" s="34"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569" t="n"/>
      <c r="B551" s="569" t="n"/>
      <c r="C551" s="569" t="n"/>
      <c r="D551" s="569" t="n"/>
      <c r="E551" s="48" t="inlineStr">
        <is>
          <t>Varis Ali Sazid</t>
        </is>
      </c>
      <c r="F551" s="42" t="inlineStr">
        <is>
          <t>Soft Service</t>
        </is>
      </c>
      <c r="G551" s="446" t="inlineStr">
        <is>
          <t>L00677</t>
        </is>
      </c>
      <c r="H551" s="446" t="n">
        <v>2630173520</v>
      </c>
      <c r="I551" s="446" t="inlineStr">
        <is>
          <t>Additional</t>
        </is>
      </c>
      <c r="J551" s="551" t="n">
        <v>46217</v>
      </c>
      <c r="K551" s="18" t="inlineStr">
        <is>
          <t>Mehan</t>
        </is>
      </c>
      <c r="L551" s="34"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569" t="n"/>
      <c r="B552" s="569" t="n"/>
      <c r="C552" s="569" t="n"/>
      <c r="D552" s="569" t="n"/>
      <c r="E552" s="48" t="inlineStr">
        <is>
          <t>Noor Mohd Jaan Mohd</t>
        </is>
      </c>
      <c r="F552" s="42" t="inlineStr">
        <is>
          <t>Soft Service</t>
        </is>
      </c>
      <c r="G552" s="446" t="inlineStr">
        <is>
          <t>R09589</t>
        </is>
      </c>
      <c r="H552" s="446" t="n">
        <v>2616674673</v>
      </c>
      <c r="I552" s="446" t="inlineStr">
        <is>
          <t>Additional</t>
        </is>
      </c>
      <c r="J552" s="551" t="n">
        <v>46217</v>
      </c>
      <c r="K552" s="18" t="inlineStr">
        <is>
          <t>Mehan</t>
        </is>
      </c>
      <c r="L552" s="34"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569" t="n"/>
      <c r="B553" s="569" t="n"/>
      <c r="C553" s="569" t="n"/>
      <c r="D553" s="569" t="n"/>
      <c r="E553" s="48" t="inlineStr">
        <is>
          <t>Md Abdur Rahim</t>
        </is>
      </c>
      <c r="F553" s="42" t="inlineStr">
        <is>
          <t>Soft Service</t>
        </is>
      </c>
      <c r="G553" s="446" t="inlineStr">
        <is>
          <t>L01426</t>
        </is>
      </c>
      <c r="H553" s="446" t="n">
        <v>2637736238</v>
      </c>
      <c r="I553" s="446" t="inlineStr">
        <is>
          <t>Additional</t>
        </is>
      </c>
      <c r="J553" s="551" t="n">
        <v>46217</v>
      </c>
      <c r="K553" s="18" t="inlineStr">
        <is>
          <t>Mehan</t>
        </is>
      </c>
      <c r="L553" s="34"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569" t="n"/>
      <c r="B554" s="569" t="n"/>
      <c r="C554" s="569" t="n"/>
      <c r="D554" s="569" t="n"/>
      <c r="E554" s="48" t="inlineStr">
        <is>
          <t>Mohd Shafaq</t>
        </is>
      </c>
      <c r="F554" s="42" t="inlineStr">
        <is>
          <t>Soft Service</t>
        </is>
      </c>
      <c r="G554" s="446" t="inlineStr">
        <is>
          <t>R09524</t>
        </is>
      </c>
      <c r="H554" s="446" t="n">
        <v>2615134919</v>
      </c>
      <c r="I554" s="446" t="inlineStr">
        <is>
          <t>Additional</t>
        </is>
      </c>
      <c r="J554" s="551" t="n">
        <v>46217</v>
      </c>
      <c r="K554" s="18" t="inlineStr">
        <is>
          <t>Mehan</t>
        </is>
      </c>
      <c r="L554" s="34"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569" t="n"/>
      <c r="B555" s="569" t="n"/>
      <c r="C555" s="569" t="n"/>
      <c r="D555" s="569" t="n"/>
      <c r="E555" s="48" t="inlineStr">
        <is>
          <t>SIYARAM SAH</t>
        </is>
      </c>
      <c r="F555" s="42" t="inlineStr">
        <is>
          <t>Soft Service</t>
        </is>
      </c>
      <c r="G555" s="446" t="inlineStr">
        <is>
          <t>-</t>
        </is>
      </c>
      <c r="H555" s="446" t="n">
        <v>2617336066</v>
      </c>
      <c r="I555" s="446" t="inlineStr">
        <is>
          <t>Additional</t>
        </is>
      </c>
      <c r="J555" s="551" t="n">
        <v>46217</v>
      </c>
      <c r="K555" s="18" t="inlineStr">
        <is>
          <t>Gulf vision</t>
        </is>
      </c>
      <c r="L555" s="34"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569" t="n"/>
      <c r="B556" s="569" t="n"/>
      <c r="C556" s="569" t="n"/>
      <c r="D556" s="569" t="n"/>
      <c r="E556" s="48" t="inlineStr">
        <is>
          <t>CHOTELAL MAHARA CHAMAR</t>
        </is>
      </c>
      <c r="F556" s="42" t="inlineStr">
        <is>
          <t>Soft Service</t>
        </is>
      </c>
      <c r="G556" s="446" t="inlineStr">
        <is>
          <t>-</t>
        </is>
      </c>
      <c r="H556" s="446" t="n">
        <v>2617334228</v>
      </c>
      <c r="I556" s="446" t="inlineStr">
        <is>
          <t>Additional</t>
        </is>
      </c>
      <c r="J556" s="551" t="n">
        <v>46217</v>
      </c>
      <c r="K556" s="18" t="inlineStr">
        <is>
          <t>Gulf vision</t>
        </is>
      </c>
      <c r="L556" s="34"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569" t="n"/>
      <c r="B557" s="569" t="n"/>
      <c r="C557" s="569" t="n"/>
      <c r="D557" s="569" t="n"/>
      <c r="E557" s="48" t="inlineStr">
        <is>
          <t>DIPENDRA PASMAN</t>
        </is>
      </c>
      <c r="F557" s="42" t="inlineStr">
        <is>
          <t>Soft Service</t>
        </is>
      </c>
      <c r="G557" s="446" t="inlineStr">
        <is>
          <t>-</t>
        </is>
      </c>
      <c r="H557" s="446" t="n">
        <v>2617334327</v>
      </c>
      <c r="I557" s="446" t="inlineStr">
        <is>
          <t>Additional</t>
        </is>
      </c>
      <c r="J557" s="551" t="n">
        <v>46217</v>
      </c>
      <c r="K557" s="18" t="inlineStr">
        <is>
          <t>Gulf vision</t>
        </is>
      </c>
      <c r="L557" s="34"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569" t="n"/>
      <c r="B558" s="569" t="n"/>
      <c r="C558" s="569" t="n"/>
      <c r="D558" s="569" t="n"/>
      <c r="E558" s="48" t="inlineStr">
        <is>
          <t>ROSHAN KUMAR MANDAL</t>
        </is>
      </c>
      <c r="F558" s="42" t="inlineStr">
        <is>
          <t>Soft Service</t>
        </is>
      </c>
      <c r="G558" s="446" t="inlineStr">
        <is>
          <t>-</t>
        </is>
      </c>
      <c r="H558" s="446" t="n">
        <v>2617336058</v>
      </c>
      <c r="I558" s="446" t="inlineStr">
        <is>
          <t>Additional</t>
        </is>
      </c>
      <c r="J558" s="551" t="n">
        <v>46217</v>
      </c>
      <c r="K558" s="18" t="inlineStr">
        <is>
          <t>Gulf vision</t>
        </is>
      </c>
      <c r="L558" s="34"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569" t="n"/>
      <c r="B559" s="569" t="n"/>
      <c r="C559" s="569" t="n"/>
      <c r="D559" s="569" t="n"/>
      <c r="E559" s="48" t="inlineStr">
        <is>
          <t>UDIT NARAYAN THAKUR</t>
        </is>
      </c>
      <c r="F559" s="42" t="inlineStr">
        <is>
          <t>Soft Service</t>
        </is>
      </c>
      <c r="G559" s="446" t="inlineStr">
        <is>
          <t>-</t>
        </is>
      </c>
      <c r="H559" s="446" t="n">
        <v>2617334657</v>
      </c>
      <c r="I559" s="446" t="inlineStr">
        <is>
          <t>Additional</t>
        </is>
      </c>
      <c r="J559" s="551" t="n">
        <v>46217</v>
      </c>
      <c r="K559" s="18" t="inlineStr">
        <is>
          <t>Gulf vision</t>
        </is>
      </c>
      <c r="L559" s="34"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569" t="n"/>
      <c r="B560" s="569" t="n"/>
      <c r="C560" s="569" t="n"/>
      <c r="D560" s="569" t="n"/>
      <c r="E560" s="48" t="inlineStr">
        <is>
          <t>ADITYA KUMAR  CHAUDHARY</t>
        </is>
      </c>
      <c r="F560" s="42" t="inlineStr">
        <is>
          <t>Soft Service</t>
        </is>
      </c>
      <c r="G560" s="446" t="n">
        <v>104936</v>
      </c>
      <c r="H560" s="446" t="n">
        <v>2447242005</v>
      </c>
      <c r="I560" s="446" t="inlineStr">
        <is>
          <t>Additional</t>
        </is>
      </c>
      <c r="J560" s="551" t="n">
        <v>46217</v>
      </c>
      <c r="K560" s="18" t="inlineStr">
        <is>
          <t>Mehan</t>
        </is>
      </c>
      <c r="L560" s="34"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569" t="n"/>
      <c r="B561" s="569" t="n"/>
      <c r="C561" s="569" t="n"/>
      <c r="D561" s="569" t="n"/>
      <c r="E561" s="48" t="inlineStr">
        <is>
          <t>MOHAMMAD - - RAFI</t>
        </is>
      </c>
      <c r="F561" s="42" t="inlineStr">
        <is>
          <t>Soft Service</t>
        </is>
      </c>
      <c r="G561" s="446" t="inlineStr">
        <is>
          <t>R07612</t>
        </is>
      </c>
      <c r="H561" s="446" t="n">
        <v>2592479782</v>
      </c>
      <c r="I561" s="446" t="inlineStr">
        <is>
          <t>Additional</t>
        </is>
      </c>
      <c r="J561" s="551" t="n">
        <v>46217</v>
      </c>
      <c r="K561" s="18" t="inlineStr">
        <is>
          <t>Mehan</t>
        </is>
      </c>
      <c r="L561" s="34"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569" t="n"/>
      <c r="B562" s="569" t="n"/>
      <c r="C562" s="569" t="n"/>
      <c r="D562" s="569" t="n"/>
      <c r="E562" s="48" t="inlineStr">
        <is>
          <t>MOHAMMAD NAIM MOHAMMAD IRFAN</t>
        </is>
      </c>
      <c r="F562" s="42" t="inlineStr">
        <is>
          <t>Soft Service</t>
        </is>
      </c>
      <c r="G562" s="446" t="inlineStr">
        <is>
          <t>R07567</t>
        </is>
      </c>
      <c r="H562" s="446" t="n">
        <v>2589836606</v>
      </c>
      <c r="I562" s="446" t="inlineStr">
        <is>
          <t>Additional</t>
        </is>
      </c>
      <c r="J562" s="551" t="n">
        <v>46217</v>
      </c>
      <c r="K562" s="18" t="inlineStr">
        <is>
          <t>Mehan</t>
        </is>
      </c>
      <c r="L562" s="34"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569" t="n"/>
      <c r="B563" s="569" t="n"/>
      <c r="C563" s="569" t="n"/>
      <c r="D563" s="569" t="n"/>
      <c r="E563" s="48" t="inlineStr">
        <is>
          <t>IRFAN - - ALI</t>
        </is>
      </c>
      <c r="F563" s="42" t="inlineStr">
        <is>
          <t>Soft Service</t>
        </is>
      </c>
      <c r="G563" s="446" t="inlineStr">
        <is>
          <t>R09553</t>
        </is>
      </c>
      <c r="H563" s="446" t="n">
        <v>2615110166</v>
      </c>
      <c r="I563" s="446" t="inlineStr">
        <is>
          <t>Additional</t>
        </is>
      </c>
      <c r="J563" s="551" t="n">
        <v>46217</v>
      </c>
      <c r="K563" s="18" t="inlineStr">
        <is>
          <t>Mehan</t>
        </is>
      </c>
      <c r="L563" s="34"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570" t="n"/>
      <c r="B564" s="570" t="n"/>
      <c r="C564" s="570" t="n"/>
      <c r="D564" s="570" t="n"/>
      <c r="E564" s="48" t="inlineStr">
        <is>
          <t>MO ARIF - ALEEM</t>
        </is>
      </c>
      <c r="F564" s="42" t="inlineStr">
        <is>
          <t>Soft Service</t>
        </is>
      </c>
      <c r="G564" s="446" t="inlineStr">
        <is>
          <t>L00504</t>
        </is>
      </c>
      <c r="H564" s="446" t="n">
        <v>2628342343</v>
      </c>
      <c r="I564" s="446" t="inlineStr">
        <is>
          <t>Additional</t>
        </is>
      </c>
      <c r="J564" s="551" t="n">
        <v>46217</v>
      </c>
      <c r="K564" s="18" t="inlineStr">
        <is>
          <t>Mehan</t>
        </is>
      </c>
      <c r="L564" s="34" t="inlineStr">
        <is>
          <t>-</t>
        </is>
      </c>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5" customHeight="1">
      <c r="A565" s="444" t="inlineStr">
        <is>
          <t>Driver</t>
        </is>
      </c>
      <c r="B565" s="446" t="n">
        <v>0</v>
      </c>
      <c r="C565" s="446">
        <f>COUNTIF(E565:E578,"&lt;&gt;")</f>
        <v/>
      </c>
      <c r="D565" s="447" t="n">
        <v>0</v>
      </c>
      <c r="E565" s="36" t="inlineStr">
        <is>
          <t>Mohd Faijan</t>
        </is>
      </c>
      <c r="F565" s="32" t="inlineStr">
        <is>
          <t>Logistic Services</t>
        </is>
      </c>
      <c r="G565" s="43" t="n">
        <v>703074</v>
      </c>
      <c r="H565" s="32" t="n">
        <v>2569953355</v>
      </c>
      <c r="I565" s="446" t="inlineStr">
        <is>
          <t>Additional</t>
        </is>
      </c>
      <c r="J565" s="551" t="n">
        <v>45941</v>
      </c>
      <c r="K565" s="44" t="inlineStr">
        <is>
          <t>FMCO</t>
        </is>
      </c>
      <c r="L565" s="34"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569" t="n"/>
      <c r="B566" s="569" t="n"/>
      <c r="C566" s="569" t="n"/>
      <c r="D566" s="569" t="n"/>
      <c r="E566" s="36" t="inlineStr">
        <is>
          <t>Amir Jan Mashal Khan</t>
        </is>
      </c>
      <c r="F566" s="32" t="inlineStr">
        <is>
          <t>Logistic Services</t>
        </is>
      </c>
      <c r="G566" s="43" t="n">
        <v>703275</v>
      </c>
      <c r="H566" s="32" t="n">
        <v>2555290341</v>
      </c>
      <c r="I566" s="446" t="inlineStr">
        <is>
          <t>Additional</t>
        </is>
      </c>
      <c r="J566" s="551" t="n">
        <v>45869</v>
      </c>
      <c r="K566" s="44" t="inlineStr">
        <is>
          <t>FMCO</t>
        </is>
      </c>
      <c r="L566" s="34"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569" t="n"/>
      <c r="B567" s="569" t="n"/>
      <c r="C567" s="569" t="n"/>
      <c r="D567" s="569" t="n"/>
      <c r="E567" s="36" t="inlineStr">
        <is>
          <t>Shamshad Naseem</t>
        </is>
      </c>
      <c r="F567" s="32" t="inlineStr">
        <is>
          <t>Logistic Services</t>
        </is>
      </c>
      <c r="G567" s="43" t="n">
        <v>701746</v>
      </c>
      <c r="H567" s="32" t="n">
        <v>2536763655</v>
      </c>
      <c r="I567" s="446" t="inlineStr">
        <is>
          <t>Additional</t>
        </is>
      </c>
      <c r="J567" s="551" t="n">
        <v>45796</v>
      </c>
      <c r="K567" s="44" t="inlineStr">
        <is>
          <t>FMCO</t>
        </is>
      </c>
      <c r="L567" s="34"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569" t="n"/>
      <c r="B568" s="569" t="n"/>
      <c r="C568" s="569" t="n"/>
      <c r="D568" s="569" t="n"/>
      <c r="E568" s="36" t="inlineStr">
        <is>
          <t>Abdul Hakeem</t>
        </is>
      </c>
      <c r="F568" s="32" t="inlineStr">
        <is>
          <t>Logistic Services</t>
        </is>
      </c>
      <c r="G568" s="43" t="n">
        <v>703131</v>
      </c>
      <c r="H568" s="32" t="n">
        <v>2569584382</v>
      </c>
      <c r="I568" s="446" t="inlineStr">
        <is>
          <t>Additional</t>
        </is>
      </c>
      <c r="J568" s="551" t="n">
        <v>45452</v>
      </c>
      <c r="K568" s="44" t="inlineStr">
        <is>
          <t>FMCO</t>
        </is>
      </c>
      <c r="L568" s="34" t="inlineStr">
        <is>
          <t>-</t>
        </is>
      </c>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569" t="n"/>
      <c r="B569" s="569" t="n"/>
      <c r="C569" s="569" t="n"/>
      <c r="D569" s="569" t="n"/>
      <c r="E569" s="36" t="inlineStr">
        <is>
          <t>Kamran Khan Abdul Jabbar</t>
        </is>
      </c>
      <c r="F569" s="32" t="inlineStr">
        <is>
          <t>Logistic Services</t>
        </is>
      </c>
      <c r="G569" s="43" t="n">
        <v>703188</v>
      </c>
      <c r="H569" s="32" t="n">
        <v>2565687973</v>
      </c>
      <c r="I569" s="446" t="inlineStr">
        <is>
          <t>Additional</t>
        </is>
      </c>
      <c r="J569" s="551" t="n">
        <v>45610</v>
      </c>
      <c r="K569" s="44" t="inlineStr">
        <is>
          <t>FMCO</t>
        </is>
      </c>
      <c r="L569" s="34"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569" t="n"/>
      <c r="B570" s="569" t="n"/>
      <c r="C570" s="569" t="n"/>
      <c r="D570" s="569" t="n"/>
      <c r="E570" s="36" t="inlineStr">
        <is>
          <t>Noor Dad Ali Muhammad Amin Jan</t>
        </is>
      </c>
      <c r="F570" s="32" t="inlineStr">
        <is>
          <t>Logistic Services</t>
        </is>
      </c>
      <c r="G570" s="43" t="n">
        <v>700744</v>
      </c>
      <c r="H570" s="32" t="n">
        <v>2508675093</v>
      </c>
      <c r="I570" s="446" t="inlineStr">
        <is>
          <t>Additional</t>
        </is>
      </c>
      <c r="J570" s="551" t="n">
        <v>45932</v>
      </c>
      <c r="K570" s="44" t="inlineStr">
        <is>
          <t>FMCO</t>
        </is>
      </c>
      <c r="L570" s="34"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569" t="n"/>
      <c r="B571" s="569" t="n"/>
      <c r="C571" s="569" t="n"/>
      <c r="D571" s="569" t="n"/>
      <c r="E571" s="36" t="inlineStr">
        <is>
          <t>Tehseen Ullah</t>
        </is>
      </c>
      <c r="F571" s="32" t="inlineStr">
        <is>
          <t>Logistic Services</t>
        </is>
      </c>
      <c r="G571" s="43" t="inlineStr">
        <is>
          <t>C01461</t>
        </is>
      </c>
      <c r="H571" s="32" t="n">
        <v>2590400764</v>
      </c>
      <c r="I571" s="446" t="inlineStr">
        <is>
          <t>Additional</t>
        </is>
      </c>
      <c r="J571" s="551" t="n">
        <v>45983</v>
      </c>
      <c r="K571" s="44" t="inlineStr">
        <is>
          <t>MEHAN</t>
        </is>
      </c>
      <c r="L571" s="34"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569" t="n"/>
      <c r="B572" s="569" t="n"/>
      <c r="C572" s="569" t="n"/>
      <c r="D572" s="569" t="n"/>
      <c r="E572" s="36" t="inlineStr">
        <is>
          <t>Talha Ghous Ghulam Ghous</t>
        </is>
      </c>
      <c r="F572" s="32" t="inlineStr">
        <is>
          <t>Logistic Services</t>
        </is>
      </c>
      <c r="G572" s="43" t="inlineStr">
        <is>
          <t>-</t>
        </is>
      </c>
      <c r="H572" s="32" t="n">
        <v>2575064544</v>
      </c>
      <c r="I572" s="446" t="inlineStr">
        <is>
          <t>Additional</t>
        </is>
      </c>
      <c r="J572" s="551" t="n">
        <v>46011</v>
      </c>
      <c r="K572" s="44" t="inlineStr">
        <is>
          <t>ALFALAK</t>
        </is>
      </c>
      <c r="L572" s="34"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569" t="n"/>
      <c r="B573" s="569" t="n"/>
      <c r="C573" s="569" t="n"/>
      <c r="D573" s="569" t="n"/>
      <c r="E573" s="36" t="inlineStr">
        <is>
          <t>Sajid Iqbal</t>
        </is>
      </c>
      <c r="F573" s="42" t="inlineStr">
        <is>
          <t>Logistic Services</t>
        </is>
      </c>
      <c r="G573" s="43" t="inlineStr">
        <is>
          <t>-</t>
        </is>
      </c>
      <c r="H573" s="32" t="n">
        <v>2584557306</v>
      </c>
      <c r="I573" s="446" t="inlineStr">
        <is>
          <t>Additional</t>
        </is>
      </c>
      <c r="J573" s="551" t="n">
        <v>46160</v>
      </c>
      <c r="K573" s="44" t="inlineStr">
        <is>
          <t>AL SHARQIYA</t>
        </is>
      </c>
      <c r="L573" s="34"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569" t="n"/>
      <c r="B574" s="569" t="n"/>
      <c r="C574" s="569" t="n"/>
      <c r="D574" s="569" t="n"/>
      <c r="E574" s="36" t="inlineStr">
        <is>
          <t>Habib Ur Rahman Bakht Rahmankhan</t>
        </is>
      </c>
      <c r="F574" s="42" t="inlineStr">
        <is>
          <t>Logistic Services</t>
        </is>
      </c>
      <c r="G574" s="43" t="inlineStr">
        <is>
          <t>-</t>
        </is>
      </c>
      <c r="H574" s="32" t="n">
        <v>2508210628</v>
      </c>
      <c r="I574" s="446" t="inlineStr">
        <is>
          <t>Additional</t>
        </is>
      </c>
      <c r="J574" s="551" t="n">
        <v>46174</v>
      </c>
      <c r="K574" s="44" t="inlineStr">
        <is>
          <t>AL SHARQIYA</t>
        </is>
      </c>
      <c r="L574" s="34"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569" t="n"/>
      <c r="B575" s="569" t="n"/>
      <c r="C575" s="569" t="n"/>
      <c r="D575" s="569" t="n"/>
      <c r="E575" s="36" t="n"/>
      <c r="F575" s="42" t="inlineStr">
        <is>
          <t>Logistic Services</t>
        </is>
      </c>
      <c r="G575" s="43" t="inlineStr">
        <is>
          <t>-</t>
        </is>
      </c>
      <c r="H575" s="32" t="inlineStr">
        <is>
          <t>-</t>
        </is>
      </c>
      <c r="I575" s="446" t="inlineStr">
        <is>
          <t>Vacant</t>
        </is>
      </c>
      <c r="J575" s="551" t="n"/>
      <c r="K575" s="44" t="inlineStr">
        <is>
          <t>-</t>
        </is>
      </c>
      <c r="L575" s="34"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569" t="n"/>
      <c r="B576" s="569" t="n"/>
      <c r="C576" s="569" t="n"/>
      <c r="D576" s="569" t="n"/>
      <c r="E576" s="48" t="inlineStr">
        <is>
          <t>GHULAM AKBAR</t>
        </is>
      </c>
      <c r="F576" s="446" t="inlineStr">
        <is>
          <t>Logistic Services</t>
        </is>
      </c>
      <c r="G576" s="445" t="inlineStr">
        <is>
          <t>-</t>
        </is>
      </c>
      <c r="H576" s="445" t="n">
        <v>2518671363</v>
      </c>
      <c r="I576" s="446" t="inlineStr">
        <is>
          <t>Additional</t>
        </is>
      </c>
      <c r="J576" s="551" t="n">
        <v>46239</v>
      </c>
      <c r="K576" s="18" t="inlineStr">
        <is>
          <t>-</t>
        </is>
      </c>
      <c r="L576" s="37" t="inlineStr">
        <is>
          <t>-</t>
        </is>
      </c>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569" t="n"/>
      <c r="B577" s="569" t="n"/>
      <c r="C577" s="569" t="n"/>
      <c r="D577" s="569" t="n"/>
      <c r="E577" s="48" t="inlineStr">
        <is>
          <t>SANWAL IJAZ</t>
        </is>
      </c>
      <c r="F577" s="446" t="inlineStr">
        <is>
          <t>Logistic Services</t>
        </is>
      </c>
      <c r="G577" s="445" t="inlineStr">
        <is>
          <t>-</t>
        </is>
      </c>
      <c r="H577" s="445" t="n">
        <v>2579157690</v>
      </c>
      <c r="I577" s="446" t="inlineStr">
        <is>
          <t>Additional</t>
        </is>
      </c>
      <c r="J577" s="551" t="n">
        <v>46239</v>
      </c>
      <c r="K577" s="18" t="inlineStr">
        <is>
          <t>-</t>
        </is>
      </c>
      <c r="L577" s="37"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570" t="n"/>
      <c r="B578" s="570" t="n"/>
      <c r="C578" s="570" t="n"/>
      <c r="D578" s="570" t="n"/>
      <c r="E578" s="46" t="inlineStr">
        <is>
          <t>MUHAMMAD UMAIR KHAN</t>
        </is>
      </c>
      <c r="F578" s="446" t="inlineStr">
        <is>
          <t>Logistic Services</t>
        </is>
      </c>
      <c r="G578" s="445" t="inlineStr">
        <is>
          <t>-</t>
        </is>
      </c>
      <c r="H578" s="445" t="n">
        <v>2618423376</v>
      </c>
      <c r="I578" s="446" t="inlineStr">
        <is>
          <t>Additional</t>
        </is>
      </c>
      <c r="J578" s="551" t="n">
        <v>46174</v>
      </c>
      <c r="K578" s="18" t="inlineStr">
        <is>
          <t>AL SHARQIYA</t>
        </is>
      </c>
      <c r="L578" s="34"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44" t="inlineStr">
        <is>
          <t>Swimming Pool Supervisor</t>
        </is>
      </c>
      <c r="B579" s="446" t="n">
        <v>0</v>
      </c>
      <c r="C579" s="446">
        <f>COUNTIF(E579:E580,"&lt;&gt;")</f>
        <v/>
      </c>
      <c r="D579" s="447" t="n">
        <v>0</v>
      </c>
      <c r="E579" s="36" t="inlineStr">
        <is>
          <t>Lakshmi Narayana Swamy Kanna</t>
        </is>
      </c>
      <c r="F579" s="42" t="inlineStr">
        <is>
          <t>Hard Service</t>
        </is>
      </c>
      <c r="G579" s="43" t="n">
        <v>219280</v>
      </c>
      <c r="H579" s="32" t="n">
        <v>2622479497</v>
      </c>
      <c r="I579" s="446" t="inlineStr">
        <is>
          <t>Additional</t>
        </is>
      </c>
      <c r="J579" s="551" t="n">
        <v>45993</v>
      </c>
      <c r="K579" s="44" t="inlineStr">
        <is>
          <t>MASSADAR VISA</t>
        </is>
      </c>
      <c r="L579" s="34"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570" t="n"/>
      <c r="B580" s="570" t="n"/>
      <c r="C580" s="570" t="n"/>
      <c r="D580" s="570" t="n"/>
      <c r="E580" s="36" t="inlineStr">
        <is>
          <t>Avnish Kumar</t>
        </is>
      </c>
      <c r="F580" s="42" t="inlineStr">
        <is>
          <t>Hard Service</t>
        </is>
      </c>
      <c r="G580" s="43" t="n">
        <v>219399</v>
      </c>
      <c r="H580" s="32" t="n">
        <v>2622658124</v>
      </c>
      <c r="I580" s="446" t="inlineStr">
        <is>
          <t>Additional</t>
        </is>
      </c>
      <c r="J580" s="551" t="n">
        <v>46014</v>
      </c>
      <c r="K580" s="44" t="inlineStr">
        <is>
          <t>MASSADAR VISA</t>
        </is>
      </c>
      <c r="L580" s="34"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44" t="inlineStr">
        <is>
          <t>Swimming Pool Technician</t>
        </is>
      </c>
      <c r="B581" s="446" t="n">
        <v>0</v>
      </c>
      <c r="C581" s="446">
        <f>COUNTIF(E581:E585,"&lt;&gt;")</f>
        <v/>
      </c>
      <c r="D581" s="447" t="n">
        <v>0</v>
      </c>
      <c r="E581" s="36" t="inlineStr">
        <is>
          <t>Aftab Ansari</t>
        </is>
      </c>
      <c r="F581" s="42" t="inlineStr">
        <is>
          <t>Hard Service</t>
        </is>
      </c>
      <c r="G581" s="43" t="inlineStr">
        <is>
          <t>EM-0003362</t>
        </is>
      </c>
      <c r="H581" s="32" t="n">
        <v>2629654217</v>
      </c>
      <c r="I581" s="446" t="inlineStr">
        <is>
          <t>Additional</t>
        </is>
      </c>
      <c r="J581" s="551" t="n">
        <v>46065</v>
      </c>
      <c r="K581" s="44" t="inlineStr">
        <is>
          <t>ALFALAK</t>
        </is>
      </c>
      <c r="L581" s="34"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569" t="n"/>
      <c r="B582" s="569" t="n"/>
      <c r="C582" s="569" t="n"/>
      <c r="D582" s="569" t="n"/>
      <c r="E582" s="36" t="inlineStr">
        <is>
          <t>Manzar Alam</t>
        </is>
      </c>
      <c r="F582" s="42" t="inlineStr">
        <is>
          <t>Hard Service</t>
        </is>
      </c>
      <c r="G582" s="43" t="inlineStr">
        <is>
          <t>EM-0003411</t>
        </is>
      </c>
      <c r="H582" s="32" t="n">
        <v>2629655867</v>
      </c>
      <c r="I582" s="446" t="inlineStr">
        <is>
          <t>Additional</t>
        </is>
      </c>
      <c r="J582" s="551" t="n">
        <v>46065</v>
      </c>
      <c r="K582" s="44" t="inlineStr">
        <is>
          <t>ALFALAK</t>
        </is>
      </c>
      <c r="L582" s="34"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569" t="n"/>
      <c r="B583" s="569" t="n"/>
      <c r="C583" s="569" t="n"/>
      <c r="D583" s="569" t="n"/>
      <c r="E583" s="36" t="inlineStr">
        <is>
          <t>Arman Ansari</t>
        </is>
      </c>
      <c r="F583" s="42" t="inlineStr">
        <is>
          <t>Hard Service</t>
        </is>
      </c>
      <c r="G583" s="43" t="inlineStr">
        <is>
          <t>EM-0003543</t>
        </is>
      </c>
      <c r="H583" s="32" t="n">
        <v>2630787899</v>
      </c>
      <c r="I583" s="446" t="inlineStr">
        <is>
          <t>Additional</t>
        </is>
      </c>
      <c r="J583" s="551" t="n">
        <v>46081</v>
      </c>
      <c r="K583" s="44" t="inlineStr">
        <is>
          <t>AL FALAK</t>
        </is>
      </c>
      <c r="L583" s="34"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569" t="n"/>
      <c r="B584" s="569" t="n"/>
      <c r="C584" s="569" t="n"/>
      <c r="D584" s="569" t="n"/>
      <c r="E584" s="36" t="inlineStr">
        <is>
          <t>Md Meraj Hussain</t>
        </is>
      </c>
      <c r="F584" s="42" t="inlineStr">
        <is>
          <t>Hard Service</t>
        </is>
      </c>
      <c r="G584" s="43" t="inlineStr">
        <is>
          <t>EM-0003179</t>
        </is>
      </c>
      <c r="H584" s="32" t="n">
        <v>2624621112</v>
      </c>
      <c r="I584" s="446" t="inlineStr">
        <is>
          <t>Additional</t>
        </is>
      </c>
      <c r="J584" s="551" t="n">
        <v>46016</v>
      </c>
      <c r="K584" s="44" t="inlineStr">
        <is>
          <t>AL FALAK</t>
        </is>
      </c>
      <c r="L584" s="34"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570" t="n"/>
      <c r="B585" s="570" t="n"/>
      <c r="C585" s="570" t="n"/>
      <c r="D585" s="570" t="n"/>
      <c r="E585" s="36" t="inlineStr">
        <is>
          <t>Md Asharaf Alam</t>
        </is>
      </c>
      <c r="F585" s="42" t="inlineStr">
        <is>
          <t>Hard Service</t>
        </is>
      </c>
      <c r="G585" s="43" t="inlineStr">
        <is>
          <t>C01628</t>
        </is>
      </c>
      <c r="H585" s="32" t="n">
        <v>2630877831</v>
      </c>
      <c r="I585" s="446" t="inlineStr">
        <is>
          <t>Additional</t>
        </is>
      </c>
      <c r="J585" s="551" t="n">
        <v>46081</v>
      </c>
      <c r="K585" s="44" t="inlineStr">
        <is>
          <t>MEHAN</t>
        </is>
      </c>
      <c r="L585" s="34"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44" t="inlineStr">
        <is>
          <t>Pool Pump Technician</t>
        </is>
      </c>
      <c r="B586" s="446" t="n">
        <v>0</v>
      </c>
      <c r="C586" s="446">
        <f>COUNTIF(E586:E587,"&lt;&gt;")</f>
        <v/>
      </c>
      <c r="D586" s="447" t="n">
        <v>0</v>
      </c>
      <c r="E586" s="36" t="inlineStr">
        <is>
          <t>Sajid Khan</t>
        </is>
      </c>
      <c r="F586" s="42" t="inlineStr">
        <is>
          <t>Hard Service</t>
        </is>
      </c>
      <c r="G586" s="43" t="n">
        <v>703954</v>
      </c>
      <c r="H586" s="32" t="n">
        <v>2583867052</v>
      </c>
      <c r="I586" s="446" t="inlineStr">
        <is>
          <t>Additional</t>
        </is>
      </c>
      <c r="J586" s="551" t="n">
        <v>45902</v>
      </c>
      <c r="K586" s="44" t="inlineStr">
        <is>
          <t>FMCO</t>
        </is>
      </c>
      <c r="L586" s="34"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570" t="n"/>
      <c r="B587" s="570" t="n"/>
      <c r="C587" s="570" t="n"/>
      <c r="D587" s="570" t="n"/>
      <c r="E587" s="36" t="inlineStr">
        <is>
          <t>Md Abul Hussain</t>
        </is>
      </c>
      <c r="F587" s="42" t="inlineStr">
        <is>
          <t>Hard Service</t>
        </is>
      </c>
      <c r="G587" s="43" t="inlineStr">
        <is>
          <t>EM-0002523</t>
        </is>
      </c>
      <c r="H587" s="32" t="n">
        <v>2583863713</v>
      </c>
      <c r="I587" s="446" t="inlineStr">
        <is>
          <t>Additional</t>
        </is>
      </c>
      <c r="J587" s="551" t="n">
        <v>46117</v>
      </c>
      <c r="K587" s="44" t="inlineStr">
        <is>
          <t>AL-FALAK VISA</t>
        </is>
      </c>
      <c r="L587" s="34"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44" t="inlineStr">
        <is>
          <t>Lifeguard</t>
        </is>
      </c>
      <c r="B588" s="446" t="n">
        <v>0</v>
      </c>
      <c r="C588" s="446" t="n">
        <v>7</v>
      </c>
      <c r="D588" s="447" t="n">
        <v>0</v>
      </c>
      <c r="E588" s="36" t="inlineStr">
        <is>
          <t>Omr Khaled Sedky Ali</t>
        </is>
      </c>
      <c r="F588" s="42" t="inlineStr">
        <is>
          <t>Recreation</t>
        </is>
      </c>
      <c r="G588" s="43" t="inlineStr">
        <is>
          <t>-</t>
        </is>
      </c>
      <c r="H588" s="32" t="n">
        <v>2628725075</v>
      </c>
      <c r="I588" s="446" t="inlineStr">
        <is>
          <t>Additional</t>
        </is>
      </c>
      <c r="J588" s="551" t="n">
        <v>46064</v>
      </c>
      <c r="K588" s="44" t="inlineStr">
        <is>
          <t>WABCO</t>
        </is>
      </c>
      <c r="L588" s="34"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569" t="n"/>
      <c r="B589" s="569" t="n"/>
      <c r="C589" s="569" t="n"/>
      <c r="D589" s="569" t="n"/>
      <c r="E589" s="36" t="n"/>
      <c r="F589" s="42" t="inlineStr">
        <is>
          <t>Recreation</t>
        </is>
      </c>
      <c r="G589" s="43" t="inlineStr">
        <is>
          <t>-</t>
        </is>
      </c>
      <c r="H589" s="32" t="inlineStr">
        <is>
          <t>-</t>
        </is>
      </c>
      <c r="I589" s="446" t="inlineStr">
        <is>
          <t>Vacant</t>
        </is>
      </c>
      <c r="J589" s="551" t="n"/>
      <c r="K589" s="44" t="inlineStr">
        <is>
          <t>-</t>
        </is>
      </c>
      <c r="L589" s="34"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569" t="n"/>
      <c r="B590" s="569" t="n"/>
      <c r="C590" s="569" t="n"/>
      <c r="D590" s="569" t="n"/>
      <c r="E590" s="36" t="inlineStr">
        <is>
          <t>Osama Adnan Fouad Abdel-Aati</t>
        </is>
      </c>
      <c r="F590" s="42" t="inlineStr">
        <is>
          <t>Recreation</t>
        </is>
      </c>
      <c r="G590" s="43" t="inlineStr">
        <is>
          <t>-</t>
        </is>
      </c>
      <c r="H590" s="32" t="n">
        <v>2620222964</v>
      </c>
      <c r="I590" s="446" t="inlineStr">
        <is>
          <t>Additional</t>
        </is>
      </c>
      <c r="J590" s="551" t="n">
        <v>46134</v>
      </c>
      <c r="K590" s="44" t="inlineStr">
        <is>
          <t>WABCO</t>
        </is>
      </c>
      <c r="L590" s="34" t="inlineStr">
        <is>
          <t>-</t>
        </is>
      </c>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569" t="n"/>
      <c r="B591" s="569" t="n"/>
      <c r="C591" s="569" t="n"/>
      <c r="D591" s="569" t="n"/>
      <c r="E591" s="36" t="inlineStr">
        <is>
          <t>Mahmoud Walid Kamal Ali</t>
        </is>
      </c>
      <c r="F591" s="42" t="inlineStr">
        <is>
          <t>Recreation</t>
        </is>
      </c>
      <c r="G591" s="43" t="inlineStr">
        <is>
          <t>-</t>
        </is>
      </c>
      <c r="H591" s="32" t="n">
        <v>2638999462</v>
      </c>
      <c r="I591" s="446" t="inlineStr">
        <is>
          <t>Additional</t>
        </is>
      </c>
      <c r="J591" s="551" t="n">
        <v>46199</v>
      </c>
      <c r="K591" s="44" t="inlineStr">
        <is>
          <t>WABCO</t>
        </is>
      </c>
      <c r="L591" s="34"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569" t="n"/>
      <c r="B592" s="569" t="n"/>
      <c r="C592" s="569" t="n"/>
      <c r="D592" s="569" t="n"/>
      <c r="E592" s="36" t="inlineStr">
        <is>
          <t>Ashique Mannil Thodi</t>
        </is>
      </c>
      <c r="F592" s="42" t="inlineStr">
        <is>
          <t>Recreation</t>
        </is>
      </c>
      <c r="G592" s="43" t="inlineStr">
        <is>
          <t>-</t>
        </is>
      </c>
      <c r="H592" s="32" t="n">
        <v>2640117434</v>
      </c>
      <c r="I592" s="446" t="inlineStr">
        <is>
          <t>Additional</t>
        </is>
      </c>
      <c r="J592" s="551" t="n">
        <v>46209</v>
      </c>
      <c r="K592" s="44" t="inlineStr">
        <is>
          <t>FMCO</t>
        </is>
      </c>
      <c r="L592" s="34"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569" t="n"/>
      <c r="B593" s="569" t="n"/>
      <c r="C593" s="569" t="n"/>
      <c r="D593" s="569" t="n"/>
      <c r="E593" s="36" t="inlineStr">
        <is>
          <t>IRSHADALLI BABUSAHEB NADAF</t>
        </is>
      </c>
      <c r="F593" s="42" t="inlineStr">
        <is>
          <t>Recreation</t>
        </is>
      </c>
      <c r="G593" s="43" t="n"/>
      <c r="H593" s="32" t="inlineStr">
        <is>
          <t>AA019340</t>
        </is>
      </c>
      <c r="I593" s="446" t="inlineStr">
        <is>
          <t>Additional</t>
        </is>
      </c>
      <c r="J593" s="551" t="n">
        <v>46268</v>
      </c>
      <c r="K593" s="44" t="n"/>
      <c r="L593" s="34"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570" t="n"/>
      <c r="B594" s="570" t="n"/>
      <c r="C594" s="570" t="n"/>
      <c r="D594" s="570" t="n"/>
      <c r="E594" s="36" t="inlineStr">
        <is>
          <t>Ranjith Rajan</t>
        </is>
      </c>
      <c r="F594" s="42" t="inlineStr">
        <is>
          <t>Recreation</t>
        </is>
      </c>
      <c r="G594" s="43" t="inlineStr">
        <is>
          <t>-</t>
        </is>
      </c>
      <c r="H594" s="32" t="n">
        <v>2640117673</v>
      </c>
      <c r="I594" s="446" t="inlineStr">
        <is>
          <t>Additional</t>
        </is>
      </c>
      <c r="J594" s="551" t="n">
        <v>46209</v>
      </c>
      <c r="K594" s="44" t="inlineStr">
        <is>
          <t>FMCO</t>
        </is>
      </c>
      <c r="L594" s="34" t="inlineStr">
        <is>
          <t>-</t>
        </is>
      </c>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148" t="inlineStr">
        <is>
          <t xml:space="preserve">Storekeeper </t>
        </is>
      </c>
      <c r="B595" s="494" t="n">
        <v>0</v>
      </c>
      <c r="C595" s="494">
        <f>COUNTIF(E595:E595,"&lt;&gt;")</f>
        <v/>
      </c>
      <c r="D595" s="449" t="n">
        <v>0</v>
      </c>
      <c r="E595" s="36" t="inlineStr">
        <is>
          <t>Tahir Sajjad</t>
        </is>
      </c>
      <c r="F595" s="42" t="inlineStr">
        <is>
          <t>Warehouse</t>
        </is>
      </c>
      <c r="G595" s="43" t="n">
        <v>703483</v>
      </c>
      <c r="H595" s="32" t="n">
        <v>2032148179</v>
      </c>
      <c r="I595" s="446" t="inlineStr">
        <is>
          <t>Additional</t>
        </is>
      </c>
      <c r="J595" s="551" t="n">
        <v>45725</v>
      </c>
      <c r="K595" s="44" t="inlineStr">
        <is>
          <t>FMCO</t>
        </is>
      </c>
      <c r="L595" s="34"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444" t="inlineStr">
        <is>
          <t xml:space="preserve">Kitchen &amp; Laundry Technician </t>
        </is>
      </c>
      <c r="B596" s="446" t="n">
        <v>0</v>
      </c>
      <c r="C596" s="446">
        <f>COUNTIF(E596,"&lt;&gt;")</f>
        <v/>
      </c>
      <c r="D596" s="447" t="n">
        <v>0</v>
      </c>
      <c r="E596" s="36" t="inlineStr">
        <is>
          <t>Dinesh Kumar Prajapati</t>
        </is>
      </c>
      <c r="F596" s="42" t="inlineStr">
        <is>
          <t>Hard Service</t>
        </is>
      </c>
      <c r="G596" s="43" t="n">
        <v>700732</v>
      </c>
      <c r="H596" s="32" t="n">
        <v>2520311578</v>
      </c>
      <c r="I596" s="446" t="inlineStr">
        <is>
          <t>Additional</t>
        </is>
      </c>
      <c r="J596" s="551" t="n">
        <v>46101</v>
      </c>
      <c r="K596" s="44" t="inlineStr">
        <is>
          <t>FMCO</t>
        </is>
      </c>
      <c r="L596" s="34"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44" t="inlineStr">
        <is>
          <t>Painter</t>
        </is>
      </c>
      <c r="B597" s="446" t="n">
        <v>0</v>
      </c>
      <c r="C597" s="446">
        <f>COUNTIF(E597,"&lt;&gt;")</f>
        <v/>
      </c>
      <c r="D597" s="447" t="n">
        <v>0</v>
      </c>
      <c r="E597" s="46" t="inlineStr">
        <is>
          <t>MOHAMMAD RAJA</t>
        </is>
      </c>
      <c r="F597" s="446" t="inlineStr">
        <is>
          <t>Hard Service</t>
        </is>
      </c>
      <c r="G597" s="445" t="inlineStr">
        <is>
          <t>-</t>
        </is>
      </c>
      <c r="H597" s="445" t="inlineStr">
        <is>
          <t>-</t>
        </is>
      </c>
      <c r="I597" s="446" t="inlineStr">
        <is>
          <t>Additional</t>
        </is>
      </c>
      <c r="J597" s="551" t="inlineStr">
        <is>
          <t>26/08/2026</t>
        </is>
      </c>
      <c r="K597" s="44" t="inlineStr">
        <is>
          <t>-</t>
        </is>
      </c>
      <c r="L597" s="34"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570" t="n"/>
      <c r="B598" s="446" t="n">
        <v>0</v>
      </c>
      <c r="C598" s="446">
        <f>COUNTIF(E598,"&lt;&gt;")</f>
        <v/>
      </c>
      <c r="D598" s="447" t="n">
        <v>0</v>
      </c>
      <c r="E598" s="36" t="inlineStr">
        <is>
          <t>Mohammad Ali Hossain Bepary</t>
        </is>
      </c>
      <c r="F598" s="42" t="inlineStr">
        <is>
          <t>Hard Service</t>
        </is>
      </c>
      <c r="G598" s="43" t="inlineStr">
        <is>
          <t>-</t>
        </is>
      </c>
      <c r="H598" s="32" t="n">
        <v>2611164050</v>
      </c>
      <c r="I598" s="446" t="inlineStr">
        <is>
          <t>Additional</t>
        </is>
      </c>
      <c r="J598" s="551" t="n">
        <v>46151</v>
      </c>
      <c r="K598" s="44" t="inlineStr">
        <is>
          <t>AL SHARQIYA</t>
        </is>
      </c>
      <c r="L598" s="34"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44" t="inlineStr">
        <is>
          <t>STP Operator</t>
        </is>
      </c>
      <c r="B599" s="446" t="n">
        <v>0</v>
      </c>
      <c r="C599" s="446">
        <f>COUNTIF(E151,"&lt;&gt;")</f>
        <v/>
      </c>
      <c r="D599" s="447" t="n">
        <v>0</v>
      </c>
      <c r="L599" s="34"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44" t="inlineStr">
        <is>
          <t>Tailor</t>
        </is>
      </c>
      <c r="B600" s="446" t="n">
        <v>0</v>
      </c>
      <c r="C600" s="446">
        <f>COUNTIF(E600,"&lt;&gt;")</f>
        <v/>
      </c>
      <c r="D600" s="447" t="n">
        <v>0</v>
      </c>
      <c r="E600" s="36" t="inlineStr">
        <is>
          <t>Shahid Iqbal</t>
        </is>
      </c>
      <c r="F600" s="42" t="inlineStr">
        <is>
          <t>Soft Service</t>
        </is>
      </c>
      <c r="G600" s="43" t="inlineStr">
        <is>
          <t>C00935</t>
        </is>
      </c>
      <c r="H600" s="32" t="n">
        <v>2600062471</v>
      </c>
      <c r="I600" s="446" t="inlineStr">
        <is>
          <t>Additional</t>
        </is>
      </c>
      <c r="J600" s="551" t="n">
        <v>45757</v>
      </c>
      <c r="K600" s="44" t="inlineStr">
        <is>
          <t>MEHAN</t>
        </is>
      </c>
      <c r="L600" s="34"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148" t="inlineStr">
        <is>
          <t>Supervisor cum driver</t>
        </is>
      </c>
      <c r="B601" s="494" t="n">
        <v>0</v>
      </c>
      <c r="C601" s="151" t="n">
        <v>1</v>
      </c>
      <c r="D601" s="449" t="n">
        <v>0</v>
      </c>
      <c r="E601" s="46" t="inlineStr">
        <is>
          <t>Shaik Ismail Zabiullah</t>
        </is>
      </c>
      <c r="F601" s="446" t="inlineStr">
        <is>
          <t>Logistic Services</t>
        </is>
      </c>
      <c r="G601" s="445" t="inlineStr">
        <is>
          <t>-</t>
        </is>
      </c>
      <c r="H601" s="445" t="inlineStr">
        <is>
          <t>-</t>
        </is>
      </c>
      <c r="I601" s="446" t="inlineStr">
        <is>
          <t>Additional</t>
        </is>
      </c>
      <c r="J601" s="551" t="n">
        <v>46235</v>
      </c>
      <c r="K601" s="18" t="inlineStr">
        <is>
          <t>-</t>
        </is>
      </c>
      <c r="L601" s="34"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444" t="inlineStr">
        <is>
          <t>Admin</t>
        </is>
      </c>
      <c r="B602" s="494" t="n">
        <v>0</v>
      </c>
      <c r="C602" s="151" t="n">
        <v>1</v>
      </c>
      <c r="D602" s="449" t="n">
        <v>0</v>
      </c>
      <c r="E602" s="46" t="inlineStr">
        <is>
          <t>MOHAMMAD HAMZA ALI</t>
        </is>
      </c>
      <c r="F602" s="446" t="inlineStr">
        <is>
          <t>Site Management</t>
        </is>
      </c>
      <c r="G602" s="445" t="inlineStr">
        <is>
          <t>-</t>
        </is>
      </c>
      <c r="H602" s="445" t="inlineStr">
        <is>
          <t>-</t>
        </is>
      </c>
      <c r="I602" s="446" t="inlineStr">
        <is>
          <t>Additional</t>
        </is>
      </c>
      <c r="J602" s="551" t="inlineStr">
        <is>
          <t>22/8/2026</t>
        </is>
      </c>
      <c r="K602" s="18" t="inlineStr">
        <is>
          <t>-</t>
        </is>
      </c>
      <c r="L602" s="34"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570" t="n"/>
      <c r="B603" s="494" t="n">
        <v>0</v>
      </c>
      <c r="C603" s="151" t="n">
        <v>1</v>
      </c>
      <c r="D603" s="449" t="n">
        <v>0</v>
      </c>
      <c r="E603" s="48" t="inlineStr">
        <is>
          <t>Deependra Kumar Yadav</t>
        </is>
      </c>
      <c r="F603" s="446" t="inlineStr">
        <is>
          <t>Site Management</t>
        </is>
      </c>
      <c r="G603" s="445" t="n">
        <v>703536</v>
      </c>
      <c r="H603" s="445" t="n">
        <v>2585449503</v>
      </c>
      <c r="I603" s="446" t="inlineStr">
        <is>
          <t>Additional</t>
        </is>
      </c>
      <c r="J603" s="551" t="n">
        <v>45586</v>
      </c>
      <c r="K603" s="18" t="inlineStr">
        <is>
          <t>FMCO</t>
        </is>
      </c>
      <c r="L603" s="34"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148" t="inlineStr">
        <is>
          <t>ADMINISTRATOR/ RECERATION</t>
        </is>
      </c>
      <c r="B604" s="494" t="n">
        <v>0</v>
      </c>
      <c r="C604" s="151" t="n">
        <v>1</v>
      </c>
      <c r="D604" s="449" t="n">
        <v>0</v>
      </c>
      <c r="E604" s="46" t="inlineStr">
        <is>
          <t>MOHAMMAD PAVEL</t>
        </is>
      </c>
      <c r="F604" s="446" t="inlineStr">
        <is>
          <t>Recreation</t>
        </is>
      </c>
      <c r="G604" s="445" t="inlineStr">
        <is>
          <t>EM-0004108</t>
        </is>
      </c>
      <c r="H604" s="445" t="n">
        <v>2643065473</v>
      </c>
      <c r="I604" s="446" t="inlineStr">
        <is>
          <t>Additional</t>
        </is>
      </c>
      <c r="J604" s="551" t="n">
        <v>46245</v>
      </c>
      <c r="K604" s="18" t="inlineStr">
        <is>
          <t>AL-FALAK VISA</t>
        </is>
      </c>
      <c r="L604" s="34"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48" t="inlineStr">
        <is>
          <t>KITCHEN TECHNICIAN</t>
        </is>
      </c>
      <c r="B605" s="494" t="n">
        <v>0</v>
      </c>
      <c r="C605" s="151" t="n">
        <v>1</v>
      </c>
      <c r="D605" s="449" t="n">
        <v>0</v>
      </c>
      <c r="E605" s="46" t="inlineStr">
        <is>
          <t>MD RASEL MIEA</t>
        </is>
      </c>
      <c r="F605" s="446" t="inlineStr">
        <is>
          <t>Hard Service</t>
        </is>
      </c>
      <c r="G605" s="445" t="inlineStr">
        <is>
          <t>EM-0004164</t>
        </is>
      </c>
      <c r="H605" s="445" t="n">
        <v>2643189422</v>
      </c>
      <c r="I605" s="446" t="inlineStr">
        <is>
          <t>Additional</t>
        </is>
      </c>
      <c r="J605" s="551" t="n">
        <v>46246</v>
      </c>
      <c r="K605" s="18" t="inlineStr">
        <is>
          <t>AL-FALAK VISA</t>
        </is>
      </c>
      <c r="L605" s="34"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497" t="inlineStr">
        <is>
          <t>CLEANER</t>
        </is>
      </c>
      <c r="B606" s="392" t="n">
        <v>0</v>
      </c>
      <c r="C606" s="393" t="n">
        <v>1</v>
      </c>
      <c r="D606" s="394" t="n">
        <v>0</v>
      </c>
      <c r="E606" s="395" t="inlineStr">
        <is>
          <t>MD RAKIB</t>
        </is>
      </c>
      <c r="F606" s="446" t="inlineStr">
        <is>
          <t>Soft Service</t>
        </is>
      </c>
      <c r="G606" s="445" t="inlineStr">
        <is>
          <t>-</t>
        </is>
      </c>
      <c r="H606" s="445" t="inlineStr">
        <is>
          <t>-</t>
        </is>
      </c>
      <c r="I606" s="446" t="inlineStr">
        <is>
          <t>Additional</t>
        </is>
      </c>
      <c r="J606" s="551" t="inlineStr">
        <is>
          <t>26/08/2026</t>
        </is>
      </c>
      <c r="K606" s="18" t="inlineStr">
        <is>
          <t>-</t>
        </is>
      </c>
      <c r="L606" s="34"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152" t="inlineStr">
        <is>
          <t>GENERATOR OPERATOR</t>
        </is>
      </c>
      <c r="B607" s="494" t="n">
        <v>0</v>
      </c>
      <c r="C607" s="151" t="n">
        <v>1</v>
      </c>
      <c r="D607" s="449" t="n">
        <v>0</v>
      </c>
      <c r="E607" s="46" t="inlineStr">
        <is>
          <t>SRINIVASAMURTHY ARTHANARI</t>
        </is>
      </c>
      <c r="F607" s="446" t="inlineStr">
        <is>
          <t>Hard Service</t>
        </is>
      </c>
      <c r="G607" s="445" t="inlineStr">
        <is>
          <t>-</t>
        </is>
      </c>
      <c r="H607" s="445" t="inlineStr">
        <is>
          <t>-</t>
        </is>
      </c>
      <c r="I607" s="446" t="inlineStr">
        <is>
          <t>Additional</t>
        </is>
      </c>
      <c r="J607" s="551" t="inlineStr">
        <is>
          <t>26/08/2026</t>
        </is>
      </c>
      <c r="K607" s="18" t="inlineStr">
        <is>
          <t>-</t>
        </is>
      </c>
      <c r="L607" s="34"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152" t="inlineStr">
        <is>
          <t>DIESEL GENERATOR TECHNICIAN</t>
        </is>
      </c>
      <c r="B608" s="494" t="n">
        <v>0</v>
      </c>
      <c r="C608" s="151" t="n">
        <v>1</v>
      </c>
      <c r="D608" s="449" t="n">
        <v>0</v>
      </c>
      <c r="E608" s="46" t="inlineStr">
        <is>
          <t>ANOWARUL ISLAM</t>
        </is>
      </c>
      <c r="F608" s="446" t="inlineStr">
        <is>
          <t>Hard Service</t>
        </is>
      </c>
      <c r="G608" s="445" t="inlineStr">
        <is>
          <t>-</t>
        </is>
      </c>
      <c r="H608" s="445" t="inlineStr">
        <is>
          <t>-</t>
        </is>
      </c>
      <c r="I608" s="446" t="inlineStr">
        <is>
          <t>Additional</t>
        </is>
      </c>
      <c r="J608" s="551" t="inlineStr">
        <is>
          <t>26/08/2026</t>
        </is>
      </c>
      <c r="K608" s="18" t="inlineStr">
        <is>
          <t>-</t>
        </is>
      </c>
      <c r="L608" s="34"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152" t="inlineStr">
        <is>
          <t>BARBER</t>
        </is>
      </c>
      <c r="B609" s="446" t="n">
        <v>0</v>
      </c>
      <c r="C609" s="446" t="n">
        <v>2</v>
      </c>
      <c r="D609" s="446" t="n">
        <v>0</v>
      </c>
      <c r="E609" s="46" t="inlineStr">
        <is>
          <t>ANWAR ALI</t>
        </is>
      </c>
      <c r="F609" s="446" t="inlineStr">
        <is>
          <t>Soft Service</t>
        </is>
      </c>
      <c r="G609" s="445" t="n"/>
      <c r="H609" s="492" t="n">
        <v>10756973</v>
      </c>
      <c r="I609" s="446" t="inlineStr">
        <is>
          <t>Additional</t>
        </is>
      </c>
      <c r="J609" s="551" t="n">
        <v>46267</v>
      </c>
      <c r="K609" s="18" t="n"/>
      <c r="L609" s="34"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553" t="n"/>
      <c r="B610" s="570" t="n"/>
      <c r="C610" s="570" t="n"/>
      <c r="D610" s="570" t="n"/>
      <c r="E610" s="46" t="inlineStr">
        <is>
          <t>BUDDI CHANDRA SHARMA</t>
        </is>
      </c>
      <c r="F610" s="446" t="inlineStr">
        <is>
          <t>Soft Service</t>
        </is>
      </c>
      <c r="G610" s="445" t="n"/>
      <c r="H610" s="508" t="inlineStr">
        <is>
          <t>A07824961</t>
        </is>
      </c>
      <c r="I610" s="446" t="inlineStr">
        <is>
          <t>Additional</t>
        </is>
      </c>
      <c r="J610" s="551" t="n">
        <v>46267</v>
      </c>
      <c r="K610" s="18" t="n"/>
      <c r="L610" s="34"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152" t="inlineStr">
        <is>
          <t>MALE CLEANER</t>
        </is>
      </c>
      <c r="B611" s="277" t="n">
        <v>0</v>
      </c>
      <c r="C611" s="277" t="n">
        <v>17</v>
      </c>
      <c r="D611" s="277" t="n">
        <v>0</v>
      </c>
      <c r="E611" s="492" t="inlineStr">
        <is>
          <t>MD JOY</t>
        </is>
      </c>
      <c r="F611" s="446" t="inlineStr">
        <is>
          <t>Soft Service</t>
        </is>
      </c>
      <c r="G611" s="492" t="inlineStr">
        <is>
          <t>R08732</t>
        </is>
      </c>
      <c r="H611" s="492" t="n">
        <v>2608372252</v>
      </c>
      <c r="I611" s="446" t="inlineStr">
        <is>
          <t>Additional</t>
        </is>
      </c>
      <c r="J611" s="551" t="n">
        <v>46261</v>
      </c>
      <c r="K611" s="18" t="n"/>
      <c r="L611" s="34"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554" t="n"/>
      <c r="B612" s="554" t="n"/>
      <c r="C612" s="554" t="n"/>
      <c r="D612" s="554" t="n"/>
      <c r="E612" s="492" t="inlineStr">
        <is>
          <t>MD RUBEL AHAMED</t>
        </is>
      </c>
      <c r="F612" s="446" t="inlineStr">
        <is>
          <t>Soft Service</t>
        </is>
      </c>
      <c r="G612" s="492" t="inlineStr">
        <is>
          <t>R09257</t>
        </is>
      </c>
      <c r="H612" s="492" t="n">
        <v>2612712139</v>
      </c>
      <c r="I612" s="446" t="inlineStr">
        <is>
          <t>Additional</t>
        </is>
      </c>
      <c r="J612" s="551" t="n">
        <v>46261</v>
      </c>
      <c r="K612" s="18" t="n"/>
      <c r="L612" s="34"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554" t="n"/>
      <c r="B613" s="554" t="n"/>
      <c r="C613" s="554" t="n"/>
      <c r="D613" s="554" t="n"/>
      <c r="E613" s="492" t="inlineStr">
        <is>
          <t>SHAH ALI  EMON</t>
        </is>
      </c>
      <c r="F613" s="446" t="inlineStr">
        <is>
          <t>Soft Service</t>
        </is>
      </c>
      <c r="G613" s="492" t="inlineStr">
        <is>
          <t>R09264</t>
        </is>
      </c>
      <c r="H613" s="492" t="n">
        <v>2612713285</v>
      </c>
      <c r="I613" s="446" t="inlineStr">
        <is>
          <t>Additional</t>
        </is>
      </c>
      <c r="J613" s="551" t="n">
        <v>46261</v>
      </c>
      <c r="K613" s="18" t="n"/>
      <c r="L613" s="34"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554" t="n"/>
      <c r="B614" s="554" t="n"/>
      <c r="C614" s="554" t="n"/>
      <c r="D614" s="554" t="n"/>
      <c r="E614" s="492" t="inlineStr">
        <is>
          <t>BIRJI  DAS</t>
        </is>
      </c>
      <c r="F614" s="446" t="inlineStr">
        <is>
          <t>Soft Service</t>
        </is>
      </c>
      <c r="G614" s="492" t="inlineStr">
        <is>
          <t>R09325</t>
        </is>
      </c>
      <c r="H614" s="492" t="n">
        <v>2613294996</v>
      </c>
      <c r="I614" s="446" t="inlineStr">
        <is>
          <t>Additional</t>
        </is>
      </c>
      <c r="J614" s="551" t="n">
        <v>46261</v>
      </c>
      <c r="K614" s="18" t="n"/>
      <c r="L614" s="34"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554" t="n"/>
      <c r="B615" s="554" t="n"/>
      <c r="C615" s="554" t="n"/>
      <c r="D615" s="554" t="n"/>
      <c r="E615" s="492" t="inlineStr">
        <is>
          <t>VAIS AHMAD KAMALUDDIN</t>
        </is>
      </c>
      <c r="F615" s="446" t="inlineStr">
        <is>
          <t>Soft Service</t>
        </is>
      </c>
      <c r="G615" s="492" t="inlineStr">
        <is>
          <t>R09548</t>
        </is>
      </c>
      <c r="H615" s="492" t="n">
        <v>2615109788</v>
      </c>
      <c r="I615" s="446" t="inlineStr">
        <is>
          <t>Additional</t>
        </is>
      </c>
      <c r="J615" s="551" t="n">
        <v>46261</v>
      </c>
      <c r="K615" s="18" t="n"/>
      <c r="L615" s="34"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554" t="n"/>
      <c r="B616" s="554" t="n"/>
      <c r="C616" s="554" t="n"/>
      <c r="D616" s="554" t="n"/>
      <c r="E616" s="492" t="inlineStr">
        <is>
          <t>SHAMSUL HAQUE ANSARI</t>
        </is>
      </c>
      <c r="F616" s="446" t="inlineStr">
        <is>
          <t>Soft Service</t>
        </is>
      </c>
      <c r="G616" s="492" t="inlineStr">
        <is>
          <t>R09881</t>
        </is>
      </c>
      <c r="H616" s="492" t="n">
        <v>2621395660</v>
      </c>
      <c r="I616" s="446" t="inlineStr">
        <is>
          <t>Additional</t>
        </is>
      </c>
      <c r="J616" s="551" t="n">
        <v>46261</v>
      </c>
      <c r="K616" s="18" t="n"/>
      <c r="L616" s="34"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554" t="n"/>
      <c r="B617" s="554" t="n"/>
      <c r="C617" s="554" t="n"/>
      <c r="D617" s="554" t="n"/>
      <c r="E617" s="492" t="inlineStr">
        <is>
          <t>MUHAMMAD KAMRAN GHULAM MUSTAFA</t>
        </is>
      </c>
      <c r="F617" s="446" t="inlineStr">
        <is>
          <t>Soft Service</t>
        </is>
      </c>
      <c r="G617" s="492" t="inlineStr">
        <is>
          <t>L01147</t>
        </is>
      </c>
      <c r="H617" s="492" t="n">
        <v>2635109727</v>
      </c>
      <c r="I617" s="446" t="inlineStr">
        <is>
          <t>Additional</t>
        </is>
      </c>
      <c r="J617" s="551" t="n">
        <v>46261</v>
      </c>
      <c r="K617" s="18" t="n"/>
      <c r="L617" s="34"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554" t="n"/>
      <c r="B618" s="554" t="n"/>
      <c r="C618" s="554" t="n"/>
      <c r="D618" s="554" t="n"/>
      <c r="E618" s="492" t="inlineStr">
        <is>
          <t>AFRASIYAB  MUHAMMAD JAVED</t>
        </is>
      </c>
      <c r="F618" s="446" t="inlineStr">
        <is>
          <t>Soft Service</t>
        </is>
      </c>
      <c r="G618" s="492" t="inlineStr">
        <is>
          <t>L01149</t>
        </is>
      </c>
      <c r="H618" s="492" t="n">
        <v>2635109842</v>
      </c>
      <c r="I618" s="446" t="inlineStr">
        <is>
          <t>Additional</t>
        </is>
      </c>
      <c r="J618" s="551" t="n">
        <v>46261</v>
      </c>
      <c r="K618" s="18" t="n"/>
      <c r="L618" s="34"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554" t="n"/>
      <c r="B619" s="554" t="n"/>
      <c r="C619" s="554" t="n"/>
      <c r="D619" s="554" t="n"/>
      <c r="E619" s="492" t="inlineStr">
        <is>
          <t>MD ABDUL  KAIYOUM</t>
        </is>
      </c>
      <c r="F619" s="446" t="inlineStr">
        <is>
          <t>Soft Service</t>
        </is>
      </c>
      <c r="G619" s="492" t="inlineStr">
        <is>
          <t>L01168</t>
        </is>
      </c>
      <c r="H619" s="492" t="n">
        <v>2635403112</v>
      </c>
      <c r="I619" s="446" t="inlineStr">
        <is>
          <t>Additional</t>
        </is>
      </c>
      <c r="J619" s="551" t="n">
        <v>46261</v>
      </c>
      <c r="K619" s="18" t="n"/>
      <c r="L619" s="34"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554" t="n"/>
      <c r="B620" s="554" t="n"/>
      <c r="C620" s="554" t="n"/>
      <c r="D620" s="554" t="n"/>
      <c r="E620" s="492" t="inlineStr">
        <is>
          <t>ADEEL AHMED FAZAL UR REHMAN</t>
        </is>
      </c>
      <c r="F620" s="446" t="inlineStr">
        <is>
          <t>Soft Service</t>
        </is>
      </c>
      <c r="G620" s="492" t="inlineStr">
        <is>
          <t>L01649</t>
        </is>
      </c>
      <c r="H620" s="492" t="n">
        <v>2639934716</v>
      </c>
      <c r="I620" s="446" t="inlineStr">
        <is>
          <t>Additional</t>
        </is>
      </c>
      <c r="J620" s="551" t="n">
        <v>46261</v>
      </c>
      <c r="K620" s="18" t="n"/>
      <c r="L620" s="34"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554" t="n"/>
      <c r="B621" s="554" t="n"/>
      <c r="C621" s="554" t="n"/>
      <c r="D621" s="554" t="n"/>
      <c r="E621" s="492" t="inlineStr">
        <is>
          <t>MD TUMAL</t>
        </is>
      </c>
      <c r="F621" s="446" t="inlineStr">
        <is>
          <t>Soft Service</t>
        </is>
      </c>
      <c r="G621" s="492" t="inlineStr">
        <is>
          <t>L02011</t>
        </is>
      </c>
      <c r="H621" s="492" t="n">
        <v>2642869503</v>
      </c>
      <c r="I621" s="446" t="inlineStr">
        <is>
          <t>Additional</t>
        </is>
      </c>
      <c r="J621" s="551" t="n">
        <v>46261</v>
      </c>
      <c r="K621" s="18" t="n"/>
      <c r="L621" s="34"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554" t="n"/>
      <c r="B622" s="554" t="n"/>
      <c r="C622" s="554" t="n"/>
      <c r="D622" s="554" t="n"/>
      <c r="E622" s="492" t="inlineStr">
        <is>
          <t>MUHAMMAD ADNAN AZIZ KHAN</t>
        </is>
      </c>
      <c r="F622" s="446" t="inlineStr">
        <is>
          <t>Soft Service</t>
        </is>
      </c>
      <c r="G622" s="492" t="inlineStr">
        <is>
          <t>L02043</t>
        </is>
      </c>
      <c r="H622" s="492" t="n">
        <v>2643723832</v>
      </c>
      <c r="I622" s="446" t="inlineStr">
        <is>
          <t>Additional</t>
        </is>
      </c>
      <c r="J622" s="551" t="n">
        <v>46261</v>
      </c>
      <c r="K622" s="18" t="n"/>
      <c r="L622" s="34"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554" t="n"/>
      <c r="B623" s="554" t="n"/>
      <c r="C623" s="554" t="n"/>
      <c r="D623" s="554" t="n"/>
      <c r="E623" s="492" t="inlineStr">
        <is>
          <t>SURAJ KUMAR RAUT</t>
        </is>
      </c>
      <c r="F623" s="446" t="inlineStr">
        <is>
          <t>Soft Service</t>
        </is>
      </c>
      <c r="G623" s="445" t="n"/>
      <c r="H623" s="492" t="inlineStr">
        <is>
          <t>PA1286924</t>
        </is>
      </c>
      <c r="I623" s="446" t="inlineStr">
        <is>
          <t>Additional</t>
        </is>
      </c>
      <c r="J623" s="551" t="n">
        <v>46267</v>
      </c>
      <c r="K623" s="18" t="n"/>
      <c r="L623" s="34"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554" t="n"/>
      <c r="B624" s="554" t="n"/>
      <c r="C624" s="554" t="n"/>
      <c r="D624" s="554" t="n"/>
      <c r="E624" s="492" t="inlineStr">
        <is>
          <t>KAMLESH RAY</t>
        </is>
      </c>
      <c r="F624" s="446" t="inlineStr">
        <is>
          <t>Soft Service</t>
        </is>
      </c>
      <c r="G624" s="445" t="n"/>
      <c r="H624" s="492" t="inlineStr">
        <is>
          <t>PA3964254</t>
        </is>
      </c>
      <c r="I624" s="446" t="inlineStr">
        <is>
          <t>Additional</t>
        </is>
      </c>
      <c r="J624" s="551" t="n">
        <v>46267</v>
      </c>
      <c r="K624" s="18" t="n"/>
      <c r="L624" s="34"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554" t="n"/>
      <c r="B625" s="554" t="n"/>
      <c r="C625" s="554" t="n"/>
      <c r="D625" s="554" t="n"/>
      <c r="E625" s="492" t="inlineStr">
        <is>
          <t>RABIN SADA</t>
        </is>
      </c>
      <c r="F625" s="446" t="inlineStr">
        <is>
          <t>Soft Service</t>
        </is>
      </c>
      <c r="G625" s="445" t="n"/>
      <c r="H625" s="492" t="inlineStr">
        <is>
          <t>PA5S191202</t>
        </is>
      </c>
      <c r="I625" s="446" t="inlineStr">
        <is>
          <t>Additional</t>
        </is>
      </c>
      <c r="J625" s="551" t="n">
        <v>46267</v>
      </c>
      <c r="K625" s="18" t="n"/>
      <c r="L625" s="34"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554" t="n"/>
      <c r="B626" s="554" t="n"/>
      <c r="C626" s="554" t="n"/>
      <c r="D626" s="554" t="n"/>
      <c r="E626" s="492" t="inlineStr">
        <is>
          <t>RAKESH KUMAR JHA</t>
        </is>
      </c>
      <c r="F626" s="446" t="inlineStr">
        <is>
          <t>Soft Service</t>
        </is>
      </c>
      <c r="G626" s="445" t="n"/>
      <c r="H626" s="492" t="inlineStr">
        <is>
          <t>PA3740200</t>
        </is>
      </c>
      <c r="I626" s="446" t="inlineStr">
        <is>
          <t>Additional</t>
        </is>
      </c>
      <c r="J626" s="551" t="n">
        <v>46267</v>
      </c>
      <c r="K626" s="18" t="n"/>
      <c r="L626" s="34"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553" t="n"/>
      <c r="B627" s="553" t="n"/>
      <c r="C627" s="553" t="n"/>
      <c r="D627" s="553" t="n"/>
      <c r="E627" s="492" t="inlineStr">
        <is>
          <t>SAINIYA KAPAR KEWAT</t>
        </is>
      </c>
      <c r="F627" s="446" t="inlineStr">
        <is>
          <t>Soft Service</t>
        </is>
      </c>
      <c r="G627" s="445" t="n"/>
      <c r="H627" s="492" t="inlineStr">
        <is>
          <t>PA3242016</t>
        </is>
      </c>
      <c r="I627" s="446" t="inlineStr">
        <is>
          <t>Additional</t>
        </is>
      </c>
      <c r="J627" s="551" t="n">
        <v>46267</v>
      </c>
      <c r="K627" s="18" t="n"/>
      <c r="L627" s="34"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514" t="inlineStr">
        <is>
          <t>CLEANER</t>
        </is>
      </c>
      <c r="B628" s="507" t="n">
        <v>0</v>
      </c>
      <c r="C628" s="507" t="n">
        <v>1</v>
      </c>
      <c r="D628" s="507" t="n">
        <v>0</v>
      </c>
      <c r="E628" s="505" t="inlineStr">
        <is>
          <t>SUMA AKTER SHAKILA</t>
        </is>
      </c>
      <c r="F628" s="494" t="inlineStr">
        <is>
          <t>Soft Service</t>
        </is>
      </c>
      <c r="G628" s="515" t="n"/>
      <c r="H628" s="505" t="inlineStr">
        <is>
          <t>A21614378</t>
        </is>
      </c>
      <c r="I628" s="494" t="inlineStr">
        <is>
          <t>Additional</t>
        </is>
      </c>
      <c r="J628" s="571" t="n">
        <v>46263</v>
      </c>
      <c r="K628" s="517" t="n"/>
      <c r="L628" s="34"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152" t="inlineStr">
        <is>
          <t>SAFETY OFFICER</t>
        </is>
      </c>
      <c r="B629" s="507" t="n">
        <v>0</v>
      </c>
      <c r="C629" s="507" t="n">
        <v>1</v>
      </c>
      <c r="D629" s="507" t="n">
        <v>0</v>
      </c>
      <c r="E629" s="518" t="inlineStr">
        <is>
          <t>KASHIF ALI SYED</t>
        </is>
      </c>
      <c r="F629" s="446" t="inlineStr">
        <is>
          <t>HSE</t>
        </is>
      </c>
      <c r="G629" s="445" t="n"/>
      <c r="H629" s="509" t="inlineStr">
        <is>
          <t>AT406808</t>
        </is>
      </c>
      <c r="I629" s="494" t="inlineStr">
        <is>
          <t>Additional</t>
        </is>
      </c>
      <c r="J629" s="551" t="n">
        <v>46267</v>
      </c>
      <c r="K629" s="18" t="n"/>
      <c r="L629" s="34"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148" t="inlineStr">
        <is>
          <t>Supervisor HVAC</t>
        </is>
      </c>
      <c r="B630" s="494" t="n">
        <v>0</v>
      </c>
      <c r="C630" s="151" t="n">
        <v>1</v>
      </c>
      <c r="D630" s="449" t="n">
        <v>0</v>
      </c>
      <c r="E630" s="46" t="inlineStr">
        <is>
          <t>Mahipal Bin</t>
        </is>
      </c>
      <c r="F630" s="446" t="inlineStr">
        <is>
          <t>Hard Service</t>
        </is>
      </c>
      <c r="G630" s="445" t="inlineStr">
        <is>
          <t>EM-0002692</t>
        </is>
      </c>
      <c r="H630" s="445" t="n">
        <v>2586438406</v>
      </c>
      <c r="I630" s="446" t="inlineStr">
        <is>
          <t>Additional</t>
        </is>
      </c>
      <c r="J630" s="551" t="n">
        <v>45599</v>
      </c>
      <c r="K630" s="18" t="inlineStr">
        <is>
          <t>AL-FALAK VISA</t>
        </is>
      </c>
      <c r="L630" s="34" t="inlineStr">
        <is>
          <t>-</t>
        </is>
      </c>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26.25" customHeight="1">
      <c r="A631" s="52" t="inlineStr">
        <is>
          <t>Total Team 
Back-End Staff/Additional</t>
        </is>
      </c>
      <c r="B631" s="53" t="inlineStr">
        <is>
          <t>Contractual Requirement</t>
        </is>
      </c>
      <c r="C631" s="53" t="inlineStr">
        <is>
          <t>Approved</t>
        </is>
      </c>
      <c r="D631" s="53" t="inlineStr">
        <is>
          <t>Vacant Position</t>
        </is>
      </c>
      <c r="E631" s="54" t="inlineStr">
        <is>
          <t>Rejected</t>
        </is>
      </c>
      <c r="F631" s="55" t="inlineStr">
        <is>
          <t xml:space="preserve">Additional </t>
        </is>
      </c>
      <c r="G631" s="55" t="inlineStr">
        <is>
          <t>ID</t>
        </is>
      </c>
      <c r="H631" s="55" t="inlineStr">
        <is>
          <t>Iqama</t>
        </is>
      </c>
      <c r="I631" s="80" t="inlineStr">
        <is>
          <t>Status</t>
        </is>
      </c>
      <c r="J631" s="555" t="n"/>
      <c r="K631" s="58" t="n"/>
      <c r="L631" s="59" t="inlineStr">
        <is>
          <t>Remark/Notes</t>
        </is>
      </c>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122">
        <f>COUNTIF(E524:E630,"&lt;&gt;")</f>
        <v/>
      </c>
      <c r="B632" s="122">
        <f>SUM(B524:B600)</f>
        <v/>
      </c>
      <c r="C632" s="122">
        <f>COUNTIF(I4:I1048576,"Approved")</f>
        <v/>
      </c>
      <c r="D632" s="122">
        <f>COUNTIF(I4:I1048576,"Vacant")</f>
        <v/>
      </c>
      <c r="E632" s="123">
        <f>COUNTIF(I4:I1048576,"Rejected")</f>
        <v/>
      </c>
      <c r="F632" s="124">
        <f>COUNTIF(I524:I630,"Additional")</f>
        <v/>
      </c>
      <c r="G632" s="124">
        <f>COUNTIF(G524:G600,"-")</f>
        <v/>
      </c>
      <c r="H632" s="124">
        <f>COUNTIF(H4:H1048576,"-")</f>
        <v/>
      </c>
      <c r="I632" s="125" t="n"/>
      <c r="J632" s="566" t="n"/>
      <c r="K632" s="127" t="n"/>
      <c r="L632" s="125"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2.75" customHeight="1">
      <c r="I633" s="8" t="n"/>
      <c r="J633" s="8" t="n"/>
      <c r="K633" s="8" t="n"/>
      <c r="L633" s="8" t="n"/>
      <c r="M633" s="8" t="n"/>
    </row>
    <row r="634" ht="12.75" customHeight="1">
      <c r="H634" s="8" t="n"/>
      <c r="I634" s="8" t="n"/>
      <c r="J634" s="8" t="n"/>
      <c r="K634" s="8" t="n"/>
      <c r="L634" s="8" t="n"/>
      <c r="M634" s="8" t="n"/>
    </row>
    <row r="635" ht="12.75" customHeight="1">
      <c r="H635" s="8" t="n"/>
      <c r="I635" s="8" t="n"/>
      <c r="J635" s="8" t="n"/>
      <c r="K635" s="8" t="n"/>
      <c r="L635" s="8" t="n"/>
      <c r="M635" s="8" t="n"/>
    </row>
    <row r="636" ht="12.75" customHeight="1">
      <c r="H636" s="8" t="n"/>
      <c r="I636" s="8" t="n"/>
      <c r="J636" s="8" t="n"/>
      <c r="K636" s="8" t="n"/>
      <c r="L636" s="8" t="n"/>
      <c r="M636" s="8" t="n"/>
    </row>
    <row r="637" ht="12.75" customHeight="1">
      <c r="H637" s="8" t="n"/>
      <c r="I637" s="8" t="n"/>
      <c r="J637" s="8" t="n"/>
      <c r="K637" s="8" t="n"/>
      <c r="L637" s="8" t="n"/>
      <c r="M637" s="8" t="n"/>
    </row>
    <row r="638" ht="12.75" customHeight="1">
      <c r="H638" s="8" t="n"/>
      <c r="I638" s="8" t="n"/>
      <c r="J638" s="8" t="n"/>
      <c r="K638" s="8" t="n"/>
      <c r="L638" s="8" t="n"/>
      <c r="M638" s="8" t="n"/>
    </row>
    <row r="639" ht="12.75" customHeight="1">
      <c r="H639" s="8" t="n"/>
      <c r="I639" s="8" t="n"/>
      <c r="J639" s="8" t="n"/>
      <c r="K639" s="8" t="n"/>
      <c r="L639" s="8" t="n"/>
      <c r="M639" s="8" t="n"/>
    </row>
    <row r="640" ht="12.75" customHeight="1">
      <c r="H640" s="8" t="n"/>
      <c r="I640" s="8" t="n"/>
      <c r="J640" s="8" t="n"/>
      <c r="K640" s="8" t="n"/>
      <c r="L640" s="8" t="n"/>
      <c r="M640" s="8" t="n"/>
    </row>
    <row r="641" ht="12.75" customHeight="1">
      <c r="H641" s="8" t="n"/>
      <c r="I641" s="8" t="n"/>
      <c r="J641" s="8" t="n"/>
      <c r="K641" s="8" t="n"/>
      <c r="L641" s="8" t="n"/>
      <c r="M641" s="8" t="n"/>
    </row>
    <row r="642" ht="12.75" customHeight="1">
      <c r="H642" s="8" t="n"/>
      <c r="I642" s="8" t="n"/>
      <c r="J642" s="8" t="n"/>
      <c r="K642" s="8" t="n"/>
      <c r="L642" s="8" t="n"/>
      <c r="M642" s="8" t="n"/>
    </row>
    <row r="643" ht="12.75" customHeight="1">
      <c r="H643" s="8" t="n"/>
      <c r="I643" s="8" t="n"/>
      <c r="J643" s="8" t="n"/>
      <c r="K643" s="8" t="n"/>
      <c r="L643" s="8" t="n"/>
      <c r="M643" s="8" t="n"/>
    </row>
    <row r="644" ht="12.75" customHeight="1">
      <c r="H644" s="8" t="n"/>
      <c r="I644" s="8" t="n"/>
      <c r="J644" s="8" t="n"/>
      <c r="K644" s="8" t="n"/>
      <c r="L644" s="8" t="n"/>
      <c r="M644" s="8" t="n"/>
    </row>
    <row r="645" ht="12.75" customHeight="1">
      <c r="H645" s="8" t="n"/>
      <c r="I645" s="8" t="n"/>
      <c r="J645" s="8" t="n"/>
      <c r="K645" s="8" t="n"/>
      <c r="L645" s="8" t="n"/>
      <c r="M645" s="8" t="n"/>
    </row>
    <row r="646" ht="12.75" customHeight="1">
      <c r="H646" s="8" t="n"/>
      <c r="I646" s="8" t="n"/>
      <c r="J646" s="8" t="n"/>
      <c r="K646" s="8" t="n"/>
      <c r="L646" s="8" t="n"/>
      <c r="M646" s="8" t="n"/>
    </row>
    <row r="647" ht="12.75" customHeight="1">
      <c r="H647" s="8" t="n"/>
      <c r="I647" s="8" t="n"/>
      <c r="J647" s="8" t="n"/>
      <c r="K647" s="8" t="n"/>
      <c r="L647" s="8" t="n"/>
      <c r="M647" s="8" t="n"/>
    </row>
    <row r="648" ht="12.75" customHeight="1">
      <c r="H648" s="8" t="n"/>
      <c r="I648" s="8" t="n"/>
      <c r="J648" s="8" t="n"/>
      <c r="K648" s="8" t="n"/>
      <c r="L648" s="8" t="n"/>
      <c r="M648" s="8" t="n"/>
    </row>
    <row r="649" ht="12.75" customHeight="1">
      <c r="H649" s="8" t="n"/>
      <c r="I649" s="8" t="n"/>
      <c r="J649" s="8" t="n"/>
      <c r="K649" s="8" t="n"/>
      <c r="L649" s="8" t="n"/>
      <c r="M649" s="8" t="n"/>
    </row>
    <row r="650" ht="12.75" customHeight="1">
      <c r="H650" s="8" t="n"/>
      <c r="I650" s="8" t="n"/>
      <c r="J650" s="8" t="n"/>
      <c r="K650" s="8" t="n"/>
      <c r="L650" s="8" t="n"/>
      <c r="M650" s="8" t="n"/>
    </row>
    <row r="651" ht="12.75" customHeight="1">
      <c r="H651" s="8" t="n"/>
      <c r="I651" s="8" t="n"/>
      <c r="J651" s="8" t="n"/>
      <c r="K651" s="8" t="n"/>
      <c r="L651" s="8" t="n"/>
      <c r="M651" s="8" t="n"/>
    </row>
    <row r="652" ht="12.75" customHeight="1">
      <c r="H652" s="8" t="n"/>
      <c r="I652" s="8" t="n"/>
      <c r="J652" s="8" t="n"/>
      <c r="K652" s="8" t="n"/>
      <c r="L652" s="8" t="n"/>
      <c r="M652" s="8" t="n"/>
    </row>
    <row r="653" ht="12.75" customHeight="1">
      <c r="H653" s="8" t="n"/>
      <c r="I653" s="8" t="n"/>
      <c r="J653" s="8" t="n"/>
      <c r="K653" s="8" t="n"/>
      <c r="L653" s="8" t="n"/>
      <c r="M653" s="8" t="n"/>
    </row>
    <row r="654" ht="12.75" customHeight="1">
      <c r="H654" s="8" t="n"/>
      <c r="I654" s="8" t="n"/>
      <c r="J654" s="8" t="n"/>
      <c r="K654" s="8" t="n"/>
      <c r="L654" s="8" t="n"/>
      <c r="M654" s="8" t="n"/>
    </row>
    <row r="655" ht="12.75" customHeight="1">
      <c r="H655" s="8" t="n"/>
      <c r="I655" s="8" t="n"/>
      <c r="J655" s="8" t="n"/>
      <c r="K655" s="8" t="n"/>
      <c r="L655" s="8" t="n"/>
      <c r="M655" s="8" t="n"/>
    </row>
    <row r="656" ht="12.75" customHeight="1">
      <c r="H656" s="8" t="n"/>
      <c r="I656" s="8" t="n"/>
      <c r="J656" s="8" t="n"/>
      <c r="K656" s="8" t="n"/>
      <c r="L656" s="8" t="n"/>
      <c r="M656" s="8" t="n"/>
    </row>
    <row r="657" ht="12.75" customHeight="1">
      <c r="H657" s="8" t="n"/>
      <c r="I657" s="8" t="n"/>
      <c r="J657" s="8" t="n"/>
      <c r="K657" s="8" t="n"/>
      <c r="L657" s="8" t="n"/>
      <c r="M657" s="8" t="n"/>
    </row>
    <row r="658" ht="12.75" customHeight="1">
      <c r="H658" s="8" t="n"/>
      <c r="I658" s="8" t="n"/>
      <c r="J658" s="8" t="n"/>
      <c r="K658" s="8" t="n"/>
      <c r="L658" s="8" t="n"/>
      <c r="M658" s="8" t="n"/>
    </row>
    <row r="659" ht="12.75" customHeight="1">
      <c r="H659" s="8" t="n"/>
      <c r="I659" s="8" t="n"/>
      <c r="J659" s="8" t="n"/>
      <c r="K659" s="8" t="n"/>
      <c r="L659" s="8" t="n"/>
      <c r="M659" s="8" t="n"/>
    </row>
    <row r="660" ht="12.75" customHeight="1">
      <c r="H660" s="8" t="n"/>
      <c r="I660" s="8" t="n"/>
      <c r="J660" s="8" t="n"/>
      <c r="K660" s="8" t="n"/>
      <c r="L660" s="8" t="n"/>
      <c r="M660" s="8" t="n"/>
    </row>
    <row r="661" ht="12.75" customHeight="1">
      <c r="H661" s="8" t="n"/>
      <c r="I661" s="8" t="n"/>
      <c r="J661" s="8" t="n"/>
      <c r="K661" s="8" t="n"/>
      <c r="L661" s="8" t="n"/>
      <c r="M661" s="8" t="n"/>
    </row>
    <row r="662" ht="12.75" customHeight="1">
      <c r="H662" s="8" t="n"/>
      <c r="I662" s="8" t="n"/>
      <c r="J662" s="8" t="n"/>
      <c r="K662" s="8" t="n"/>
      <c r="L662" s="8" t="n"/>
      <c r="M662" s="8" t="n"/>
    </row>
    <row r="663" ht="12.75" customHeight="1">
      <c r="H663" s="8" t="n"/>
      <c r="I663" s="8" t="n"/>
      <c r="J663" s="8" t="n"/>
      <c r="K663" s="8" t="n"/>
      <c r="L663" s="8" t="n"/>
      <c r="M663" s="8" t="n"/>
    </row>
    <row r="664" ht="12.75" customHeight="1">
      <c r="H664" s="8" t="n"/>
      <c r="I664" s="8" t="n"/>
      <c r="J664" s="8" t="n"/>
      <c r="K664" s="8" t="n"/>
      <c r="L664" s="8" t="n"/>
      <c r="M664" s="8" t="n"/>
    </row>
    <row r="665" ht="12.75" customHeight="1">
      <c r="H665" s="8" t="n"/>
      <c r="I665" s="8" t="n"/>
      <c r="J665" s="8" t="n"/>
      <c r="K665" s="8" t="n"/>
      <c r="L665" s="8" t="n"/>
      <c r="M665" s="8" t="n"/>
    </row>
    <row r="666" ht="12.75" customHeight="1">
      <c r="H666" s="8" t="n"/>
      <c r="I666" s="8" t="n"/>
      <c r="J666" s="8" t="n"/>
      <c r="K666" s="8" t="n"/>
      <c r="L666" s="8" t="n"/>
      <c r="M666" s="8" t="n"/>
    </row>
    <row r="667" ht="12.75" customHeight="1">
      <c r="H667" s="8" t="n"/>
      <c r="I667" s="8" t="n"/>
      <c r="J667" s="8" t="n"/>
      <c r="K667" s="8" t="n"/>
      <c r="L667" s="8" t="n"/>
      <c r="M667" s="8" t="n"/>
    </row>
    <row r="668" ht="12.75" customHeight="1">
      <c r="H668" s="8" t="n"/>
      <c r="I668" s="8" t="n"/>
      <c r="J668" s="8" t="n"/>
      <c r="K668" s="8" t="n"/>
      <c r="L668" s="8" t="n"/>
      <c r="M668" s="8" t="n"/>
    </row>
    <row r="669" ht="12.75" customHeight="1">
      <c r="H669" s="8" t="n"/>
      <c r="I669" s="8" t="n"/>
      <c r="J669" s="8" t="n"/>
      <c r="K669" s="8" t="n"/>
      <c r="L669" s="8" t="n"/>
      <c r="M669" s="8" t="n"/>
    </row>
    <row r="670" ht="12.75" customHeight="1">
      <c r="H670" s="8" t="n"/>
      <c r="I670" s="8" t="n"/>
      <c r="J670" s="8" t="n"/>
      <c r="K670" s="8" t="n"/>
      <c r="L670" s="8" t="n"/>
      <c r="M670" s="8" t="n"/>
    </row>
    <row r="671" ht="12.75" customHeight="1">
      <c r="H671" s="8" t="n"/>
      <c r="I671" s="8" t="n"/>
      <c r="J671" s="8" t="n"/>
      <c r="K671" s="8" t="n"/>
      <c r="L671" s="8" t="n"/>
      <c r="M671" s="8" t="n"/>
    </row>
    <row r="672" ht="12.75" customHeight="1">
      <c r="H672" s="8" t="n"/>
      <c r="I672" s="8" t="n"/>
      <c r="J672" s="8" t="n"/>
      <c r="K672" s="8" t="n"/>
      <c r="L672" s="8" t="n"/>
      <c r="M672" s="8" t="n"/>
    </row>
    <row r="673" ht="12.75" customHeight="1">
      <c r="H673" s="8" t="n"/>
      <c r="I673" s="8" t="n"/>
      <c r="J673" s="8" t="n"/>
      <c r="K673" s="8" t="n"/>
      <c r="L673" s="8" t="n"/>
      <c r="M673" s="8" t="n"/>
    </row>
    <row r="674" ht="12.75" customHeight="1">
      <c r="H674" s="8" t="n"/>
      <c r="I674" s="8" t="n"/>
      <c r="J674" s="8" t="n"/>
      <c r="K674" s="8" t="n"/>
      <c r="L674" s="8" t="n"/>
      <c r="M674" s="8" t="n"/>
    </row>
    <row r="675" ht="12.75" customHeight="1">
      <c r="H675" s="8" t="n"/>
      <c r="I675" s="8" t="n"/>
      <c r="J675" s="8" t="n"/>
      <c r="K675" s="8" t="n"/>
      <c r="L675" s="8" t="n"/>
      <c r="M675" s="8" t="n"/>
    </row>
    <row r="676" ht="12.75" customHeight="1">
      <c r="H676" s="8" t="n"/>
      <c r="I676" s="8" t="n"/>
      <c r="J676" s="8" t="n"/>
      <c r="K676" s="8" t="n"/>
      <c r="L676" s="8" t="n"/>
      <c r="M676" s="8" t="n"/>
    </row>
    <row r="677" ht="12.75" customHeight="1">
      <c r="H677" s="8" t="n"/>
      <c r="I677" s="8" t="n"/>
      <c r="J677" s="8" t="n"/>
      <c r="K677" s="8" t="n"/>
      <c r="L677" s="8" t="n"/>
      <c r="M677" s="8" t="n"/>
    </row>
    <row r="678" ht="12.75" customHeight="1">
      <c r="H678" s="8" t="n"/>
      <c r="I678" s="8" t="n"/>
      <c r="J678" s="8" t="n"/>
      <c r="K678" s="8" t="n"/>
      <c r="L678" s="8" t="n"/>
      <c r="M678" s="8" t="n"/>
    </row>
    <row r="679" ht="12.75" customHeight="1">
      <c r="H679" s="8" t="n"/>
      <c r="I679" s="8" t="n"/>
      <c r="J679" s="8" t="n"/>
      <c r="K679" s="8" t="n"/>
      <c r="L679" s="8" t="n"/>
      <c r="M679" s="8" t="n"/>
    </row>
    <row r="680" ht="12.75" customHeight="1">
      <c r="H680" s="8" t="n"/>
      <c r="I680" s="8" t="n"/>
      <c r="J680" s="8" t="n"/>
      <c r="K680" s="8" t="n"/>
      <c r="L680" s="8" t="n"/>
      <c r="M680" s="8" t="n"/>
    </row>
    <row r="681" ht="12.75" customHeight="1">
      <c r="H681" s="8" t="n"/>
      <c r="I681" s="8" t="n"/>
      <c r="J681" s="8" t="n"/>
      <c r="K681" s="8" t="n"/>
      <c r="L681" s="8" t="n"/>
      <c r="M681" s="8" t="n"/>
    </row>
    <row r="682" ht="12.75" customHeight="1">
      <c r="H682" s="8" t="n"/>
      <c r="I682" s="8" t="n"/>
      <c r="J682" s="8" t="n"/>
      <c r="K682" s="8" t="n"/>
      <c r="L682" s="8" t="n"/>
      <c r="M682" s="8" t="n"/>
    </row>
    <row r="683" ht="12.75" customHeight="1">
      <c r="H683" s="8" t="n"/>
      <c r="I683" s="8" t="n"/>
      <c r="J683" s="8" t="n"/>
      <c r="K683" s="8" t="n"/>
      <c r="L683" s="8" t="n"/>
      <c r="M683" s="8" t="n"/>
    </row>
    <row r="684" ht="12.75" customHeight="1">
      <c r="H684" s="8" t="n"/>
      <c r="I684" s="8" t="n"/>
      <c r="J684" s="8" t="n"/>
      <c r="K684" s="8" t="n"/>
      <c r="L684" s="8" t="n"/>
      <c r="M684" s="8" t="n"/>
    </row>
    <row r="685" ht="12.75" customHeight="1">
      <c r="H685" s="8" t="n"/>
      <c r="I685" s="8" t="n"/>
      <c r="J685" s="8" t="n"/>
      <c r="K685" s="8" t="n"/>
      <c r="L685" s="8" t="n"/>
      <c r="M685" s="8" t="n"/>
    </row>
    <row r="686" ht="12.75" customHeight="1">
      <c r="H686" s="8" t="n"/>
      <c r="I686" s="8" t="n"/>
      <c r="J686" s="8" t="n"/>
      <c r="K686" s="8" t="n"/>
      <c r="L686" s="8" t="n"/>
      <c r="M686" s="8" t="n"/>
    </row>
    <row r="687" ht="12.75" customHeight="1">
      <c r="H687" s="8" t="n"/>
      <c r="I687" s="8" t="n"/>
      <c r="J687" s="8" t="n"/>
      <c r="K687" s="8" t="n"/>
      <c r="L687" s="8" t="n"/>
      <c r="M687" s="8" t="n"/>
    </row>
    <row r="688" ht="12.75" customHeight="1">
      <c r="H688" s="8" t="n"/>
      <c r="I688" s="8" t="n"/>
      <c r="J688" s="8" t="n"/>
      <c r="K688" s="8" t="n"/>
      <c r="L688" s="8" t="n"/>
      <c r="M688" s="8" t="n"/>
    </row>
    <row r="689" ht="12.75" customHeight="1">
      <c r="H689" s="8" t="n"/>
      <c r="I689" s="8" t="n"/>
      <c r="J689" s="8" t="n"/>
      <c r="K689" s="8" t="n"/>
      <c r="L689" s="8" t="n"/>
      <c r="M689" s="8" t="n"/>
    </row>
    <row r="690" ht="12.75" customHeight="1">
      <c r="H690" s="8" t="n"/>
      <c r="I690" s="8" t="n"/>
      <c r="J690" s="8" t="n"/>
      <c r="K690" s="8" t="n"/>
      <c r="L690" s="8" t="n"/>
      <c r="M690" s="8" t="n"/>
    </row>
    <row r="691" ht="12.75" customHeight="1">
      <c r="H691" s="8" t="n"/>
      <c r="I691" s="8" t="n"/>
      <c r="J691" s="8" t="n"/>
      <c r="K691" s="8" t="n"/>
      <c r="L691" s="8" t="n"/>
      <c r="M691" s="8" t="n"/>
    </row>
    <row r="692" ht="12.75" customHeight="1">
      <c r="H692" s="8" t="n"/>
      <c r="I692" s="8" t="n"/>
      <c r="J692" s="8" t="n"/>
      <c r="K692" s="8" t="n"/>
      <c r="L692" s="8" t="n"/>
      <c r="M692" s="8" t="n"/>
    </row>
    <row r="693" ht="12.75" customHeight="1">
      <c r="I693" s="8" t="n"/>
      <c r="J693" s="8" t="n"/>
      <c r="K693" s="8" t="n"/>
      <c r="L693" s="8" t="n"/>
      <c r="M693" s="8" t="n"/>
    </row>
    <row r="694" ht="12.75" customHeight="1">
      <c r="I694" s="8" t="n"/>
      <c r="J694" s="8" t="n"/>
      <c r="K694" s="8" t="n"/>
      <c r="L694" s="8" t="n"/>
      <c r="M694" s="8" t="n"/>
    </row>
    <row r="695" ht="12.75" customHeight="1">
      <c r="I695" s="8" t="n"/>
      <c r="J695" s="8" t="n"/>
      <c r="K695" s="8" t="n"/>
      <c r="L695" s="8" t="n"/>
      <c r="M695" s="8" t="n"/>
    </row>
    <row r="696" ht="12.75" customHeight="1">
      <c r="I696" s="8" t="n"/>
      <c r="J696" s="8" t="n"/>
      <c r="K696" s="8" t="n"/>
      <c r="L696" s="8" t="n"/>
      <c r="M696" s="8" t="n"/>
    </row>
    <row r="697" ht="12.75" customHeight="1">
      <c r="I697" s="8" t="n"/>
      <c r="J697" s="8" t="n"/>
      <c r="K697" s="8" t="n"/>
      <c r="L697" s="8" t="n"/>
      <c r="M697" s="8" t="n"/>
    </row>
    <row r="698" ht="12.75" customHeight="1">
      <c r="I698" s="8" t="n"/>
      <c r="J698" s="8" t="n"/>
      <c r="K698" s="8" t="n"/>
      <c r="L698" s="8" t="n"/>
      <c r="M698" s="8" t="n"/>
    </row>
    <row r="699" ht="12.75" customHeight="1">
      <c r="I699" s="8" t="n"/>
      <c r="J699" s="8" t="n"/>
      <c r="K699" s="8" t="n"/>
      <c r="L699" s="8" t="n"/>
      <c r="M699" s="8" t="n"/>
    </row>
    <row r="700" ht="12.75" customHeight="1">
      <c r="I700" s="8" t="n"/>
      <c r="J700" s="8" t="n"/>
      <c r="K700" s="8" t="n"/>
      <c r="L700" s="8" t="n"/>
      <c r="M700" s="8" t="n"/>
    </row>
    <row r="701" ht="12.75" customHeight="1">
      <c r="I701" s="8" t="n"/>
      <c r="J701" s="8" t="n"/>
      <c r="K701" s="8" t="n"/>
      <c r="L701" s="8" t="n"/>
      <c r="M701" s="8" t="n"/>
    </row>
    <row r="702" ht="12.75" customHeight="1">
      <c r="I702" s="8" t="n"/>
      <c r="J702" s="8" t="n"/>
      <c r="K702" s="8" t="n"/>
      <c r="L702" s="8" t="n"/>
      <c r="M702" s="8" t="n"/>
    </row>
    <row r="703" ht="12.75" customHeight="1">
      <c r="I703" s="8" t="n"/>
      <c r="J703" s="8" t="n"/>
      <c r="K703" s="8" t="n"/>
      <c r="L703" s="8" t="n"/>
      <c r="M703" s="8" t="n"/>
    </row>
    <row r="704" ht="12.75" customHeight="1">
      <c r="I704" s="8" t="n"/>
      <c r="J704" s="8" t="n"/>
      <c r="K704" s="8" t="n"/>
      <c r="L704" s="8" t="n"/>
      <c r="M704" s="8" t="n"/>
    </row>
    <row r="705" ht="12.75" customHeight="1">
      <c r="I705" s="8" t="n"/>
      <c r="J705" s="8" t="n"/>
      <c r="K705" s="8" t="n"/>
      <c r="L705" s="8" t="n"/>
      <c r="M705" s="8" t="n"/>
    </row>
    <row r="706" ht="12.75" customHeight="1">
      <c r="I706" s="8" t="n"/>
      <c r="J706" s="8" t="n"/>
      <c r="K706" s="8" t="n"/>
      <c r="L706" s="8" t="n"/>
      <c r="M706" s="8" t="n"/>
    </row>
    <row r="707" ht="12.75" customHeight="1">
      <c r="I707" s="8" t="n"/>
      <c r="J707" s="8" t="n"/>
      <c r="K707" s="8" t="n"/>
      <c r="L707" s="8" t="n"/>
      <c r="M707" s="8" t="n"/>
    </row>
    <row r="708" ht="12.75" customHeight="1">
      <c r="I708" s="8" t="n"/>
      <c r="J708" s="8" t="n"/>
      <c r="K708" s="8" t="n"/>
      <c r="L708" s="8" t="n"/>
      <c r="M708" s="8" t="n"/>
    </row>
    <row r="709" ht="12.75" customHeight="1">
      <c r="I709" s="8" t="n"/>
      <c r="J709" s="8" t="n"/>
      <c r="K709" s="8" t="n"/>
      <c r="L709" s="8" t="n"/>
      <c r="M709" s="8" t="n"/>
    </row>
    <row r="710" ht="12.75" customHeight="1">
      <c r="I710" s="8" t="n"/>
      <c r="J710" s="8" t="n"/>
      <c r="K710" s="8" t="n"/>
      <c r="L710" s="8" t="n"/>
      <c r="M710" s="8" t="n"/>
    </row>
    <row r="711" ht="12.75" customHeight="1">
      <c r="I711" s="8" t="n"/>
      <c r="J711" s="8" t="n"/>
      <c r="K711" s="8" t="n"/>
      <c r="L711" s="8" t="n"/>
      <c r="M711" s="8" t="n"/>
    </row>
    <row r="712" ht="12.75" customHeight="1">
      <c r="I712" s="8" t="n"/>
      <c r="J712" s="8" t="n"/>
      <c r="K712" s="8" t="n"/>
      <c r="L712" s="8" t="n"/>
      <c r="M712" s="8" t="n"/>
    </row>
    <row r="713" ht="12.75" customHeight="1">
      <c r="I713" s="8" t="n"/>
      <c r="J713" s="8" t="n"/>
      <c r="K713" s="8" t="n"/>
      <c r="L713" s="8" t="n"/>
      <c r="M713" s="8" t="n"/>
    </row>
    <row r="714" ht="12.75" customHeight="1">
      <c r="I714" s="8" t="n"/>
      <c r="J714" s="8" t="n"/>
      <c r="K714" s="8" t="n"/>
      <c r="L714" s="8" t="n"/>
      <c r="M714" s="8" t="n"/>
    </row>
    <row r="715" ht="12.75" customHeight="1">
      <c r="I715" s="8" t="n"/>
      <c r="J715" s="8" t="n"/>
      <c r="K715" s="8" t="n"/>
      <c r="L715" s="8" t="n"/>
      <c r="M715" s="8" t="n"/>
    </row>
    <row r="716" ht="12.75" customHeight="1">
      <c r="I716" s="8" t="n"/>
      <c r="J716" s="8" t="n"/>
      <c r="K716" s="8" t="n"/>
      <c r="L716" s="8" t="n"/>
      <c r="M716" s="8" t="n"/>
    </row>
    <row r="717" ht="12.75" customHeight="1">
      <c r="I717" s="8" t="n"/>
      <c r="J717" s="8" t="n"/>
      <c r="K717" s="8" t="n"/>
      <c r="L717" s="8" t="n"/>
      <c r="M717" s="8" t="n"/>
    </row>
    <row r="718" ht="12.75" customHeight="1">
      <c r="I718" s="8" t="n"/>
      <c r="J718" s="8" t="n"/>
      <c r="K718" s="8" t="n"/>
      <c r="L718" s="8" t="n"/>
      <c r="M718" s="8" t="n"/>
    </row>
    <row r="719" ht="12.75" customHeight="1">
      <c r="I719" s="8" t="n"/>
      <c r="J719" s="8" t="n"/>
      <c r="K719" s="8" t="n"/>
      <c r="L719" s="8" t="n"/>
      <c r="M719" s="8" t="n"/>
    </row>
    <row r="720" ht="12.75" customHeight="1">
      <c r="I720" s="8" t="n"/>
      <c r="J720" s="8" t="n"/>
      <c r="K720" s="8" t="n"/>
      <c r="L720" s="8" t="n"/>
      <c r="M720" s="8" t="n"/>
    </row>
    <row r="721" ht="12.75" customHeight="1">
      <c r="I721" s="8" t="n"/>
      <c r="J721" s="8" t="n"/>
      <c r="K721" s="8" t="n"/>
      <c r="L721" s="8" t="n"/>
      <c r="M721" s="8" t="n"/>
    </row>
    <row r="722" ht="12.75" customHeight="1">
      <c r="I722" s="8" t="n"/>
      <c r="J722" s="8" t="n"/>
      <c r="K722" s="8" t="n"/>
      <c r="L722" s="8" t="n"/>
      <c r="M722" s="8" t="n"/>
    </row>
    <row r="723" ht="12.75" customHeight="1">
      <c r="I723" s="8" t="n"/>
      <c r="J723" s="8" t="n"/>
      <c r="K723" s="8" t="n"/>
      <c r="L723" s="8" t="n"/>
      <c r="M723" s="8" t="n"/>
    </row>
    <row r="724" ht="12.75" customHeight="1">
      <c r="I724" s="8" t="n"/>
      <c r="J724" s="8" t="n"/>
      <c r="K724" s="8" t="n"/>
      <c r="L724" s="8" t="n"/>
      <c r="M724" s="8" t="n"/>
    </row>
    <row r="725" ht="12.75" customHeight="1">
      <c r="I725" s="8" t="n"/>
      <c r="J725" s="8" t="n"/>
      <c r="K725" s="8" t="n"/>
      <c r="L725" s="8" t="n"/>
      <c r="M725" s="8" t="n"/>
    </row>
    <row r="726" ht="12.75" customHeight="1">
      <c r="I726" s="8" t="n"/>
      <c r="J726" s="8" t="n"/>
      <c r="K726" s="8" t="n"/>
      <c r="L726" s="8" t="n"/>
      <c r="M726" s="8" t="n"/>
    </row>
    <row r="727" ht="12.75" customHeight="1">
      <c r="I727" s="8" t="n"/>
      <c r="J727" s="8" t="n"/>
      <c r="K727" s="8" t="n"/>
      <c r="L727" s="8" t="n"/>
      <c r="M727" s="8" t="n"/>
    </row>
    <row r="728" ht="12.75" customHeight="1">
      <c r="I728" s="8" t="n"/>
      <c r="J728" s="8" t="n"/>
      <c r="K728" s="8" t="n"/>
      <c r="L728" s="8" t="n"/>
      <c r="M728" s="8" t="n"/>
    </row>
    <row r="729" ht="12.75" customHeight="1">
      <c r="I729" s="8" t="n"/>
      <c r="J729" s="8" t="n"/>
      <c r="K729" s="8" t="n"/>
      <c r="L729" s="8" t="n"/>
      <c r="M729" s="8" t="n"/>
    </row>
    <row r="730" ht="12.75" customHeight="1">
      <c r="I730" s="8" t="n"/>
      <c r="J730" s="8" t="n"/>
      <c r="K730" s="8" t="n"/>
      <c r="L730" s="8" t="n"/>
      <c r="M730" s="8" t="n"/>
    </row>
    <row r="731" ht="12.75" customHeight="1">
      <c r="I731" s="8" t="n"/>
      <c r="J731" s="8" t="n"/>
      <c r="K731" s="8" t="n"/>
      <c r="L731" s="8" t="n"/>
      <c r="M731" s="8" t="n"/>
    </row>
    <row r="732" ht="12.75" customHeight="1">
      <c r="I732" s="8" t="n"/>
      <c r="J732" s="8" t="n"/>
      <c r="K732" s="8" t="n"/>
      <c r="L732" s="8" t="n"/>
      <c r="M732" s="8" t="n"/>
    </row>
    <row r="733" ht="12.75" customHeight="1">
      <c r="I733" s="8" t="n"/>
      <c r="J733" s="8" t="n"/>
      <c r="K733" s="8" t="n"/>
      <c r="L733" s="8" t="n"/>
      <c r="M733" s="8" t="n"/>
    </row>
    <row r="734" ht="12.75" customHeight="1">
      <c r="I734" s="8" t="n"/>
      <c r="J734" s="8" t="n"/>
      <c r="K734" s="8" t="n"/>
      <c r="L734" s="8" t="n"/>
      <c r="M734" s="8" t="n"/>
    </row>
    <row r="735" ht="12.75" customHeight="1">
      <c r="I735" s="8" t="n"/>
      <c r="J735" s="8" t="n"/>
      <c r="K735" s="8" t="n"/>
      <c r="L735" s="8" t="n"/>
      <c r="M735" s="8" t="n"/>
    </row>
    <row r="736" ht="12.75" customHeight="1">
      <c r="I736" s="8" t="n"/>
      <c r="J736" s="8" t="n"/>
      <c r="K736" s="8" t="n"/>
      <c r="L736" s="8" t="n"/>
      <c r="M736" s="8" t="n"/>
    </row>
    <row r="737" ht="12.75" customHeight="1">
      <c r="I737" s="8" t="n"/>
      <c r="J737" s="8" t="n"/>
      <c r="K737" s="8" t="n"/>
      <c r="L737" s="8" t="n"/>
      <c r="M737" s="8" t="n"/>
    </row>
    <row r="738" ht="12.75" customHeight="1">
      <c r="I738" s="8" t="n"/>
      <c r="J738" s="8" t="n"/>
      <c r="K738" s="8" t="n"/>
      <c r="L738" s="8" t="n"/>
      <c r="M738" s="8" t="n"/>
    </row>
    <row r="739" ht="12.75" customHeight="1">
      <c r="I739" s="8" t="n"/>
      <c r="J739" s="8" t="n"/>
      <c r="K739" s="8" t="n"/>
      <c r="L739" s="8" t="n"/>
      <c r="M739" s="8" t="n"/>
    </row>
    <row r="740" ht="12.75" customHeight="1">
      <c r="I740" s="8" t="n"/>
      <c r="J740" s="8" t="n"/>
      <c r="K740" s="8" t="n"/>
      <c r="L740" s="8" t="n"/>
      <c r="M740" s="8" t="n"/>
    </row>
    <row r="741" ht="12.75" customHeight="1">
      <c r="I741" s="8" t="n"/>
      <c r="J741" s="8" t="n"/>
      <c r="K741" s="8" t="n"/>
      <c r="L741" s="8" t="n"/>
      <c r="M741" s="8" t="n"/>
    </row>
    <row r="742" ht="12.75" customHeight="1">
      <c r="I742" s="8" t="n"/>
      <c r="J742" s="8" t="n"/>
      <c r="K742" s="8" t="n"/>
      <c r="L742" s="8" t="n"/>
      <c r="M742" s="8" t="n"/>
    </row>
    <row r="743" ht="12.75" customHeight="1">
      <c r="I743" s="8" t="n"/>
      <c r="J743" s="8" t="n"/>
      <c r="K743" s="8" t="n"/>
      <c r="L743" s="8" t="n"/>
      <c r="M743" s="8" t="n"/>
    </row>
    <row r="744" ht="12.75" customHeight="1">
      <c r="I744" s="8" t="n"/>
      <c r="J744" s="8" t="n"/>
      <c r="K744" s="8" t="n"/>
      <c r="L744" s="8" t="n"/>
      <c r="M744" s="8" t="n"/>
    </row>
    <row r="745" ht="12.75" customHeight="1">
      <c r="I745" s="8" t="n"/>
      <c r="J745" s="8" t="n"/>
      <c r="K745" s="8" t="n"/>
      <c r="L745" s="8" t="n"/>
      <c r="M745" s="8" t="n"/>
    </row>
    <row r="746" ht="12.75" customHeight="1">
      <c r="I746" s="8" t="n"/>
      <c r="J746" s="8" t="n"/>
      <c r="K746" s="8" t="n"/>
      <c r="L746" s="8" t="n"/>
      <c r="M746" s="8" t="n"/>
    </row>
    <row r="747" ht="12.75" customHeight="1">
      <c r="I747" s="8" t="n"/>
      <c r="J747" s="8" t="n"/>
      <c r="K747" s="8" t="n"/>
      <c r="L747" s="8" t="n"/>
      <c r="M747" s="8" t="n"/>
    </row>
    <row r="748" ht="12.75" customHeight="1">
      <c r="I748" s="8" t="n"/>
      <c r="J748" s="8" t="n"/>
      <c r="K748" s="8" t="n"/>
      <c r="L748" s="8" t="n"/>
      <c r="M748" s="8" t="n"/>
    </row>
    <row r="749" ht="12.75" customHeight="1">
      <c r="I749" s="8" t="n"/>
      <c r="J749" s="8" t="n"/>
      <c r="K749" s="8" t="n"/>
      <c r="L749" s="8" t="n"/>
      <c r="M749" s="8" t="n"/>
    </row>
    <row r="750" ht="12.75" customHeight="1">
      <c r="I750" s="8" t="n"/>
      <c r="J750" s="8" t="n"/>
      <c r="K750" s="8" t="n"/>
      <c r="L750" s="8" t="n"/>
      <c r="M750" s="8" t="n"/>
    </row>
    <row r="751" ht="12.75" customHeight="1">
      <c r="I751" s="8" t="n"/>
      <c r="J751" s="8" t="n"/>
      <c r="K751" s="8" t="n"/>
      <c r="L751" s="8" t="n"/>
      <c r="M751" s="8" t="n"/>
    </row>
    <row r="752" ht="12.75" customHeight="1">
      <c r="I752" s="8" t="n"/>
      <c r="J752" s="8" t="n"/>
      <c r="K752" s="8" t="n"/>
      <c r="L752" s="8" t="n"/>
      <c r="M752" s="8" t="n"/>
    </row>
    <row r="753" ht="12.75" customHeight="1">
      <c r="I753" s="8" t="n"/>
      <c r="J753" s="8" t="n"/>
      <c r="K753" s="8" t="n"/>
      <c r="L753" s="8" t="n"/>
      <c r="M753" s="8" t="n"/>
    </row>
    <row r="754" ht="12.75" customHeight="1">
      <c r="I754" s="8" t="n"/>
      <c r="J754" s="8" t="n"/>
      <c r="K754" s="8" t="n"/>
      <c r="L754" s="8" t="n"/>
      <c r="M754" s="8" t="n"/>
    </row>
    <row r="755" ht="12.75" customHeight="1">
      <c r="I755" s="8" t="n"/>
      <c r="J755" s="8" t="n"/>
      <c r="K755" s="8" t="n"/>
      <c r="L755" s="8" t="n"/>
      <c r="M755" s="8" t="n"/>
    </row>
    <row r="756" ht="12.75" customHeight="1">
      <c r="I756" s="8" t="n"/>
      <c r="J756" s="8" t="n"/>
      <c r="K756" s="8" t="n"/>
      <c r="L756" s="8" t="n"/>
      <c r="M756" s="8" t="n"/>
    </row>
    <row r="757" ht="12.75" customHeight="1">
      <c r="I757" s="8" t="n"/>
      <c r="J757" s="8" t="n"/>
      <c r="K757" s="8" t="n"/>
      <c r="L757" s="8" t="n"/>
      <c r="M757" s="8" t="n"/>
    </row>
    <row r="758" ht="12.75" customHeight="1">
      <c r="I758" s="8" t="n"/>
      <c r="J758" s="8" t="n"/>
      <c r="K758" s="8" t="n"/>
      <c r="L758" s="8" t="n"/>
      <c r="M758" s="8" t="n"/>
    </row>
    <row r="759" ht="12.75" customHeight="1">
      <c r="I759" s="8" t="n"/>
      <c r="J759" s="8" t="n"/>
      <c r="K759" s="8" t="n"/>
      <c r="L759" s="8" t="n"/>
      <c r="M759" s="8" t="n"/>
    </row>
    <row r="760" ht="12.75" customHeight="1">
      <c r="I760" s="8" t="n"/>
      <c r="J760" s="8" t="n"/>
      <c r="K760" s="8" t="n"/>
      <c r="L760" s="8" t="n"/>
      <c r="M760" s="8" t="n"/>
    </row>
    <row r="761" ht="12.75" customHeight="1">
      <c r="I761" s="8" t="n"/>
      <c r="J761" s="8" t="n"/>
      <c r="K761" s="8" t="n"/>
      <c r="L761" s="8" t="n"/>
      <c r="M761" s="8" t="n"/>
    </row>
    <row r="762" ht="12.75" customHeight="1">
      <c r="I762" s="8" t="n"/>
      <c r="J762" s="8" t="n"/>
      <c r="K762" s="8" t="n"/>
      <c r="L762" s="8" t="n"/>
      <c r="M762" s="8" t="n"/>
    </row>
    <row r="763" ht="12.75" customHeight="1">
      <c r="I763" s="8" t="n"/>
      <c r="J763" s="8" t="n"/>
      <c r="K763" s="8" t="n"/>
      <c r="L763" s="8" t="n"/>
      <c r="M763" s="8" t="n"/>
    </row>
    <row r="764" ht="12.75" customHeight="1">
      <c r="I764" s="8" t="n"/>
      <c r="J764" s="8" t="n"/>
      <c r="K764" s="8" t="n"/>
      <c r="L764" s="8" t="n"/>
      <c r="M764" s="8" t="n"/>
    </row>
    <row r="765" ht="12.75" customHeight="1">
      <c r="I765" s="8" t="n"/>
      <c r="J765" s="8" t="n"/>
      <c r="K765" s="8" t="n"/>
      <c r="L765" s="8" t="n"/>
      <c r="M765" s="8" t="n"/>
    </row>
    <row r="766" ht="12.75" customHeight="1">
      <c r="I766" s="8" t="n"/>
      <c r="J766" s="8" t="n"/>
      <c r="K766" s="8" t="n"/>
      <c r="L766" s="8" t="n"/>
      <c r="M766" s="8" t="n"/>
    </row>
    <row r="767" ht="12.75" customHeight="1">
      <c r="I767" s="8" t="n"/>
      <c r="J767" s="8" t="n"/>
      <c r="K767" s="8" t="n"/>
      <c r="L767" s="8" t="n"/>
      <c r="M767" s="8" t="n"/>
    </row>
    <row r="768" ht="12.75" customHeight="1">
      <c r="I768" s="8" t="n"/>
      <c r="J768" s="8" t="n"/>
      <c r="K768" s="8" t="n"/>
      <c r="L768" s="8" t="n"/>
      <c r="M768" s="8" t="n"/>
    </row>
    <row r="769" ht="12.75" customHeight="1">
      <c r="I769" s="8" t="n"/>
      <c r="J769" s="8" t="n"/>
      <c r="K769" s="8" t="n"/>
      <c r="L769" s="8" t="n"/>
      <c r="M769" s="8" t="n"/>
    </row>
    <row r="770" ht="12.75" customHeight="1">
      <c r="I770" s="8" t="n"/>
      <c r="J770" s="8" t="n"/>
      <c r="K770" s="8" t="n"/>
      <c r="L770" s="8" t="n"/>
      <c r="M770" s="8" t="n"/>
    </row>
    <row r="771" ht="12.75" customHeight="1">
      <c r="I771" s="8" t="n"/>
      <c r="J771" s="8" t="n"/>
      <c r="K771" s="8" t="n"/>
      <c r="L771" s="8" t="n"/>
      <c r="M771" s="8" t="n"/>
    </row>
    <row r="772" ht="12.75" customHeight="1">
      <c r="I772" s="8" t="n"/>
      <c r="J772" s="8" t="n"/>
      <c r="K772" s="8" t="n"/>
      <c r="L772" s="8" t="n"/>
      <c r="M772" s="8" t="n"/>
    </row>
    <row r="773" ht="12.75" customHeight="1">
      <c r="I773" s="8" t="n"/>
      <c r="J773" s="8" t="n"/>
      <c r="K773" s="8" t="n"/>
      <c r="L773" s="8" t="n"/>
      <c r="M773" s="8" t="n"/>
    </row>
    <row r="774" ht="12.75" customHeight="1">
      <c r="I774" s="8" t="n"/>
      <c r="J774" s="8" t="n"/>
      <c r="K774" s="8" t="n"/>
      <c r="L774" s="8" t="n"/>
      <c r="M774" s="8" t="n"/>
    </row>
    <row r="775" ht="12.75" customHeight="1">
      <c r="H775" s="492" t="n"/>
      <c r="I775" s="8" t="n"/>
      <c r="J775" s="8" t="n"/>
      <c r="K775" s="8" t="n"/>
      <c r="L775" s="8" t="n"/>
      <c r="M775" s="8" t="n"/>
    </row>
    <row r="776" ht="12.75" customHeight="1">
      <c r="H776" s="492" t="n">
        <v>2626570853</v>
      </c>
      <c r="I776" s="8" t="n"/>
      <c r="J776" s="8" t="n"/>
      <c r="K776" s="8" t="n"/>
      <c r="L776" s="8" t="n"/>
      <c r="M776" s="8" t="n"/>
    </row>
    <row r="777" ht="12.75" customHeight="1">
      <c r="H777" s="492" t="n">
        <v>2575795337</v>
      </c>
      <c r="I777" s="8" t="n"/>
      <c r="J777" s="8" t="n"/>
      <c r="K777" s="8" t="n"/>
      <c r="L777" s="8" t="n"/>
      <c r="M777" s="8" t="n"/>
    </row>
    <row r="778" ht="12.75" customHeight="1">
      <c r="H778" s="492" t="n">
        <v>2631966096</v>
      </c>
      <c r="I778" s="8" t="n"/>
      <c r="J778" s="8" t="n"/>
      <c r="K778" s="8" t="n"/>
      <c r="L778" s="8" t="n"/>
      <c r="M778" s="8" t="n"/>
    </row>
    <row r="779" ht="12.75" customHeight="1">
      <c r="H779" s="492" t="n">
        <v>2629690799</v>
      </c>
      <c r="I779" s="8" t="n"/>
      <c r="J779" s="8" t="n"/>
      <c r="K779" s="8" t="n"/>
      <c r="L779" s="8" t="n"/>
      <c r="M779" s="8" t="n"/>
    </row>
    <row r="780" ht="12.75" customHeight="1">
      <c r="H780" s="492" t="n">
        <v>2629642980</v>
      </c>
      <c r="I780" s="8" t="n"/>
      <c r="J780" s="8" t="n"/>
      <c r="K780" s="8" t="n"/>
      <c r="L780" s="8" t="n"/>
      <c r="M780" s="8" t="n"/>
    </row>
    <row r="781" ht="12.75" customHeight="1">
      <c r="H781" s="492" t="n">
        <v>2602071256</v>
      </c>
      <c r="I781" s="8" t="n"/>
      <c r="J781" s="8" t="n"/>
      <c r="K781" s="8" t="n"/>
      <c r="L781" s="8" t="n"/>
      <c r="M781" s="8" t="n"/>
    </row>
    <row r="782" ht="12.75" customHeight="1">
      <c r="H782" s="492" t="n">
        <v>2636685774</v>
      </c>
      <c r="I782" s="8" t="n"/>
      <c r="J782" s="8" t="n"/>
      <c r="K782" s="8" t="n"/>
      <c r="L782" s="8" t="n"/>
      <c r="M782" s="8" t="n"/>
    </row>
    <row r="783" ht="12.75" customHeight="1">
      <c r="H783" s="492" t="n">
        <v>2630830137</v>
      </c>
      <c r="I783" s="8" t="n"/>
      <c r="J783" s="8" t="n"/>
      <c r="K783" s="8" t="n"/>
      <c r="L783" s="8" t="n"/>
      <c r="M783" s="8" t="n"/>
    </row>
    <row r="784" ht="12.75" customHeight="1">
      <c r="H784" s="492" t="n">
        <v>2635530864</v>
      </c>
      <c r="I784" s="8" t="n"/>
      <c r="J784" s="8" t="n"/>
      <c r="K784" s="8" t="n"/>
      <c r="L784" s="8" t="n"/>
      <c r="M784" s="8" t="n"/>
    </row>
    <row r="785" ht="12.75" customHeight="1">
      <c r="H785" s="492" t="n">
        <v>2607592413</v>
      </c>
      <c r="I785" s="8" t="n"/>
      <c r="J785" s="8" t="n"/>
      <c r="K785" s="8" t="n"/>
      <c r="L785" s="8" t="n"/>
      <c r="M785" s="8" t="n"/>
    </row>
    <row r="786" ht="12.75" customHeight="1">
      <c r="H786" s="492" t="n">
        <v>2609874843</v>
      </c>
      <c r="I786" s="8" t="n"/>
      <c r="J786" s="8" t="n"/>
      <c r="K786" s="8" t="n"/>
      <c r="L786" s="8" t="n"/>
      <c r="M786" s="8" t="n"/>
    </row>
    <row r="787" ht="12.75" customHeight="1">
      <c r="H787" s="492" t="n">
        <v>2637431236</v>
      </c>
      <c r="I787" s="8" t="n"/>
      <c r="J787" s="8" t="n"/>
      <c r="K787" s="8" t="n"/>
      <c r="L787" s="8" t="n"/>
      <c r="M787" s="8" t="n"/>
    </row>
    <row r="788" ht="12.75" customHeight="1">
      <c r="H788" s="492" t="n">
        <v>2637431285</v>
      </c>
      <c r="I788" s="8" t="n"/>
      <c r="J788" s="8" t="n"/>
      <c r="K788" s="8" t="n"/>
      <c r="L788" s="8" t="n"/>
      <c r="M788" s="8" t="n"/>
    </row>
    <row r="789" ht="12.75" customHeight="1">
      <c r="H789" s="6" t="n"/>
      <c r="I789" s="8" t="n"/>
      <c r="J789" s="8" t="n"/>
      <c r="K789" s="8" t="n"/>
      <c r="L789" s="8" t="n"/>
      <c r="M789" s="8" t="n"/>
    </row>
    <row r="790" ht="12.75" customHeight="1">
      <c r="H790" s="6" t="n"/>
      <c r="I790" s="8" t="n"/>
      <c r="J790" s="8" t="n"/>
      <c r="K790" s="8" t="n"/>
      <c r="L790" s="8" t="n"/>
      <c r="M790" s="8" t="n"/>
    </row>
    <row r="791" ht="12.75" customHeight="1">
      <c r="H791" s="6" t="n"/>
      <c r="I791" s="8" t="n"/>
      <c r="J791" s="8" t="n"/>
      <c r="K791" s="8" t="n"/>
      <c r="L791" s="8" t="n"/>
      <c r="M791" s="8" t="n"/>
    </row>
    <row r="792" ht="12.75" customHeight="1">
      <c r="H792" s="6" t="n"/>
      <c r="I792" s="8" t="n"/>
      <c r="J792" s="8" t="n"/>
      <c r="K792" s="8" t="n"/>
      <c r="L792" s="8" t="n"/>
      <c r="M792" s="8" t="n"/>
    </row>
    <row r="793" ht="12.75" customHeight="1">
      <c r="H793" s="6" t="n"/>
      <c r="I793" s="8" t="n"/>
      <c r="J793" s="8" t="n"/>
      <c r="K793" s="8" t="n"/>
      <c r="L793" s="8" t="n"/>
      <c r="M793" s="8" t="n"/>
    </row>
    <row r="794" ht="12.75" customHeight="1">
      <c r="H794" s="6" t="n"/>
      <c r="I794" s="8" t="n"/>
      <c r="J794" s="8" t="n"/>
      <c r="K794" s="8" t="n"/>
      <c r="L794" s="8" t="n"/>
      <c r="M794" s="8" t="n"/>
    </row>
    <row r="795" ht="12.75" customHeight="1">
      <c r="H795" s="6" t="n"/>
      <c r="I795" s="8" t="n"/>
      <c r="J795" s="8" t="n"/>
      <c r="K795" s="8" t="n"/>
      <c r="L795" s="8" t="n"/>
      <c r="M795" s="8" t="n"/>
    </row>
    <row r="796" ht="12.75" customHeight="1">
      <c r="H796" s="6" t="n"/>
      <c r="I796" s="8" t="n"/>
      <c r="J796" s="8" t="n"/>
      <c r="K796" s="8" t="n"/>
      <c r="L796" s="8" t="n"/>
      <c r="M796" s="8" t="n"/>
    </row>
    <row r="797" ht="12.75" customHeight="1">
      <c r="H797" s="6" t="n"/>
      <c r="I797" s="1" t="n"/>
      <c r="J797" s="8" t="n"/>
      <c r="K797" s="8" t="n"/>
      <c r="L797" s="8" t="n"/>
      <c r="M797" s="8" t="n"/>
    </row>
    <row r="798" ht="12.75" customHeight="1">
      <c r="H798" s="6" t="n"/>
      <c r="I798" s="1" t="n"/>
      <c r="J798" s="8" t="n"/>
      <c r="K798" s="8" t="n"/>
      <c r="L798" s="8" t="n"/>
      <c r="M798" s="8" t="n"/>
    </row>
    <row r="799" ht="12.75" customHeight="1">
      <c r="H799" s="6" t="n"/>
      <c r="I799" s="1" t="n"/>
      <c r="J799" s="8" t="n"/>
      <c r="K799" s="8" t="n"/>
      <c r="L799" s="8" t="n"/>
      <c r="M799" s="8" t="n"/>
    </row>
    <row r="800" ht="12.75" customHeight="1">
      <c r="H800" s="6" t="n"/>
      <c r="I800" s="1" t="n"/>
      <c r="J800" s="8" t="n"/>
      <c r="K800" s="8" t="n"/>
      <c r="L800" s="8" t="n"/>
      <c r="M800" s="8" t="n"/>
    </row>
    <row r="801" ht="12.75" customHeight="1">
      <c r="H801" s="6" t="n"/>
      <c r="I801" s="7" t="n"/>
      <c r="J801" s="1" t="n"/>
      <c r="K801" s="8" t="n"/>
      <c r="L801" s="8" t="n"/>
      <c r="M801" s="8" t="n"/>
    </row>
    <row r="802" ht="12.75" customHeight="1">
      <c r="H802" s="6" t="n"/>
      <c r="I802" s="7" t="n"/>
      <c r="J802" s="1" t="n"/>
      <c r="K802" s="8" t="n"/>
      <c r="L802" s="8" t="n"/>
      <c r="M802" s="8" t="n"/>
    </row>
    <row r="803" ht="12.75" customHeight="1">
      <c r="H803" s="6" t="n"/>
      <c r="I803" s="7" t="n"/>
      <c r="J803" s="1" t="n"/>
      <c r="K803" s="8" t="n"/>
      <c r="L803" s="8" t="n"/>
      <c r="M803" s="8" t="n"/>
    </row>
    <row r="804" ht="12.75" customHeight="1">
      <c r="H804" s="6" t="n"/>
      <c r="I804" s="7" t="n"/>
      <c r="J804" s="1" t="n"/>
      <c r="K804" s="8" t="n"/>
      <c r="L804" s="8" t="n"/>
      <c r="M804" s="8" t="n"/>
    </row>
    <row r="805" ht="12.75" customHeight="1">
      <c r="H805" s="6" t="n"/>
      <c r="I805" s="7" t="n"/>
      <c r="J805" s="1" t="n"/>
      <c r="K805" s="8" t="n"/>
      <c r="L805" s="8" t="n"/>
      <c r="M805" s="8" t="n"/>
    </row>
    <row r="806" ht="12.75" customHeight="1">
      <c r="H806" s="6" t="n"/>
      <c r="I806" s="7" t="n"/>
      <c r="J806" s="1" t="n"/>
      <c r="K806" s="8" t="n"/>
      <c r="L806" s="8" t="n"/>
      <c r="M806" s="8" t="n"/>
    </row>
    <row r="807" ht="12.75" customHeight="1">
      <c r="H807" s="6" t="n"/>
      <c r="I807" s="7" t="n"/>
      <c r="J807" s="1" t="n"/>
      <c r="K807" s="8" t="n"/>
      <c r="L807" s="8" t="n"/>
      <c r="M807" s="8" t="n"/>
    </row>
    <row r="808" ht="12.75" customHeight="1">
      <c r="H808" s="6" t="n"/>
      <c r="I808" s="7" t="n"/>
      <c r="J808" s="1" t="n"/>
      <c r="K808" s="8" t="n"/>
      <c r="L808" s="8" t="n"/>
      <c r="M808" s="8" t="n"/>
    </row>
    <row r="809" ht="12.75" customHeight="1">
      <c r="H809" s="6" t="n"/>
      <c r="I809" s="7" t="n"/>
      <c r="J809" s="1" t="n"/>
      <c r="K809" s="8" t="n"/>
      <c r="L809" s="8" t="n"/>
      <c r="M809" s="8" t="n"/>
    </row>
    <row r="810" ht="12.75" customHeight="1">
      <c r="H810" s="6" t="n"/>
      <c r="I810" s="7" t="n"/>
      <c r="J810" s="1" t="n"/>
      <c r="K810" s="8" t="n"/>
      <c r="L810" s="8" t="n"/>
      <c r="M810" s="8" t="n"/>
    </row>
    <row r="811" ht="12.75" customHeight="1">
      <c r="H811" s="6" t="n"/>
      <c r="I811" s="7" t="n"/>
      <c r="J811" s="1" t="n"/>
      <c r="K811" s="8" t="n"/>
      <c r="L811" s="8" t="n"/>
      <c r="M811" s="8" t="n"/>
    </row>
    <row r="812" ht="12.75" customHeight="1">
      <c r="H812" s="6" t="n"/>
      <c r="I812" s="7" t="n"/>
      <c r="J812" s="1" t="n"/>
      <c r="K812" s="8" t="n"/>
      <c r="L812" s="8" t="n"/>
      <c r="M812" s="8" t="n"/>
    </row>
    <row r="813" ht="12.75" customHeight="1">
      <c r="H813" s="6" t="n"/>
      <c r="I813" s="7" t="n"/>
      <c r="J813" s="1" t="n"/>
      <c r="K813" s="8" t="n"/>
      <c r="L813" s="8" t="n"/>
      <c r="M813" s="8" t="n"/>
    </row>
    <row r="814" ht="12.75" customHeight="1">
      <c r="H814" s="6" t="n"/>
      <c r="I814" s="7" t="n"/>
      <c r="J814" s="1" t="n"/>
      <c r="K814" s="8" t="n"/>
      <c r="L814" s="8" t="n"/>
      <c r="M814" s="8" t="n"/>
    </row>
    <row r="815" ht="12.75" customHeight="1">
      <c r="H815" s="6" t="n"/>
      <c r="I815" s="7" t="n"/>
      <c r="J815" s="1" t="n"/>
      <c r="K815" s="8" t="n"/>
      <c r="L815" s="8" t="n"/>
      <c r="M815" s="8" t="n"/>
    </row>
    <row r="816" ht="12.75" customHeight="1">
      <c r="H816" s="6" t="n"/>
      <c r="I816" s="7" t="n"/>
      <c r="J816" s="1" t="n"/>
      <c r="K816" s="8" t="n"/>
      <c r="L816" s="8" t="n"/>
      <c r="M816" s="8" t="n"/>
    </row>
    <row r="817" ht="12.75" customHeight="1">
      <c r="H817" s="6" t="n"/>
      <c r="I817" s="7" t="n"/>
      <c r="J817" s="1" t="n"/>
      <c r="K817" s="8" t="n"/>
      <c r="L817" s="8" t="n"/>
      <c r="M817" s="8" t="n"/>
    </row>
    <row r="818" ht="12.75" customHeight="1">
      <c r="H818" s="6" t="n"/>
      <c r="I818" s="7" t="n"/>
      <c r="J818" s="1" t="n"/>
      <c r="K818" s="8" t="n"/>
      <c r="L818" s="8" t="n"/>
      <c r="M818" s="8" t="n"/>
    </row>
    <row r="819" ht="12.75" customHeight="1">
      <c r="H819" s="6" t="n"/>
      <c r="I819" s="7" t="n"/>
      <c r="J819" s="1" t="n"/>
      <c r="K819" s="8" t="n"/>
      <c r="L819" s="8" t="n"/>
      <c r="M819" s="8" t="n"/>
    </row>
    <row r="820" ht="12.75" customHeight="1">
      <c r="H820" s="6" t="n"/>
      <c r="I820" s="7" t="n"/>
      <c r="J820" s="1" t="n"/>
      <c r="K820" s="8" t="n"/>
      <c r="L820" s="8" t="n"/>
      <c r="M820" s="8" t="n"/>
    </row>
    <row r="821" ht="12.75" customHeight="1">
      <c r="H821" s="6" t="n"/>
      <c r="I821" s="7" t="n"/>
      <c r="J821" s="1" t="n"/>
      <c r="K821" s="8" t="n"/>
      <c r="L821" s="8" t="n"/>
      <c r="M821" s="8" t="n"/>
    </row>
    <row r="822" ht="12.75" customHeight="1">
      <c r="H822" s="6" t="n"/>
      <c r="I822" s="7" t="n"/>
      <c r="J822" s="1" t="n"/>
      <c r="K822" s="8" t="n"/>
      <c r="L822" s="8" t="n"/>
      <c r="M822" s="8" t="n"/>
    </row>
    <row r="823" ht="12.75" customHeight="1">
      <c r="H823" s="6" t="n"/>
      <c r="I823" s="7" t="n"/>
      <c r="J823" s="1" t="n"/>
      <c r="K823" s="8" t="n"/>
      <c r="L823" s="8" t="n"/>
      <c r="M823" s="8" t="n"/>
    </row>
    <row r="824" ht="12.75" customHeight="1">
      <c r="H824" s="6" t="n"/>
      <c r="I824" s="7" t="n"/>
      <c r="J824" s="1" t="n"/>
      <c r="K824" s="8" t="n"/>
      <c r="L824" s="8" t="n"/>
      <c r="M824" s="8" t="n"/>
    </row>
    <row r="825" ht="12.75" customHeight="1">
      <c r="H825" s="6" t="n"/>
      <c r="I825" s="7" t="n"/>
      <c r="J825" s="1" t="n"/>
      <c r="K825" s="8" t="n"/>
      <c r="L825" s="8" t="n"/>
      <c r="M825" s="8" t="n"/>
    </row>
    <row r="826" ht="12.75" customHeight="1">
      <c r="H826" s="6" t="n"/>
      <c r="I826" s="7" t="n"/>
      <c r="J826" s="1" t="n"/>
      <c r="K826" s="8" t="n"/>
      <c r="L826" s="8" t="n"/>
      <c r="M826" s="8" t="n"/>
    </row>
    <row r="827" ht="12.75" customHeight="1">
      <c r="H827" s="6" t="n"/>
      <c r="I827" s="7" t="n"/>
      <c r="J827" s="1" t="n"/>
      <c r="K827" s="8" t="n"/>
      <c r="L827" s="8" t="n"/>
      <c r="M827" s="8" t="n"/>
    </row>
    <row r="828" ht="12.75" customHeight="1">
      <c r="H828" s="6" t="n"/>
      <c r="I828" s="7" t="n"/>
      <c r="J828" s="1" t="n"/>
      <c r="K828" s="8" t="n"/>
      <c r="L828" s="8" t="n"/>
      <c r="M828" s="8" t="n"/>
    </row>
    <row r="829" ht="12.75" customHeight="1">
      <c r="H829" s="6" t="n"/>
      <c r="I829" s="7" t="n"/>
      <c r="J829" s="1" t="n"/>
      <c r="K829" s="8" t="n"/>
      <c r="L829" s="8" t="n"/>
      <c r="M829" s="8" t="n"/>
    </row>
    <row r="830" ht="12.75" customHeight="1">
      <c r="H830" s="6" t="n"/>
      <c r="I830" s="7" t="n"/>
      <c r="J830" s="1" t="n"/>
      <c r="K830" s="8" t="n"/>
      <c r="L830" s="8" t="n"/>
      <c r="M830" s="8" t="n"/>
    </row>
    <row r="831" ht="12.75" customHeight="1">
      <c r="H831" s="6" t="n"/>
      <c r="I831" s="7" t="n"/>
      <c r="J831" s="1" t="n"/>
      <c r="K831" s="8" t="n"/>
      <c r="L831" s="8" t="n"/>
      <c r="M831" s="8" t="n"/>
    </row>
    <row r="832" ht="12.75" customHeight="1">
      <c r="H832" s="6" t="n"/>
      <c r="I832" s="7" t="n"/>
      <c r="J832" s="1" t="n"/>
      <c r="K832" s="8" t="n"/>
      <c r="L832" s="8" t="n"/>
      <c r="M832" s="8" t="n"/>
    </row>
    <row r="833" ht="12.75" customHeight="1">
      <c r="H833" s="6" t="n"/>
      <c r="I833" s="7" t="n"/>
      <c r="J833" s="1" t="n"/>
      <c r="K833" s="8" t="n"/>
      <c r="L833" s="8" t="n"/>
      <c r="M833" s="8" t="n"/>
    </row>
    <row r="834" ht="12.75" customHeight="1">
      <c r="H834" s="6" t="n"/>
      <c r="I834" s="7" t="n"/>
      <c r="J834" s="1" t="n"/>
      <c r="K834" s="8" t="n"/>
      <c r="L834" s="8" t="n"/>
      <c r="M834" s="8" t="n"/>
    </row>
    <row r="835" ht="12.75" customHeight="1">
      <c r="H835" s="6" t="n"/>
      <c r="I835" s="7" t="n"/>
      <c r="J835" s="1" t="n"/>
      <c r="K835" s="8" t="n"/>
      <c r="L835" s="8" t="n"/>
      <c r="M835" s="8" t="n"/>
    </row>
    <row r="836" ht="12.75" customHeight="1">
      <c r="H836" s="6" t="n"/>
      <c r="I836" s="7" t="n"/>
      <c r="J836" s="1" t="n"/>
      <c r="K836" s="8" t="n"/>
      <c r="L836" s="8" t="n"/>
      <c r="M836" s="8" t="n"/>
    </row>
    <row r="837" ht="12.75" customHeight="1">
      <c r="H837" s="6" t="n"/>
      <c r="I837" s="7" t="n"/>
      <c r="J837" s="1" t="n"/>
      <c r="K837" s="8" t="n"/>
      <c r="L837" s="8" t="n"/>
      <c r="M837" s="8" t="n"/>
    </row>
    <row r="838" ht="12.75" customHeight="1">
      <c r="H838" s="6" t="n"/>
      <c r="I838" s="7" t="n"/>
      <c r="J838" s="1" t="n"/>
      <c r="K838" s="8" t="n"/>
      <c r="L838" s="8" t="n"/>
      <c r="M838" s="8" t="n"/>
    </row>
    <row r="839" ht="12.75" customHeight="1">
      <c r="H839" s="6" t="n"/>
      <c r="I839" s="7" t="n"/>
      <c r="J839" s="1" t="n"/>
      <c r="K839" s="8" t="n"/>
      <c r="L839" s="8" t="n"/>
      <c r="M839" s="8" t="n"/>
    </row>
    <row r="840" ht="12.75" customHeight="1">
      <c r="H840" s="6" t="n"/>
      <c r="I840" s="7" t="n"/>
      <c r="J840" s="1" t="n"/>
      <c r="K840" s="8" t="n"/>
      <c r="L840" s="8" t="n"/>
      <c r="M840" s="8" t="n"/>
    </row>
    <row r="841" ht="12.75" customHeight="1">
      <c r="H841" s="6" t="n"/>
      <c r="I841" s="7" t="n"/>
      <c r="J841" s="1" t="n"/>
      <c r="K841" s="8" t="n"/>
      <c r="L841" s="8" t="n"/>
      <c r="M841" s="8" t="n"/>
    </row>
    <row r="842" ht="12.75" customHeight="1">
      <c r="H842" s="6" t="n"/>
      <c r="I842" s="7" t="n"/>
      <c r="J842" s="1" t="n"/>
      <c r="K842" s="8" t="n"/>
      <c r="L842" s="8" t="n"/>
      <c r="M842" s="8" t="n"/>
    </row>
    <row r="843" ht="12.75" customHeight="1">
      <c r="H843" s="6" t="n"/>
      <c r="I843" s="7" t="n"/>
      <c r="J843" s="1" t="n"/>
      <c r="K843" s="8" t="n"/>
      <c r="L843" s="8" t="n"/>
      <c r="M843" s="8" t="n"/>
    </row>
    <row r="844" ht="12.75" customHeight="1">
      <c r="H844" s="6" t="n"/>
      <c r="I844" s="7" t="n"/>
      <c r="J844" s="1" t="n"/>
      <c r="K844" s="8" t="n"/>
      <c r="L844" s="8" t="n"/>
      <c r="M844" s="8" t="n"/>
    </row>
    <row r="845" ht="12.75" customHeight="1">
      <c r="H845" s="6" t="n"/>
      <c r="I845" s="7" t="n"/>
      <c r="J845" s="1" t="n"/>
      <c r="K845" s="8" t="n"/>
      <c r="L845" s="8" t="n"/>
      <c r="M845" s="8" t="n"/>
    </row>
    <row r="846" ht="12.75" customHeight="1">
      <c r="H846" s="6" t="n"/>
      <c r="I846" s="7" t="n"/>
      <c r="J846" s="1" t="n"/>
      <c r="K846" s="8" t="n"/>
      <c r="L846" s="8" t="n"/>
      <c r="M846" s="8" t="n"/>
    </row>
    <row r="847" ht="12.75" customHeight="1">
      <c r="H847" s="6" t="n"/>
      <c r="I847" s="7" t="n"/>
      <c r="J847" s="1" t="n"/>
      <c r="K847" s="8" t="n"/>
      <c r="L847" s="8" t="n"/>
      <c r="M847" s="8" t="n"/>
    </row>
    <row r="848" ht="12.75" customHeight="1">
      <c r="H848" s="6" t="n"/>
      <c r="I848" s="7" t="n"/>
      <c r="J848" s="1" t="n"/>
      <c r="K848" s="8" t="n"/>
      <c r="L848" s="8" t="n"/>
      <c r="M848" s="8" t="n"/>
    </row>
    <row r="849" ht="12.75" customHeight="1">
      <c r="H849" s="6" t="n"/>
      <c r="I849" s="7" t="n"/>
      <c r="J849" s="1" t="n"/>
      <c r="K849" s="8" t="n"/>
      <c r="L849" s="8" t="n"/>
      <c r="M849" s="8" t="n"/>
    </row>
    <row r="850" ht="12.75" customHeight="1">
      <c r="H850" s="6" t="n"/>
      <c r="I850" s="7" t="n"/>
      <c r="J850" s="1" t="n"/>
      <c r="K850" s="8" t="n"/>
      <c r="L850" s="8" t="n"/>
      <c r="M850" s="8" t="n"/>
    </row>
    <row r="851" ht="12.75" customHeight="1">
      <c r="H851" s="6" t="n"/>
      <c r="I851" s="7" t="n"/>
      <c r="J851" s="1" t="n"/>
      <c r="K851" s="8" t="n"/>
      <c r="L851" s="8" t="n"/>
      <c r="M851" s="8" t="n"/>
    </row>
    <row r="852" ht="12.75" customHeight="1">
      <c r="H852" s="6" t="n"/>
      <c r="I852" s="7" t="n"/>
      <c r="J852" s="1" t="n"/>
      <c r="K852" s="8" t="n"/>
      <c r="L852" s="8" t="n"/>
      <c r="M852" s="8" t="n"/>
    </row>
    <row r="853" ht="12.75" customHeight="1">
      <c r="H853" s="6" t="n"/>
      <c r="I853" s="7" t="n"/>
      <c r="J853" s="1" t="n"/>
      <c r="K853" s="8" t="n"/>
      <c r="L853" s="8" t="n"/>
      <c r="M853" s="8" t="n"/>
    </row>
    <row r="854" ht="12.75" customHeight="1">
      <c r="H854" s="6" t="n"/>
      <c r="I854" s="7" t="n"/>
      <c r="J854" s="1" t="n"/>
      <c r="K854" s="8" t="n"/>
      <c r="L854" s="8" t="n"/>
      <c r="M854" s="8" t="n"/>
    </row>
    <row r="855" ht="12.75" customHeight="1">
      <c r="H855" s="6" t="n"/>
      <c r="I855" s="7" t="n"/>
      <c r="J855" s="1" t="n"/>
      <c r="K855" s="8" t="n"/>
      <c r="L855" s="8" t="n"/>
      <c r="M855" s="8" t="n"/>
    </row>
    <row r="856" ht="12.75" customHeight="1">
      <c r="H856" s="6" t="n"/>
      <c r="I856" s="7" t="n"/>
      <c r="J856" s="1" t="n"/>
      <c r="K856" s="8" t="n"/>
      <c r="L856" s="8" t="n"/>
      <c r="M856" s="8" t="n"/>
    </row>
    <row r="857" ht="12.75" customHeight="1">
      <c r="H857" s="6" t="n"/>
      <c r="I857" s="7" t="n"/>
      <c r="J857" s="1" t="n"/>
      <c r="K857" s="8" t="n"/>
      <c r="L857" s="8" t="n"/>
      <c r="M857" s="8" t="n"/>
    </row>
    <row r="858" ht="12.75" customHeight="1">
      <c r="H858" s="6" t="n"/>
      <c r="I858" s="7" t="n"/>
      <c r="J858" s="1" t="n"/>
      <c r="K858" s="8" t="n"/>
      <c r="L858" s="8" t="n"/>
      <c r="M858" s="8" t="n"/>
    </row>
    <row r="859" ht="12.75" customHeight="1">
      <c r="H859" s="6" t="n"/>
      <c r="I859" s="7" t="n"/>
      <c r="J859" s="1" t="n"/>
      <c r="K859" s="8" t="n"/>
      <c r="L859" s="8" t="n"/>
      <c r="M859" s="8" t="n"/>
    </row>
    <row r="860" ht="12.75" customHeight="1">
      <c r="H860" s="6" t="n"/>
      <c r="I860" s="7" t="n"/>
      <c r="J860" s="1" t="n"/>
      <c r="K860" s="8" t="n"/>
      <c r="L860" s="8" t="n"/>
      <c r="M860" s="8" t="n"/>
    </row>
    <row r="861" ht="12.75" customHeight="1">
      <c r="H861" s="6" t="n"/>
      <c r="I861" s="7" t="n"/>
      <c r="J861" s="1" t="n"/>
      <c r="K861" s="8" t="n"/>
      <c r="L861" s="8" t="n"/>
      <c r="M861" s="8" t="n"/>
    </row>
    <row r="862" ht="12.75" customHeight="1">
      <c r="H862" s="6" t="n"/>
      <c r="I862" s="7" t="n"/>
      <c r="J862" s="1" t="n"/>
      <c r="K862" s="8" t="n"/>
      <c r="L862" s="8" t="n"/>
      <c r="M862" s="8" t="n"/>
    </row>
    <row r="863" ht="12.75" customHeight="1">
      <c r="H863" s="6" t="n"/>
      <c r="I863" s="7" t="n"/>
      <c r="J863" s="1" t="n"/>
      <c r="K863" s="8" t="n"/>
      <c r="L863" s="8" t="n"/>
      <c r="M863" s="8" t="n"/>
    </row>
    <row r="864" ht="12.75" customHeight="1">
      <c r="H864" s="6" t="n"/>
      <c r="I864" s="7" t="n"/>
      <c r="J864" s="1" t="n"/>
      <c r="K864" s="8" t="n"/>
      <c r="L864" s="8" t="n"/>
      <c r="M864" s="8" t="n"/>
    </row>
    <row r="865" ht="12.75" customHeight="1">
      <c r="H865" s="6" t="n"/>
      <c r="I865" s="7" t="n"/>
      <c r="J865" s="1" t="n"/>
      <c r="K865" s="8" t="n"/>
      <c r="L865" s="8" t="n"/>
      <c r="M865" s="8" t="n"/>
    </row>
    <row r="866" ht="12.75" customHeight="1">
      <c r="H866" s="6" t="n"/>
      <c r="I866" s="7" t="n"/>
      <c r="J866" s="1" t="n"/>
      <c r="K866" s="8" t="n"/>
      <c r="L866" s="8" t="n"/>
      <c r="M866" s="8" t="n"/>
    </row>
    <row r="867" ht="12.75" customHeight="1">
      <c r="H867" s="6" t="n"/>
      <c r="I867" s="7" t="n"/>
      <c r="J867" s="1" t="n"/>
      <c r="K867" s="8" t="n"/>
      <c r="L867" s="8" t="n"/>
      <c r="M867" s="8" t="n"/>
    </row>
    <row r="868" ht="12.75" customHeight="1">
      <c r="H868" s="6" t="n"/>
      <c r="I868" s="7" t="n"/>
      <c r="J868" s="1" t="n"/>
      <c r="K868" s="8" t="n"/>
      <c r="L868" s="8" t="n"/>
      <c r="M868" s="8" t="n"/>
    </row>
    <row r="869" ht="12.75" customHeight="1">
      <c r="H869" s="6" t="n"/>
      <c r="I869" s="7" t="n"/>
      <c r="J869" s="1" t="n"/>
      <c r="K869" s="8" t="n"/>
      <c r="L869" s="8" t="n"/>
      <c r="M869" s="8" t="n"/>
    </row>
    <row r="870" ht="12.75" customHeight="1">
      <c r="H870" s="6" t="n"/>
      <c r="I870" s="7" t="n"/>
      <c r="J870" s="1" t="n"/>
      <c r="K870" s="8" t="n"/>
      <c r="L870" s="8" t="n"/>
      <c r="M870" s="8" t="n"/>
    </row>
    <row r="871" ht="12.75" customHeight="1">
      <c r="H871" s="6" t="n"/>
      <c r="I871" s="7" t="n"/>
      <c r="J871" s="1" t="n"/>
      <c r="K871" s="8" t="n"/>
      <c r="L871" s="8" t="n"/>
      <c r="M871" s="8" t="n"/>
    </row>
    <row r="872" ht="12.75" customHeight="1">
      <c r="H872" s="6" t="n"/>
      <c r="I872" s="7" t="n"/>
      <c r="J872" s="1" t="n"/>
      <c r="K872" s="8" t="n"/>
      <c r="L872" s="8" t="n"/>
      <c r="M872" s="8" t="n"/>
    </row>
    <row r="873" ht="12.75" customHeight="1">
      <c r="H873" s="6" t="n"/>
      <c r="I873" s="7" t="n"/>
      <c r="J873" s="1" t="n"/>
      <c r="K873" s="8" t="n"/>
      <c r="L873" s="8" t="n"/>
      <c r="M873" s="8" t="n"/>
    </row>
    <row r="874" ht="12.75" customHeight="1">
      <c r="H874" s="6" t="n"/>
      <c r="I874" s="7" t="n"/>
      <c r="J874" s="1" t="n"/>
      <c r="K874" s="8" t="n"/>
      <c r="L874" s="8" t="n"/>
      <c r="M874" s="8" t="n"/>
    </row>
    <row r="875" ht="12.75" customHeight="1">
      <c r="H875" s="6" t="n"/>
      <c r="I875" s="7" t="n"/>
      <c r="J875" s="1" t="n"/>
      <c r="K875" s="8" t="n"/>
      <c r="L875" s="8" t="n"/>
      <c r="M875" s="8" t="n"/>
    </row>
    <row r="876" ht="12.75" customHeight="1">
      <c r="H876" s="6" t="n"/>
      <c r="I876" s="7" t="n"/>
      <c r="J876" s="1" t="n"/>
      <c r="K876" s="8" t="n"/>
      <c r="L876" s="8" t="n"/>
      <c r="M876" s="8" t="n"/>
    </row>
    <row r="877" ht="12.75" customHeight="1">
      <c r="H877" s="6" t="n"/>
      <c r="I877" s="7" t="n"/>
      <c r="J877" s="1" t="n"/>
      <c r="K877" s="8" t="n"/>
      <c r="L877" s="8" t="n"/>
      <c r="M877" s="8" t="n"/>
    </row>
    <row r="878" ht="12.75" customHeight="1">
      <c r="H878" s="6" t="n"/>
      <c r="I878" s="7" t="n"/>
      <c r="J878" s="1" t="n"/>
      <c r="K878" s="8" t="n"/>
      <c r="L878" s="8" t="n"/>
      <c r="M878" s="8" t="n"/>
    </row>
    <row r="879" ht="12.75" customHeight="1">
      <c r="H879" s="6" t="n"/>
      <c r="I879" s="7" t="n"/>
      <c r="J879" s="1" t="n"/>
      <c r="K879" s="8" t="n"/>
      <c r="L879" s="8" t="n"/>
      <c r="M879" s="8" t="n"/>
    </row>
    <row r="880" ht="12.75" customHeight="1">
      <c r="H880" s="6" t="n"/>
      <c r="I880" s="7" t="n"/>
      <c r="J880" s="1" t="n"/>
      <c r="K880" s="8" t="n"/>
      <c r="L880" s="8" t="n"/>
      <c r="M880" s="8" t="n"/>
    </row>
    <row r="881" ht="12.75" customHeight="1">
      <c r="H881" s="6" t="n"/>
      <c r="I881" s="7" t="n"/>
      <c r="J881" s="1" t="n"/>
      <c r="K881" s="8" t="n"/>
      <c r="L881" s="8" t="n"/>
      <c r="M881" s="8" t="n"/>
    </row>
    <row r="882" ht="12.75" customHeight="1">
      <c r="H882" s="6" t="n"/>
      <c r="I882" s="7" t="n"/>
      <c r="J882" s="1" t="n"/>
      <c r="K882" s="8" t="n"/>
      <c r="L882" s="8" t="n"/>
      <c r="M882" s="8" t="n"/>
    </row>
    <row r="883" ht="12.75" customHeight="1">
      <c r="H883" s="6" t="n"/>
      <c r="I883" s="7" t="n"/>
      <c r="J883" s="1" t="n"/>
      <c r="K883" s="8" t="n"/>
      <c r="L883" s="8" t="n"/>
      <c r="M883" s="8" t="n"/>
    </row>
    <row r="884" ht="12.75" customHeight="1">
      <c r="H884" s="6" t="n"/>
      <c r="I884" s="7" t="n"/>
      <c r="J884" s="1" t="n"/>
      <c r="K884" s="8" t="n"/>
      <c r="L884" s="8" t="n"/>
      <c r="M884" s="8" t="n"/>
    </row>
    <row r="885" ht="12.75" customHeight="1">
      <c r="H885" s="6" t="n"/>
      <c r="I885" s="7" t="n"/>
      <c r="J885" s="1" t="n"/>
      <c r="K885" s="8" t="n"/>
      <c r="L885" s="8" t="n"/>
      <c r="M885" s="8" t="n"/>
    </row>
    <row r="886" ht="12.75" customHeight="1">
      <c r="H886" s="6" t="n"/>
      <c r="I886" s="7" t="n"/>
      <c r="J886" s="1" t="n"/>
      <c r="K886" s="8" t="n"/>
      <c r="L886" s="8" t="n"/>
      <c r="M886" s="8" t="n"/>
    </row>
    <row r="887" ht="12.75" customHeight="1">
      <c r="H887" s="6" t="n"/>
      <c r="I887" s="7" t="n"/>
      <c r="J887" s="1" t="n"/>
      <c r="K887" s="8" t="n"/>
      <c r="L887" s="8" t="n"/>
      <c r="M887" s="8" t="n"/>
    </row>
    <row r="888" ht="12.75" customHeight="1">
      <c r="H888" s="6" t="n"/>
      <c r="I888" s="7" t="n"/>
      <c r="J888" s="1" t="n"/>
      <c r="K888" s="8" t="n"/>
      <c r="L888" s="8" t="n"/>
      <c r="M888" s="8" t="n"/>
    </row>
    <row r="889" ht="12.75" customHeight="1">
      <c r="H889" s="6" t="n"/>
      <c r="I889" s="7" t="n"/>
      <c r="J889" s="1" t="n"/>
      <c r="K889" s="8" t="n"/>
      <c r="L889" s="8" t="n"/>
      <c r="M889" s="8" t="n"/>
    </row>
    <row r="890" ht="12.75" customHeight="1">
      <c r="H890" s="6" t="n"/>
      <c r="I890" s="7" t="n"/>
      <c r="J890" s="1" t="n"/>
      <c r="K890" s="8" t="n"/>
      <c r="L890" s="8" t="n"/>
      <c r="M890" s="8" t="n"/>
    </row>
    <row r="891" ht="12.75" customHeight="1">
      <c r="H891" s="6" t="n"/>
      <c r="I891" s="7" t="n"/>
      <c r="J891" s="1" t="n"/>
      <c r="K891" s="8" t="n"/>
      <c r="L891" s="8" t="n"/>
      <c r="M891" s="8" t="n"/>
    </row>
    <row r="892" ht="12.75" customHeight="1">
      <c r="H892" s="6" t="n"/>
      <c r="I892" s="7" t="n"/>
      <c r="J892" s="1" t="n"/>
      <c r="K892" s="8" t="n"/>
      <c r="L892" s="8" t="n"/>
      <c r="M892" s="8" t="n"/>
    </row>
    <row r="893" ht="12.75" customHeight="1">
      <c r="H893" s="6" t="n"/>
      <c r="I893" s="7" t="n"/>
      <c r="J893" s="1" t="n"/>
      <c r="K893" s="8" t="n"/>
      <c r="L893" s="8" t="n"/>
      <c r="M893" s="8" t="n"/>
    </row>
    <row r="894" ht="12.75" customHeight="1">
      <c r="H894" s="6" t="n"/>
      <c r="I894" s="7" t="n"/>
      <c r="J894" s="1" t="n"/>
      <c r="K894" s="8" t="n"/>
      <c r="L894" s="8" t="n"/>
      <c r="M894" s="8" t="n"/>
    </row>
    <row r="895" ht="12.75" customHeight="1">
      <c r="H895" s="6" t="n"/>
      <c r="I895" s="7" t="n"/>
      <c r="J895" s="1" t="n"/>
      <c r="K895" s="8" t="n"/>
      <c r="L895" s="8" t="n"/>
      <c r="M895" s="8" t="n"/>
    </row>
    <row r="896" ht="12.75" customHeight="1">
      <c r="H896" s="6" t="n"/>
      <c r="I896" s="7" t="n"/>
      <c r="J896" s="1" t="n"/>
      <c r="K896" s="8" t="n"/>
      <c r="L896" s="8" t="n"/>
      <c r="M896" s="8" t="n"/>
    </row>
    <row r="897" ht="12.75" customHeight="1">
      <c r="H897" s="6" t="n"/>
      <c r="I897" s="7" t="n"/>
      <c r="J897" s="1" t="n"/>
      <c r="K897" s="8" t="n"/>
      <c r="L897" s="8" t="n"/>
      <c r="M897" s="8" t="n"/>
    </row>
    <row r="898" ht="12.75" customHeight="1">
      <c r="H898" s="6" t="n"/>
      <c r="I898" s="7" t="n"/>
      <c r="J898" s="1" t="n"/>
      <c r="K898" s="8" t="n"/>
      <c r="L898" s="8" t="n"/>
      <c r="M898" s="8" t="n"/>
    </row>
    <row r="899" ht="12.75" customHeight="1">
      <c r="H899" s="6" t="n"/>
      <c r="I899" s="7" t="n"/>
      <c r="J899" s="1" t="n"/>
      <c r="K899" s="8" t="n"/>
      <c r="L899" s="8" t="n"/>
      <c r="M899" s="8" t="n"/>
    </row>
    <row r="900" ht="12.75" customHeight="1">
      <c r="H900" s="6" t="n"/>
      <c r="I900" s="7" t="n"/>
      <c r="J900" s="1" t="n"/>
      <c r="K900" s="8" t="n"/>
      <c r="L900" s="8" t="n"/>
      <c r="M900" s="8" t="n"/>
    </row>
    <row r="901" ht="12.75" customHeight="1">
      <c r="H901" s="6" t="n"/>
      <c r="I901" s="7" t="n"/>
      <c r="J901" s="1" t="n"/>
      <c r="K901" s="8" t="n"/>
      <c r="L901" s="8" t="n"/>
      <c r="M901" s="8" t="n"/>
    </row>
    <row r="902" ht="12.75" customHeight="1">
      <c r="H902" s="6" t="n"/>
      <c r="I902" s="7" t="n"/>
      <c r="J902" s="1" t="n"/>
      <c r="K902" s="8" t="n"/>
      <c r="L902" s="8" t="n"/>
      <c r="M902" s="8" t="n"/>
    </row>
    <row r="903" ht="12.75" customHeight="1">
      <c r="H903" s="6" t="n"/>
      <c r="I903" s="7" t="n"/>
      <c r="J903" s="1" t="n"/>
      <c r="K903" s="8" t="n"/>
      <c r="L903" s="8" t="n"/>
      <c r="M903" s="8" t="n"/>
    </row>
    <row r="904" ht="12.75" customHeight="1">
      <c r="H904" s="6" t="n"/>
      <c r="I904" s="7" t="n"/>
      <c r="J904" s="1" t="n"/>
      <c r="K904" s="8" t="n"/>
      <c r="L904" s="8" t="n"/>
      <c r="M904" s="8" t="n"/>
    </row>
    <row r="905" ht="12.75" customHeight="1">
      <c r="H905" s="6" t="n"/>
      <c r="I905" s="7" t="n"/>
      <c r="J905" s="1" t="n"/>
      <c r="K905" s="8" t="n"/>
      <c r="L905" s="8" t="n"/>
      <c r="M905" s="8" t="n"/>
    </row>
    <row r="906" ht="12.75" customHeight="1">
      <c r="H906" s="6" t="n"/>
      <c r="I906" s="7" t="n"/>
      <c r="J906" s="1" t="n"/>
      <c r="K906" s="8" t="n"/>
      <c r="L906" s="8" t="n"/>
      <c r="M906" s="8" t="n"/>
    </row>
    <row r="907" ht="12.75" customHeight="1">
      <c r="H907" s="6" t="n"/>
      <c r="I907" s="7" t="n"/>
      <c r="J907" s="1" t="n"/>
      <c r="K907" s="8" t="n"/>
      <c r="L907" s="8" t="n"/>
      <c r="M907" s="8" t="n"/>
    </row>
    <row r="908" ht="12.75" customHeight="1">
      <c r="H908" s="6" t="n"/>
      <c r="I908" s="7" t="n"/>
      <c r="J908" s="1" t="n"/>
      <c r="K908" s="8" t="n"/>
      <c r="L908" s="8" t="n"/>
      <c r="M908" s="8" t="n"/>
    </row>
    <row r="909" ht="12.75" customHeight="1">
      <c r="H909" s="6" t="n"/>
      <c r="I909" s="7" t="n"/>
      <c r="J909" s="1" t="n"/>
      <c r="K909" s="8" t="n"/>
      <c r="L909" s="8" t="n"/>
      <c r="M909" s="8" t="n"/>
    </row>
    <row r="910" ht="12.75" customHeight="1">
      <c r="H910" s="6" t="n"/>
      <c r="I910" s="7" t="n"/>
      <c r="J910" s="1" t="n"/>
      <c r="K910" s="8" t="n"/>
      <c r="L910" s="8" t="n"/>
      <c r="M910" s="8" t="n"/>
    </row>
    <row r="911" ht="12.75" customHeight="1">
      <c r="H911" s="6" t="n"/>
      <c r="I911" s="7" t="n"/>
      <c r="J911" s="1" t="n"/>
      <c r="K911" s="8" t="n"/>
      <c r="L911" s="8" t="n"/>
      <c r="M911" s="8" t="n"/>
    </row>
    <row r="912" ht="12.75" customHeight="1">
      <c r="H912" s="6" t="n"/>
      <c r="I912" s="7" t="n"/>
      <c r="J912" s="1" t="n"/>
      <c r="K912" s="8" t="n"/>
      <c r="L912" s="8" t="n"/>
      <c r="M912" s="8" t="n"/>
    </row>
    <row r="913" ht="12.75" customHeight="1">
      <c r="H913" s="6" t="n"/>
      <c r="I913" s="7" t="n"/>
      <c r="J913" s="1" t="n"/>
      <c r="K913" s="8" t="n"/>
      <c r="L913" s="8" t="n"/>
      <c r="M913" s="8" t="n"/>
    </row>
    <row r="914" ht="12.75" customHeight="1">
      <c r="H914" s="6" t="n"/>
      <c r="I914" s="7" t="n"/>
      <c r="J914" s="1" t="n"/>
      <c r="K914" s="8" t="n"/>
      <c r="L914" s="8" t="n"/>
      <c r="M914" s="8" t="n"/>
    </row>
    <row r="915" ht="12.75" customHeight="1">
      <c r="H915" s="6" t="n"/>
      <c r="I915" s="7" t="n"/>
      <c r="J915" s="1" t="n"/>
      <c r="K915" s="8" t="n"/>
      <c r="L915" s="8" t="n"/>
      <c r="M915" s="8" t="n"/>
    </row>
    <row r="916" ht="12.75" customHeight="1">
      <c r="H916" s="6" t="n"/>
      <c r="I916" s="7" t="n"/>
      <c r="J916" s="1" t="n"/>
      <c r="K916" s="8" t="n"/>
      <c r="L916" s="8" t="n"/>
      <c r="M916" s="8" t="n"/>
    </row>
    <row r="917" ht="12.75" customHeight="1">
      <c r="H917" s="6" t="n"/>
      <c r="I917" s="7" t="n"/>
      <c r="J917" s="1" t="n"/>
      <c r="K917" s="8" t="n"/>
      <c r="L917" s="8" t="n"/>
      <c r="M917" s="8" t="n"/>
    </row>
    <row r="918" ht="12.75" customHeight="1">
      <c r="H918" s="6" t="n"/>
      <c r="I918" s="7" t="n"/>
      <c r="J918" s="1" t="n"/>
      <c r="K918" s="8" t="n"/>
      <c r="L918" s="8" t="n"/>
      <c r="M918" s="8" t="n"/>
    </row>
    <row r="919" ht="12.75" customHeight="1">
      <c r="H919" s="6" t="n"/>
      <c r="I919" s="7" t="n"/>
      <c r="J919" s="1" t="n"/>
      <c r="K919" s="8" t="n"/>
      <c r="L919" s="8" t="n"/>
      <c r="M919" s="8" t="n"/>
    </row>
    <row r="920" ht="12.75" customHeight="1">
      <c r="H920" s="6" t="n"/>
      <c r="I920" s="7" t="n"/>
      <c r="J920" s="1" t="n"/>
      <c r="K920" s="8" t="n"/>
      <c r="L920" s="8" t="n"/>
      <c r="M920" s="8" t="n"/>
    </row>
    <row r="921" ht="12.75" customHeight="1">
      <c r="H921" s="6" t="n"/>
      <c r="I921" s="7" t="n"/>
      <c r="J921" s="1" t="n"/>
      <c r="K921" s="8" t="n"/>
      <c r="L921" s="8" t="n"/>
      <c r="M921" s="8" t="n"/>
    </row>
    <row r="922" ht="12.75" customHeight="1">
      <c r="H922" s="6" t="n"/>
      <c r="I922" s="7" t="n"/>
      <c r="J922" s="1" t="n"/>
      <c r="K922" s="8" t="n"/>
      <c r="L922" s="8" t="n"/>
      <c r="M922" s="8" t="n"/>
    </row>
    <row r="923" ht="12.75" customHeight="1">
      <c r="H923" s="6" t="n"/>
      <c r="I923" s="7" t="n"/>
      <c r="J923" s="1" t="n"/>
      <c r="K923" s="8" t="n"/>
      <c r="L923" s="8" t="n"/>
      <c r="M923" s="8" t="n"/>
    </row>
    <row r="924" ht="12.75" customHeight="1">
      <c r="H924" s="6" t="n"/>
      <c r="I924" s="7" t="n"/>
      <c r="J924" s="1" t="n"/>
      <c r="K924" s="8" t="n"/>
      <c r="L924" s="8" t="n"/>
      <c r="M924" s="8" t="n"/>
    </row>
    <row r="925" ht="12.75" customHeight="1">
      <c r="H925" s="6" t="n"/>
      <c r="I925" s="7" t="n"/>
      <c r="J925" s="1" t="n"/>
      <c r="K925" s="8" t="n"/>
      <c r="L925" s="8" t="n"/>
      <c r="M925" s="8" t="n"/>
    </row>
    <row r="926" ht="12.75" customHeight="1">
      <c r="H926" s="6" t="n"/>
      <c r="I926" s="7" t="n"/>
      <c r="J926" s="1" t="n"/>
      <c r="K926" s="8" t="n"/>
      <c r="L926" s="8" t="n"/>
      <c r="M926" s="8" t="n"/>
    </row>
    <row r="927" ht="12.75" customHeight="1">
      <c r="H927" s="6" t="n"/>
      <c r="I927" s="7" t="n"/>
      <c r="J927" s="1" t="n"/>
      <c r="K927" s="8" t="n"/>
      <c r="L927" s="8" t="n"/>
      <c r="M927" s="8" t="n"/>
    </row>
    <row r="928" ht="12.75" customHeight="1">
      <c r="H928" s="6" t="n"/>
      <c r="I928" s="7" t="n"/>
      <c r="J928" s="1" t="n"/>
      <c r="K928" s="8" t="n"/>
      <c r="L928" s="8" t="n"/>
      <c r="M928" s="8" t="n"/>
    </row>
    <row r="929" ht="12.75" customHeight="1">
      <c r="H929" s="6" t="n"/>
      <c r="I929" s="7" t="n"/>
      <c r="J929" s="1" t="n"/>
      <c r="K929" s="8" t="n"/>
      <c r="L929" s="8" t="n"/>
      <c r="M929" s="8" t="n"/>
    </row>
    <row r="930" ht="12.75" customHeight="1">
      <c r="H930" s="6" t="n"/>
      <c r="I930" s="7" t="n"/>
      <c r="J930" s="1" t="n"/>
      <c r="K930" s="8" t="n"/>
      <c r="L930" s="8" t="n"/>
      <c r="M930" s="8" t="n"/>
    </row>
    <row r="931" ht="12.75" customHeight="1">
      <c r="H931" s="6" t="n"/>
      <c r="I931" s="7" t="n"/>
      <c r="J931" s="1" t="n"/>
      <c r="K931" s="8" t="n"/>
      <c r="L931" s="8" t="n"/>
      <c r="M931" s="8" t="n"/>
    </row>
    <row r="932" ht="12.75" customHeight="1">
      <c r="H932" s="6" t="n"/>
      <c r="I932" s="7" t="n"/>
      <c r="J932" s="1" t="n"/>
      <c r="K932" s="8" t="n"/>
      <c r="L932" s="8" t="n"/>
      <c r="M932" s="8" t="n"/>
    </row>
    <row r="933" ht="12.75" customHeight="1">
      <c r="H933" s="6" t="n"/>
      <c r="I933" s="7" t="n"/>
      <c r="J933" s="1" t="n"/>
      <c r="K933" s="8" t="n"/>
      <c r="L933" s="8" t="n"/>
      <c r="M933" s="8" t="n"/>
    </row>
    <row r="934" ht="12.75" customHeight="1">
      <c r="H934" s="6" t="n"/>
      <c r="I934" s="7" t="n"/>
      <c r="J934" s="1" t="n"/>
      <c r="K934" s="8" t="n"/>
      <c r="L934" s="8" t="n"/>
      <c r="M934" s="8" t="n"/>
    </row>
    <row r="935" ht="12.75" customHeight="1">
      <c r="H935" s="6" t="n"/>
      <c r="I935" s="7" t="n"/>
      <c r="J935" s="1" t="n"/>
      <c r="K935" s="8" t="n"/>
      <c r="L935" s="8" t="n"/>
      <c r="M935" s="8" t="n"/>
    </row>
    <row r="936" ht="12.75" customHeight="1">
      <c r="H936" s="6" t="n"/>
      <c r="I936" s="7" t="n"/>
      <c r="J936" s="1" t="n"/>
      <c r="K936" s="8" t="n"/>
      <c r="L936" s="8" t="n"/>
      <c r="M936" s="8" t="n"/>
    </row>
    <row r="937" ht="12.75" customHeight="1">
      <c r="H937" s="6" t="n"/>
      <c r="I937" s="7" t="n"/>
      <c r="J937" s="1" t="n"/>
      <c r="K937" s="8" t="n"/>
      <c r="L937" s="8" t="n"/>
      <c r="M937" s="8" t="n"/>
    </row>
    <row r="938" ht="12.75" customHeight="1">
      <c r="H938" s="6" t="n"/>
      <c r="I938" s="7" t="n"/>
      <c r="J938" s="1" t="n"/>
      <c r="K938" s="8" t="n"/>
      <c r="L938" s="8" t="n"/>
      <c r="M938" s="8" t="n"/>
    </row>
    <row r="939" ht="12.75" customHeight="1">
      <c r="H939" s="6" t="n"/>
      <c r="I939" s="7" t="n"/>
      <c r="J939" s="1" t="n"/>
      <c r="K939" s="8" t="n"/>
      <c r="L939" s="8" t="n"/>
      <c r="M939" s="8" t="n"/>
    </row>
    <row r="940" ht="12.75" customHeight="1">
      <c r="H940" s="6" t="n"/>
      <c r="I940" s="7" t="n"/>
      <c r="J940" s="1" t="n"/>
      <c r="K940" s="8" t="n"/>
      <c r="L940" s="8" t="n"/>
      <c r="M940" s="8" t="n"/>
    </row>
    <row r="941" ht="12.75" customHeight="1">
      <c r="H941" s="6" t="n"/>
      <c r="I941" s="7" t="n"/>
      <c r="J941" s="1" t="n"/>
      <c r="K941" s="8" t="n"/>
      <c r="L941" s="8" t="n"/>
      <c r="M941" s="8" t="n"/>
    </row>
    <row r="942" ht="12.75" customHeight="1">
      <c r="H942" s="6" t="n"/>
      <c r="I942" s="7" t="n"/>
      <c r="J942" s="1" t="n"/>
      <c r="K942" s="8" t="n"/>
      <c r="L942" s="8" t="n"/>
      <c r="M942" s="8" t="n"/>
    </row>
    <row r="943" ht="12.75" customHeight="1">
      <c r="H943" s="6" t="n"/>
      <c r="I943" s="7" t="n"/>
      <c r="J943" s="1" t="n"/>
      <c r="K943" s="8" t="n"/>
      <c r="L943" s="8" t="n"/>
      <c r="M943" s="8" t="n"/>
    </row>
    <row r="944" ht="12.75" customHeight="1">
      <c r="H944" s="6" t="n"/>
      <c r="I944" s="7" t="n"/>
      <c r="J944" s="1" t="n"/>
      <c r="K944" s="8" t="n"/>
      <c r="L944" s="8" t="n"/>
      <c r="M944" s="8" t="n"/>
    </row>
    <row r="945" ht="12.75" customHeight="1">
      <c r="H945" s="6" t="n"/>
      <c r="I945" s="7" t="n"/>
      <c r="J945" s="1" t="n"/>
      <c r="K945" s="8" t="n"/>
      <c r="L945" s="8" t="n"/>
      <c r="M945" s="8" t="n"/>
    </row>
    <row r="946" ht="12.75" customHeight="1">
      <c r="H946" s="6" t="n"/>
      <c r="I946" s="7" t="n"/>
      <c r="J946" s="1" t="n"/>
      <c r="K946" s="8" t="n"/>
      <c r="L946" s="8" t="n"/>
      <c r="M946" s="8" t="n"/>
    </row>
    <row r="947" ht="12.75" customHeight="1">
      <c r="H947" s="6" t="n"/>
      <c r="I947" s="7" t="n"/>
      <c r="J947" s="1" t="n"/>
      <c r="K947" s="8" t="n"/>
      <c r="L947" s="8" t="n"/>
      <c r="M947" s="8" t="n"/>
    </row>
    <row r="948" ht="12.75" customHeight="1">
      <c r="H948" s="6" t="n"/>
      <c r="I948" s="7" t="n"/>
      <c r="J948" s="1" t="n"/>
      <c r="K948" s="8" t="n"/>
      <c r="L948" s="8" t="n"/>
      <c r="M948" s="8" t="n"/>
    </row>
    <row r="949" ht="12.75" customHeight="1">
      <c r="H949" s="6" t="n"/>
      <c r="I949" s="7" t="n"/>
      <c r="J949" s="1" t="n"/>
      <c r="K949" s="8" t="n"/>
      <c r="L949" s="8" t="n"/>
      <c r="M949" s="8" t="n"/>
    </row>
    <row r="950" ht="12.75" customHeight="1">
      <c r="H950" s="6" t="n"/>
      <c r="I950" s="7" t="n"/>
      <c r="J950" s="1" t="n"/>
      <c r="K950" s="8" t="n"/>
      <c r="L950" s="8" t="n"/>
      <c r="M950" s="8" t="n"/>
    </row>
    <row r="951" ht="12.75" customHeight="1">
      <c r="H951" s="6" t="n"/>
      <c r="I951" s="7" t="n"/>
      <c r="J951" s="1" t="n"/>
      <c r="K951" s="8" t="n"/>
      <c r="L951" s="8" t="n"/>
      <c r="M951" s="8" t="n"/>
    </row>
    <row r="952" ht="12.75" customHeight="1">
      <c r="H952" s="6" t="n"/>
      <c r="I952" s="7" t="n"/>
      <c r="J952" s="1" t="n"/>
      <c r="K952" s="8" t="n"/>
      <c r="L952" s="8" t="n"/>
      <c r="M952" s="8" t="n"/>
    </row>
    <row r="953" ht="12.75" customHeight="1">
      <c r="H953" s="6" t="n"/>
      <c r="I953" s="7" t="n"/>
      <c r="J953" s="1" t="n"/>
      <c r="K953" s="8" t="n"/>
      <c r="L953" s="8" t="n"/>
      <c r="M953" s="8" t="n"/>
    </row>
    <row r="954" ht="12.75" customHeight="1">
      <c r="H954" s="6" t="n"/>
      <c r="I954" s="7" t="n"/>
      <c r="J954" s="1" t="n"/>
      <c r="K954" s="8" t="n"/>
      <c r="L954" s="8" t="n"/>
      <c r="M954" s="8" t="n"/>
    </row>
    <row r="955" ht="12.75" customHeight="1">
      <c r="H955" s="6" t="n"/>
      <c r="I955" s="7" t="n"/>
      <c r="J955" s="1" t="n"/>
      <c r="K955" s="8" t="n"/>
      <c r="L955" s="8" t="n"/>
      <c r="M955" s="8" t="n"/>
    </row>
    <row r="956" ht="12.75" customHeight="1">
      <c r="H956" s="6" t="n"/>
      <c r="I956" s="7" t="n"/>
      <c r="J956" s="1" t="n"/>
      <c r="K956" s="8" t="n"/>
      <c r="L956" s="8" t="n"/>
      <c r="M956" s="8" t="n"/>
    </row>
    <row r="957" ht="12.75" customHeight="1">
      <c r="H957" s="6" t="n"/>
      <c r="I957" s="7" t="n"/>
      <c r="J957" s="1" t="n"/>
      <c r="K957" s="8" t="n"/>
      <c r="L957" s="8" t="n"/>
      <c r="M957" s="8" t="n"/>
    </row>
    <row r="958" ht="12.75" customHeight="1">
      <c r="H958" s="6" t="n"/>
      <c r="I958" s="7" t="n"/>
      <c r="J958" s="1" t="n"/>
      <c r="K958" s="8" t="n"/>
      <c r="L958" s="8" t="n"/>
      <c r="M958" s="8" t="n"/>
    </row>
    <row r="959" ht="12.75" customHeight="1">
      <c r="H959" s="6" t="n"/>
      <c r="I959" s="7" t="n"/>
      <c r="J959" s="1" t="n"/>
      <c r="K959" s="8" t="n"/>
      <c r="L959" s="8" t="n"/>
      <c r="M959" s="8" t="n"/>
    </row>
    <row r="960" ht="12.75" customHeight="1">
      <c r="H960" s="6" t="n"/>
      <c r="I960" s="7" t="n"/>
      <c r="J960" s="1" t="n"/>
      <c r="K960" s="8" t="n"/>
      <c r="L960" s="8" t="n"/>
      <c r="M960" s="8" t="n"/>
    </row>
    <row r="961" ht="12.75" customHeight="1">
      <c r="H961" s="6" t="n"/>
      <c r="I961" s="7" t="n"/>
      <c r="J961" s="1" t="n"/>
      <c r="K961" s="8" t="n"/>
      <c r="L961" s="8" t="n"/>
      <c r="M961" s="8" t="n"/>
    </row>
    <row r="962" ht="12.75" customHeight="1">
      <c r="H962" s="6" t="n"/>
      <c r="I962" s="7" t="n"/>
      <c r="J962" s="1" t="n"/>
      <c r="K962" s="8" t="n"/>
      <c r="L962" s="8" t="n"/>
      <c r="M962" s="8" t="n"/>
    </row>
    <row r="963" ht="12.75" customHeight="1">
      <c r="H963" s="6" t="n"/>
      <c r="I963" s="7" t="n"/>
      <c r="J963" s="1" t="n"/>
      <c r="K963" s="8" t="n"/>
      <c r="L963" s="8" t="n"/>
      <c r="M963" s="8" t="n"/>
    </row>
    <row r="964" ht="12.75" customHeight="1">
      <c r="H964" s="6" t="n"/>
      <c r="I964" s="7" t="n"/>
      <c r="J964" s="1" t="n"/>
      <c r="K964" s="8" t="n"/>
      <c r="L964" s="8" t="n"/>
      <c r="M964" s="8" t="n"/>
    </row>
    <row r="965" ht="12.75" customHeight="1">
      <c r="H965" s="6" t="n"/>
      <c r="I965" s="7" t="n"/>
      <c r="J965" s="1" t="n"/>
      <c r="K965" s="8" t="n"/>
      <c r="L965" s="8" t="n"/>
      <c r="M965" s="8" t="n"/>
    </row>
    <row r="966" ht="12.75" customHeight="1">
      <c r="H966" s="6" t="n"/>
      <c r="I966" s="7" t="n"/>
      <c r="J966" s="1" t="n"/>
      <c r="K966" s="8" t="n"/>
      <c r="L966" s="8" t="n"/>
      <c r="M966" s="8" t="n"/>
    </row>
    <row r="967" ht="12.75" customHeight="1">
      <c r="H967" s="6" t="n"/>
      <c r="I967" s="7" t="n"/>
      <c r="J967" s="1" t="n"/>
      <c r="K967" s="8" t="n"/>
      <c r="L967" s="8" t="n"/>
      <c r="M967" s="8" t="n"/>
    </row>
    <row r="968" ht="12.75" customHeight="1">
      <c r="H968" s="6" t="n"/>
      <c r="I968" s="7" t="n"/>
      <c r="J968" s="1" t="n"/>
      <c r="K968" s="8" t="n"/>
      <c r="L968" s="8" t="n"/>
      <c r="M968" s="8" t="n"/>
    </row>
    <row r="969" ht="12.75" customHeight="1">
      <c r="H969" s="6" t="n"/>
      <c r="I969" s="7" t="n"/>
      <c r="J969" s="1" t="n"/>
      <c r="K969" s="8" t="n"/>
      <c r="L969" s="8" t="n"/>
      <c r="M969" s="8" t="n"/>
    </row>
    <row r="970" ht="12.75" customHeight="1">
      <c r="H970" s="6" t="n"/>
      <c r="I970" s="7" t="n"/>
      <c r="J970" s="1" t="n"/>
      <c r="K970" s="8" t="n"/>
      <c r="L970" s="8" t="n"/>
      <c r="M970" s="8" t="n"/>
    </row>
    <row r="971" ht="12.75" customHeight="1">
      <c r="H971" s="6" t="n"/>
      <c r="I971" s="7" t="n"/>
      <c r="J971" s="1" t="n"/>
      <c r="K971" s="8" t="n"/>
      <c r="L971" s="8" t="n"/>
      <c r="M971" s="8" t="n"/>
    </row>
    <row r="972" ht="12.75" customHeight="1">
      <c r="H972" s="6" t="n"/>
      <c r="I972" s="7" t="n"/>
      <c r="J972" s="1" t="n"/>
      <c r="K972" s="8" t="n"/>
      <c r="L972" s="8" t="n"/>
      <c r="M972" s="8" t="n"/>
    </row>
    <row r="973" ht="12.75" customHeight="1">
      <c r="H973" s="6" t="n"/>
      <c r="I973" s="7" t="n"/>
      <c r="J973" s="1" t="n"/>
      <c r="K973" s="8" t="n"/>
      <c r="L973" s="8" t="n"/>
      <c r="M973" s="8" t="n"/>
    </row>
    <row r="974" ht="12.75" customHeight="1">
      <c r="H974" s="6" t="n"/>
      <c r="I974" s="7" t="n"/>
      <c r="J974" s="1" t="n"/>
      <c r="K974" s="8" t="n"/>
      <c r="L974" s="8" t="n"/>
      <c r="M974" s="8" t="n"/>
    </row>
    <row r="975" ht="12.75" customHeight="1">
      <c r="H975" s="6" t="n"/>
      <c r="I975" s="7" t="n"/>
      <c r="J975" s="1" t="n"/>
      <c r="K975" s="8" t="n"/>
      <c r="L975" s="8" t="n"/>
      <c r="M975" s="8" t="n"/>
    </row>
    <row r="976" ht="12.75" customHeight="1">
      <c r="H976" s="6" t="n"/>
      <c r="I976" s="7" t="n"/>
      <c r="J976" s="1" t="n"/>
      <c r="K976" s="8" t="n"/>
      <c r="L976" s="8" t="n"/>
      <c r="M976" s="8" t="n"/>
    </row>
    <row r="977" ht="12.75" customHeight="1">
      <c r="H977" s="6" t="n"/>
      <c r="I977" s="7" t="n"/>
      <c r="J977" s="1" t="n"/>
      <c r="K977" s="8" t="n"/>
      <c r="L977" s="8" t="n"/>
      <c r="M977" s="8" t="n"/>
    </row>
    <row r="978" ht="12.75" customHeight="1">
      <c r="H978" s="6" t="n"/>
      <c r="I978" s="7" t="n"/>
      <c r="J978" s="1" t="n"/>
      <c r="K978" s="8" t="n"/>
      <c r="L978" s="8" t="n"/>
      <c r="M978" s="8" t="n"/>
    </row>
    <row r="979" ht="12.75" customHeight="1">
      <c r="H979" s="6" t="n"/>
      <c r="I979" s="7" t="n"/>
      <c r="J979" s="1" t="n"/>
      <c r="K979" s="8" t="n"/>
      <c r="L979" s="8" t="n"/>
      <c r="M979" s="8" t="n"/>
    </row>
    <row r="980" ht="12.75" customHeight="1">
      <c r="H980" s="6" t="n"/>
      <c r="I980" s="7" t="n"/>
      <c r="J980" s="1" t="n"/>
      <c r="K980" s="8" t="n"/>
      <c r="L980" s="8" t="n"/>
      <c r="M980" s="8" t="n"/>
    </row>
    <row r="981" ht="12.75" customHeight="1">
      <c r="H981" s="6" t="n"/>
      <c r="I981" s="7" t="n"/>
      <c r="J981" s="1" t="n"/>
      <c r="K981" s="8" t="n"/>
      <c r="L981" s="8" t="n"/>
      <c r="M981" s="8" t="n"/>
    </row>
    <row r="982" ht="12.75" customHeight="1">
      <c r="H982" s="6" t="n"/>
      <c r="I982" s="7" t="n"/>
      <c r="J982" s="1" t="n"/>
      <c r="K982" s="8" t="n"/>
      <c r="L982" s="8" t="n"/>
      <c r="M982" s="8" t="n"/>
    </row>
    <row r="983" ht="12.75" customHeight="1">
      <c r="H983" s="6" t="n"/>
      <c r="I983" s="7" t="n"/>
      <c r="J983" s="1" t="n"/>
      <c r="K983" s="8" t="n"/>
      <c r="L983" s="8" t="n"/>
      <c r="M983" s="8" t="n"/>
    </row>
    <row r="984" ht="12.75" customHeight="1">
      <c r="H984" s="6" t="n"/>
      <c r="I984" s="7" t="n"/>
      <c r="J984" s="1" t="n"/>
      <c r="K984" s="8" t="n"/>
      <c r="L984" s="8" t="n"/>
      <c r="M984" s="8" t="n"/>
    </row>
    <row r="985" ht="12.75" customHeight="1">
      <c r="H985" s="6" t="n"/>
      <c r="I985" s="7" t="n"/>
      <c r="J985" s="1" t="n"/>
      <c r="K985" s="8" t="n"/>
      <c r="L985" s="8" t="n"/>
      <c r="M985" s="8" t="n"/>
    </row>
    <row r="986" ht="12.75" customHeight="1">
      <c r="H986" s="6" t="n"/>
      <c r="I986" s="7" t="n"/>
      <c r="J986" s="1" t="n"/>
      <c r="K986" s="8" t="n"/>
      <c r="L986" s="8" t="n"/>
      <c r="M986" s="8" t="n"/>
    </row>
    <row r="987" ht="12.75" customHeight="1">
      <c r="H987" s="6" t="n"/>
      <c r="I987" s="7" t="n"/>
      <c r="J987" s="1" t="n"/>
      <c r="K987" s="8" t="n"/>
      <c r="L987" s="8" t="n"/>
      <c r="M987" s="8" t="n"/>
    </row>
    <row r="988" ht="12.75" customHeight="1">
      <c r="H988" s="6" t="n"/>
      <c r="I988" s="7" t="n"/>
      <c r="J988" s="1" t="n"/>
      <c r="K988" s="8" t="n"/>
      <c r="L988" s="8" t="n"/>
      <c r="M988" s="8" t="n"/>
    </row>
    <row r="989" ht="12.75" customHeight="1">
      <c r="H989" s="6" t="n"/>
      <c r="I989" s="7" t="n"/>
      <c r="J989" s="1" t="n"/>
      <c r="K989" s="8" t="n"/>
      <c r="L989" s="8" t="n"/>
      <c r="M989" s="8" t="n"/>
    </row>
    <row r="990" ht="12.75" customHeight="1">
      <c r="H990" s="6" t="n"/>
      <c r="I990" s="7" t="n"/>
      <c r="J990" s="1" t="n"/>
      <c r="K990" s="8" t="n"/>
      <c r="L990" s="8" t="n"/>
      <c r="M990" s="8" t="n"/>
    </row>
    <row r="991" ht="12.75" customHeight="1">
      <c r="H991" s="6" t="n"/>
      <c r="I991" s="7" t="n"/>
      <c r="J991" s="1" t="n"/>
      <c r="K991" s="8" t="n"/>
      <c r="L991" s="8" t="n"/>
      <c r="M991" s="8" t="n"/>
    </row>
    <row r="992" ht="12.75" customHeight="1">
      <c r="H992" s="6" t="n"/>
      <c r="I992" s="7" t="n"/>
      <c r="J992" s="1" t="n"/>
      <c r="K992" s="8" t="n"/>
      <c r="L992" s="8" t="n"/>
      <c r="M992" s="8" t="n"/>
    </row>
    <row r="993" ht="12.75" customHeight="1">
      <c r="H993" s="6" t="n"/>
      <c r="I993" s="7" t="n"/>
      <c r="J993" s="1" t="n"/>
      <c r="K993" s="8" t="n"/>
      <c r="L993" s="8" t="n"/>
      <c r="M993" s="8" t="n"/>
    </row>
    <row r="994" ht="12.75" customHeight="1">
      <c r="H994" s="6" t="n"/>
      <c r="I994" s="7" t="n"/>
      <c r="J994" s="1" t="n"/>
      <c r="K994" s="8" t="n"/>
      <c r="L994" s="8" t="n"/>
      <c r="M994" s="8" t="n"/>
    </row>
    <row r="995" ht="12.75" customHeight="1">
      <c r="H995" s="6" t="n"/>
      <c r="I995" s="7" t="n"/>
      <c r="J995" s="1" t="n"/>
      <c r="K995" s="8" t="n"/>
      <c r="L995" s="8" t="n"/>
      <c r="M995" s="8" t="n"/>
    </row>
    <row r="996" ht="12.75" customHeight="1">
      <c r="H996" s="6" t="n"/>
      <c r="I996" s="7" t="n"/>
      <c r="J996" s="1" t="n"/>
      <c r="K996" s="8" t="n"/>
      <c r="L996" s="8" t="n"/>
      <c r="M996" s="8" t="n"/>
    </row>
    <row r="997" ht="12.75" customHeight="1">
      <c r="H997" s="6" t="n"/>
      <c r="I997" s="7" t="n"/>
      <c r="J997" s="1" t="n"/>
      <c r="K997" s="8" t="n"/>
      <c r="L997" s="8" t="n"/>
      <c r="M997" s="8" t="n"/>
    </row>
    <row r="998" ht="12.75" customHeight="1">
      <c r="H998" s="6" t="n"/>
      <c r="I998" s="7" t="n"/>
      <c r="J998" s="1" t="n"/>
      <c r="K998" s="8" t="n"/>
      <c r="L998" s="8" t="n"/>
      <c r="M998" s="8" t="n"/>
    </row>
    <row r="999" ht="12.75" customHeight="1">
      <c r="H999" s="6" t="n"/>
      <c r="I999" s="7" t="n"/>
      <c r="J999" s="1" t="n"/>
      <c r="K999" s="8" t="n"/>
      <c r="L999" s="8" t="n"/>
      <c r="M999" s="8" t="n"/>
    </row>
    <row r="1000" ht="12.75" customHeight="1">
      <c r="H1000" s="6" t="n"/>
      <c r="I1000" s="7" t="n"/>
      <c r="J1000" s="1" t="n"/>
      <c r="K1000" s="8" t="n"/>
      <c r="L1000" s="8" t="n"/>
      <c r="M1000" s="8" t="n"/>
    </row>
    <row r="1001" ht="12.75" customHeight="1">
      <c r="H1001" s="6" t="n"/>
      <c r="I1001" s="7" t="n"/>
      <c r="J1001" s="1" t="n"/>
      <c r="K1001" s="8" t="n"/>
      <c r="L1001" s="8" t="n"/>
      <c r="M1001" s="8" t="n"/>
    </row>
    <row r="1002" ht="12.75" customHeight="1">
      <c r="H1002" s="6" t="n"/>
      <c r="I1002" s="7" t="n"/>
      <c r="J1002" s="1" t="n"/>
      <c r="K1002" s="8" t="n"/>
      <c r="L1002" s="8" t="n"/>
      <c r="M1002" s="8" t="n"/>
    </row>
    <row r="1003" ht="12.75" customHeight="1">
      <c r="H1003" s="7" t="n"/>
      <c r="I1003" s="7" t="n"/>
      <c r="J1003" s="1" t="n"/>
      <c r="K1003" s="8" t="n"/>
      <c r="L1003" s="8" t="n"/>
      <c r="M1003" s="8" t="n"/>
    </row>
    <row r="1004" ht="12.75" customHeight="1">
      <c r="H1004" s="7" t="n"/>
      <c r="I1004" s="7" t="n"/>
      <c r="J1004" s="1" t="n"/>
      <c r="K1004" s="8" t="n"/>
      <c r="L1004" s="8" t="n"/>
      <c r="M1004" s="8" t="n"/>
    </row>
    <row r="1005" ht="12.75" customHeight="1">
      <c r="H1005" s="7" t="n"/>
      <c r="I1005" s="7" t="n"/>
      <c r="J1005" s="1" t="n"/>
      <c r="K1005" s="8" t="n"/>
      <c r="L1005" s="8" t="n"/>
      <c r="M1005" s="8" t="n"/>
    </row>
    <row r="1006" ht="12.75" customHeight="1">
      <c r="H1006" s="7" t="n"/>
      <c r="I1006" s="7" t="n"/>
      <c r="J1006" s="1" t="n"/>
      <c r="K1006" s="8" t="n"/>
      <c r="L1006" s="8" t="n"/>
      <c r="M1006" s="8" t="n"/>
    </row>
    <row r="1007" ht="12.75" customHeight="1">
      <c r="H1007" s="7" t="n"/>
      <c r="I1007" s="7" t="n"/>
      <c r="J1007" s="1" t="n"/>
      <c r="K1007" s="8" t="n"/>
      <c r="L1007" s="8" t="n"/>
      <c r="M1007" s="8" t="n"/>
    </row>
    <row r="1008" ht="12.75" customHeight="1">
      <c r="H1008" s="7" t="n"/>
      <c r="I1008" s="7" t="n"/>
      <c r="J1008" s="1" t="n"/>
      <c r="K1008" s="8" t="n"/>
      <c r="L1008" s="8" t="n"/>
      <c r="M1008" s="8" t="n"/>
    </row>
    <row r="1009" ht="12.75" customHeight="1">
      <c r="H1009" s="7" t="n"/>
      <c r="I1009" s="7" t="n"/>
      <c r="J1009" s="1" t="n"/>
      <c r="K1009" s="8" t="n"/>
      <c r="L1009" s="8" t="n"/>
      <c r="M1009" s="8" t="n"/>
    </row>
    <row r="1010" ht="12.75" customHeight="1">
      <c r="H1010" s="7" t="n"/>
      <c r="I1010" s="7" t="n"/>
      <c r="J1010" s="1" t="n"/>
      <c r="K1010" s="8" t="n"/>
      <c r="L1010" s="8" t="n"/>
      <c r="M1010" s="8" t="n"/>
    </row>
    <row r="1011" ht="12.75" customHeight="1">
      <c r="H1011" s="7" t="n"/>
      <c r="I1011" s="7" t="n"/>
      <c r="J1011" s="1" t="n"/>
      <c r="K1011" s="8" t="n"/>
      <c r="L1011" s="8" t="n"/>
      <c r="M1011" s="8" t="n"/>
    </row>
    <row r="1012" ht="12.75" customHeight="1">
      <c r="H1012" s="7" t="n"/>
      <c r="I1012" s="7" t="n"/>
      <c r="J1012" s="1" t="n"/>
      <c r="K1012" s="8" t="n"/>
      <c r="L1012" s="8" t="n"/>
      <c r="M1012" s="8" t="n"/>
    </row>
    <row r="1013" ht="12.75" customHeight="1">
      <c r="H1013" s="7" t="n"/>
      <c r="I1013" s="7" t="n"/>
      <c r="J1013" s="1" t="n"/>
      <c r="K1013" s="8" t="n"/>
      <c r="L1013" s="8" t="n"/>
      <c r="M1013" s="8" t="n"/>
    </row>
    <row r="1014" ht="12.75" customHeight="1">
      <c r="H1014" s="7" t="n"/>
      <c r="I1014" s="7" t="n"/>
      <c r="J1014" s="1" t="n"/>
      <c r="K1014" s="8" t="n"/>
      <c r="L1014" s="8" t="n"/>
      <c r="M1014" s="8" t="n"/>
    </row>
    <row r="1015" ht="12.75" customHeight="1">
      <c r="H1015" s="7" t="n"/>
      <c r="I1015" s="7" t="n"/>
      <c r="J1015" s="1" t="n"/>
      <c r="K1015" s="8" t="n"/>
      <c r="L1015" s="8" t="n"/>
      <c r="M1015" s="8" t="n"/>
    </row>
    <row r="1016" ht="12.75" customHeight="1">
      <c r="H1016" s="7" t="n"/>
      <c r="I1016" s="7" t="n"/>
      <c r="J1016" s="1" t="n"/>
      <c r="K1016" s="8" t="n"/>
      <c r="L1016" s="8" t="n"/>
      <c r="M1016" s="8" t="n"/>
    </row>
    <row r="1017" ht="12.75" customHeight="1">
      <c r="H1017" s="7" t="n"/>
      <c r="I1017" s="7" t="n"/>
      <c r="J1017" s="1" t="n"/>
      <c r="K1017" s="8" t="n"/>
      <c r="L1017" s="8" t="n"/>
      <c r="M1017" s="8" t="n"/>
    </row>
    <row r="1018" ht="12.75" customHeight="1">
      <c r="H1018" s="7" t="n"/>
      <c r="I1018" s="7" t="n"/>
      <c r="J1018" s="1" t="n"/>
      <c r="K1018" s="8" t="n"/>
      <c r="L1018" s="8" t="n"/>
      <c r="M1018" s="8" t="n"/>
    </row>
    <row r="1019" ht="12.75" customHeight="1">
      <c r="H1019" s="7" t="n"/>
      <c r="I1019" s="7" t="n"/>
      <c r="J1019" s="1" t="n"/>
      <c r="K1019" s="8" t="n"/>
      <c r="L1019" s="8" t="n"/>
      <c r="M1019" s="8" t="n"/>
    </row>
    <row r="1020" ht="12.75" customHeight="1">
      <c r="H1020" s="7" t="n"/>
      <c r="I1020" s="7" t="n"/>
      <c r="J1020" s="1" t="n"/>
      <c r="K1020" s="8" t="n"/>
      <c r="L1020" s="8" t="n"/>
      <c r="M1020" s="8" t="n"/>
    </row>
    <row r="1021" ht="12.75" customHeight="1">
      <c r="H1021" s="7" t="n"/>
      <c r="I1021" s="7" t="n"/>
      <c r="J1021" s="1" t="n"/>
      <c r="K1021" s="8" t="n"/>
      <c r="L1021" s="8" t="n"/>
      <c r="M1021" s="8" t="n"/>
    </row>
    <row r="1022" ht="12.75" customHeight="1">
      <c r="H1022" s="7" t="n"/>
      <c r="I1022" s="7" t="n"/>
      <c r="J1022" s="1" t="n"/>
      <c r="K1022" s="8" t="n"/>
      <c r="L1022" s="8" t="n"/>
      <c r="M1022" s="8" t="n"/>
    </row>
    <row r="1023" ht="12.75" customHeight="1">
      <c r="H1023" s="6" t="n"/>
      <c r="I1023" s="7" t="n"/>
      <c r="J1023" s="1" t="n"/>
      <c r="K1023" s="8" t="n"/>
      <c r="L1023" s="8" t="n"/>
      <c r="M1023" s="8" t="n"/>
    </row>
    <row r="1024" ht="12.75" customHeight="1">
      <c r="H1024" s="6" t="n"/>
      <c r="I1024" s="7" t="n"/>
      <c r="J1024" s="1" t="n"/>
      <c r="K1024" s="8" t="n"/>
      <c r="L1024" s="8" t="n"/>
      <c r="M1024" s="8" t="n"/>
    </row>
    <row r="1025" ht="12.75" customHeight="1">
      <c r="H1025" s="6" t="n"/>
      <c r="I1025" s="7" t="n"/>
      <c r="J1025" s="1" t="n"/>
      <c r="K1025" s="8" t="n"/>
      <c r="L1025" s="8" t="n"/>
      <c r="M1025" s="8" t="n"/>
    </row>
    <row r="1026" ht="12.75" customHeight="1">
      <c r="H1026" s="6" t="n"/>
      <c r="I1026" s="7" t="n"/>
      <c r="J1026" s="1" t="n"/>
      <c r="K1026" s="8" t="n"/>
      <c r="L1026" s="8" t="n"/>
      <c r="M1026" s="8" t="n"/>
    </row>
    <row r="1027" ht="12.75" customHeight="1">
      <c r="H1027" s="6" t="n"/>
      <c r="I1027" s="7" t="n"/>
      <c r="J1027" s="1" t="n"/>
      <c r="K1027" s="8" t="n"/>
      <c r="L1027" s="8" t="n"/>
      <c r="M1027" s="8" t="n"/>
    </row>
    <row r="1028" ht="12.75" customHeight="1">
      <c r="H1028" s="6" t="n"/>
      <c r="I1028" s="7" t="n"/>
      <c r="J1028" s="1" t="n"/>
      <c r="K1028" s="8" t="n"/>
      <c r="L1028" s="8" t="n"/>
      <c r="M1028" s="8" t="n"/>
    </row>
    <row r="1029" ht="12.75" customHeight="1">
      <c r="H1029" s="6" t="n"/>
      <c r="I1029" s="7" t="n"/>
      <c r="J1029" s="1" t="n"/>
      <c r="K1029" s="8" t="n"/>
      <c r="L1029" s="8" t="n"/>
      <c r="M1029" s="8" t="n"/>
    </row>
    <row r="1030" ht="12.75" customHeight="1">
      <c r="H1030" s="6" t="n"/>
      <c r="I1030" s="7" t="n"/>
      <c r="J1030" s="1" t="n"/>
      <c r="K1030" s="8" t="n"/>
      <c r="L1030" s="8" t="n"/>
      <c r="M1030" s="8" t="n"/>
    </row>
    <row r="1031" ht="12.75" customHeight="1">
      <c r="H1031" s="6" t="n"/>
      <c r="I1031" s="7" t="n"/>
      <c r="J1031" s="1" t="n"/>
      <c r="K1031" s="8" t="n"/>
      <c r="L1031" s="8" t="n"/>
      <c r="M1031" s="8" t="n"/>
    </row>
    <row r="1032" ht="12.75" customHeight="1">
      <c r="H1032" s="6" t="n"/>
      <c r="I1032" s="7" t="n"/>
      <c r="J1032" s="1" t="n"/>
      <c r="K1032" s="8" t="n"/>
      <c r="L1032" s="8" t="n"/>
      <c r="M1032" s="8" t="n"/>
    </row>
    <row r="1033" ht="12.75" customHeight="1">
      <c r="I1033" s="7" t="n"/>
      <c r="J1033" s="1" t="n"/>
      <c r="K1033" s="8" t="n"/>
      <c r="L1033" s="8" t="n"/>
      <c r="M1033" s="8" t="n"/>
    </row>
    <row r="1034" ht="12.75" customHeight="1">
      <c r="I1034" s="7" t="n"/>
      <c r="J1034" s="1" t="n"/>
      <c r="K1034" s="8" t="n"/>
      <c r="L1034" s="8" t="n"/>
      <c r="M1034" s="8" t="n"/>
    </row>
    <row r="1035" ht="12.75" customHeight="1">
      <c r="I1035" s="7" t="n"/>
      <c r="J1035" s="1" t="n"/>
      <c r="K1035" s="8" t="n"/>
      <c r="L1035" s="8" t="n"/>
      <c r="M1035" s="8" t="n"/>
    </row>
    <row r="1036" ht="12.75" customHeight="1">
      <c r="I1036" s="7" t="n"/>
      <c r="J1036" s="1" t="n"/>
      <c r="K1036" s="8" t="n"/>
      <c r="L1036" s="8" t="n"/>
      <c r="M1036" s="8" t="n"/>
    </row>
    <row r="1037" ht="12.75" customHeight="1">
      <c r="I1037" s="7" t="n"/>
      <c r="J1037" s="1" t="n"/>
      <c r="K1037" s="8" t="n"/>
      <c r="L1037" s="8" t="n"/>
      <c r="M1037" s="8" t="n"/>
    </row>
    <row r="1038" ht="12.75" customHeight="1">
      <c r="I1038" s="7" t="n"/>
      <c r="J1038" s="1" t="n"/>
      <c r="K1038" s="8" t="n"/>
      <c r="L1038" s="8" t="n"/>
      <c r="M1038" s="8" t="n"/>
    </row>
    <row r="1039" ht="12.75" customHeight="1">
      <c r="I1039" s="7" t="n"/>
      <c r="J1039" s="1" t="n"/>
      <c r="K1039" s="8" t="n"/>
      <c r="L1039" s="8" t="n"/>
      <c r="M1039" s="8" t="n"/>
    </row>
    <row r="1040" ht="12.75" customHeight="1">
      <c r="I1040" s="7" t="n"/>
      <c r="J1040" s="1" t="n"/>
      <c r="K1040" s="8" t="n"/>
      <c r="L1040" s="8" t="n"/>
      <c r="M1040" s="8" t="n"/>
    </row>
    <row r="1041" ht="12.75" customHeight="1">
      <c r="I1041" s="7" t="n"/>
      <c r="J1041" s="1" t="n"/>
      <c r="K1041" s="8" t="n"/>
      <c r="L1041" s="8" t="n"/>
      <c r="M1041" s="8" t="n"/>
    </row>
    <row r="1042" ht="12.75" customHeight="1">
      <c r="I1042" s="1" t="n"/>
      <c r="J1042" s="8" t="n"/>
      <c r="K1042" s="8" t="n"/>
      <c r="L1042" s="8" t="n"/>
      <c r="M1042" s="8" t="n"/>
    </row>
    <row r="1043" ht="12.75" customHeight="1">
      <c r="I1043" s="1" t="n"/>
      <c r="J1043" s="8" t="n"/>
      <c r="K1043" s="8" t="n"/>
      <c r="L1043" s="8" t="n"/>
      <c r="M1043" s="8" t="n"/>
    </row>
    <row r="1044" ht="12.75" customHeight="1">
      <c r="I1044" s="1" t="n"/>
      <c r="J1044" s="8" t="n"/>
      <c r="K1044" s="8" t="n"/>
      <c r="L1044" s="8" t="n"/>
      <c r="M1044" s="8" t="n"/>
    </row>
    <row r="1045" ht="12.75" customHeight="1">
      <c r="I1045" s="1" t="n"/>
      <c r="J1045" s="8" t="n"/>
      <c r="K1045" s="8" t="n"/>
      <c r="L1045" s="8" t="n"/>
      <c r="M1045" s="8" t="n"/>
    </row>
    <row r="1046" ht="12.75" customHeight="1">
      <c r="I1046" s="1" t="n"/>
      <c r="J1046" s="8" t="n"/>
      <c r="K1046" s="8" t="n"/>
      <c r="L1046" s="8" t="n"/>
      <c r="M1046" s="8" t="n"/>
    </row>
    <row r="1047" ht="12.75" customHeight="1">
      <c r="I1047" s="1" t="n"/>
      <c r="J1047" s="8" t="n"/>
      <c r="K1047" s="8" t="n"/>
      <c r="L1047" s="8" t="n"/>
      <c r="M1047" s="8" t="n"/>
    </row>
    <row r="1048" ht="12.75" customHeight="1">
      <c r="I1048" s="1" t="n"/>
      <c r="J1048" s="8" t="n"/>
      <c r="K1048" s="8" t="n"/>
      <c r="L1048" s="8" t="n"/>
      <c r="M1048" s="8" t="n"/>
    </row>
    <row r="1049" ht="12.75" customHeight="1">
      <c r="I1049" s="1" t="n"/>
      <c r="J1049" s="8" t="n"/>
      <c r="K1049" s="8" t="n"/>
      <c r="L1049" s="8" t="n"/>
      <c r="M1049" s="8" t="n"/>
    </row>
    <row r="1050" ht="12.75" customHeight="1">
      <c r="I1050" s="1" t="n"/>
      <c r="J1050" s="8" t="n"/>
      <c r="K1050" s="8" t="n"/>
      <c r="L1050" s="8" t="n"/>
      <c r="M1050" s="8" t="n"/>
    </row>
    <row r="1051" ht="12.75" customHeight="1">
      <c r="I1051" s="1" t="n"/>
      <c r="J1051" s="8" t="n"/>
      <c r="K1051" s="8" t="n"/>
      <c r="L1051" s="8" t="n"/>
      <c r="M1051" s="8" t="n"/>
    </row>
    <row r="1052" ht="12.75" customHeight="1">
      <c r="I1052" s="1" t="n"/>
      <c r="J1052" s="8" t="n"/>
      <c r="K1052" s="8" t="n"/>
      <c r="L1052" s="8" t="n"/>
      <c r="M1052" s="8" t="n"/>
    </row>
    <row r="1053" ht="12.75" customHeight="1">
      <c r="I1053" s="1" t="n"/>
      <c r="J1053" s="8" t="n"/>
      <c r="K1053" s="8" t="n"/>
      <c r="L1053" s="8" t="n"/>
      <c r="M1053" s="8" t="n"/>
    </row>
    <row r="1054" ht="12.75" customHeight="1">
      <c r="I1054" s="1" t="n"/>
      <c r="J1054" s="8" t="n"/>
      <c r="K1054" s="8" t="n"/>
      <c r="L1054" s="8" t="n"/>
      <c r="M1054" s="8" t="n"/>
    </row>
    <row r="1055" ht="12.75" customHeight="1">
      <c r="I1055" s="1" t="n"/>
      <c r="J1055" s="8" t="n"/>
      <c r="K1055" s="8" t="n"/>
      <c r="L1055" s="8" t="n"/>
      <c r="M1055" s="8" t="n"/>
    </row>
    <row r="1056" ht="12.75" customHeight="1">
      <c r="I1056" s="1" t="n"/>
      <c r="J1056" s="8" t="n"/>
      <c r="K1056" s="8" t="n"/>
      <c r="L1056" s="8" t="n"/>
      <c r="M1056" s="8" t="n"/>
    </row>
    <row r="1057" ht="12.75" customHeight="1">
      <c r="I1057" s="1" t="n"/>
      <c r="J1057" s="8" t="n"/>
      <c r="K1057" s="8" t="n"/>
      <c r="L1057" s="8" t="n"/>
      <c r="M1057" s="8" t="n"/>
    </row>
    <row r="1058" ht="12.75" customHeight="1">
      <c r="I1058" s="1" t="n"/>
      <c r="J1058" s="8" t="n"/>
      <c r="K1058" s="8" t="n"/>
      <c r="L1058" s="8" t="n"/>
      <c r="M1058" s="8" t="n"/>
    </row>
    <row r="1059" ht="12.75" customHeight="1">
      <c r="I1059" s="1" t="n"/>
      <c r="J1059" s="8" t="n"/>
      <c r="K1059" s="8" t="n"/>
      <c r="L1059" s="8" t="n"/>
      <c r="M1059" s="8" t="n"/>
    </row>
    <row r="1060" ht="12.75" customHeight="1">
      <c r="I1060" s="1" t="n"/>
      <c r="J1060" s="8" t="n"/>
      <c r="K1060" s="8" t="n"/>
      <c r="L1060" s="8" t="n"/>
      <c r="M1060" s="8" t="n"/>
    </row>
    <row r="1061" ht="12.75" customHeight="1">
      <c r="I1061" s="1" t="n"/>
      <c r="J1061" s="8" t="n"/>
      <c r="K1061" s="8" t="n"/>
      <c r="L1061" s="8" t="n"/>
      <c r="M1061" s="8" t="n"/>
    </row>
    <row r="1062" ht="12.75" customHeight="1">
      <c r="I1062" s="7" t="n"/>
      <c r="J1062" s="1" t="n"/>
      <c r="K1062" s="8" t="n"/>
      <c r="L1062" s="8" t="n"/>
      <c r="M1062" s="8" t="n"/>
    </row>
    <row r="1063" ht="12.75" customHeight="1">
      <c r="I1063" s="7" t="n"/>
      <c r="J1063" s="1" t="n"/>
      <c r="K1063" s="8" t="n"/>
      <c r="L1063" s="8" t="n"/>
      <c r="M1063" s="8" t="n"/>
    </row>
    <row r="1064" ht="12.75" customHeight="1">
      <c r="I1064" s="7" t="n"/>
      <c r="J1064" s="1" t="n"/>
      <c r="K1064" s="8" t="n"/>
      <c r="L1064" s="8" t="n"/>
      <c r="M1064" s="8" t="n"/>
    </row>
    <row r="1065" ht="12.75" customHeight="1">
      <c r="I1065" s="7" t="n"/>
      <c r="J1065" s="1" t="n"/>
      <c r="K1065" s="8" t="n"/>
      <c r="L1065" s="8" t="n"/>
      <c r="M1065" s="8" t="n"/>
    </row>
    <row r="1066" ht="12.75" customHeight="1">
      <c r="I1066" s="7" t="n"/>
      <c r="J1066" s="1" t="n"/>
      <c r="K1066" s="8" t="n"/>
      <c r="L1066" s="8" t="n"/>
      <c r="M1066" s="8" t="n"/>
    </row>
    <row r="1067" ht="12.75" customHeight="1">
      <c r="I1067" s="7" t="n"/>
      <c r="J1067" s="1" t="n"/>
      <c r="K1067" s="8" t="n"/>
      <c r="L1067" s="8" t="n"/>
      <c r="M1067" s="8" t="n"/>
    </row>
    <row r="1068" ht="12.75" customHeight="1">
      <c r="I1068" s="7" t="n"/>
      <c r="J1068" s="1" t="n"/>
      <c r="K1068" s="8" t="n"/>
      <c r="L1068" s="8" t="n"/>
      <c r="M1068" s="8" t="n"/>
    </row>
    <row r="1069" ht="12.75" customHeight="1">
      <c r="I1069" s="7" t="n"/>
      <c r="J1069" s="1" t="n"/>
      <c r="K1069" s="8" t="n"/>
      <c r="L1069" s="8" t="n"/>
      <c r="M1069" s="8" t="n"/>
    </row>
    <row r="1070" ht="12.75" customHeight="1">
      <c r="I1070" s="7" t="n"/>
      <c r="J1070" s="1" t="n"/>
      <c r="K1070" s="8" t="n"/>
      <c r="L1070" s="8" t="n"/>
      <c r="M1070" s="8" t="n"/>
    </row>
    <row r="1071" ht="12.75" customHeight="1">
      <c r="I1071" s="7" t="n"/>
      <c r="J1071" s="1" t="n"/>
      <c r="K1071" s="8" t="n"/>
      <c r="L1071" s="8" t="n"/>
      <c r="M1071" s="8" t="n"/>
    </row>
    <row r="1072" ht="12.75" customHeight="1">
      <c r="I1072" s="6" t="n"/>
      <c r="J1072" s="7" t="n"/>
      <c r="K1072" s="1" t="n"/>
      <c r="L1072" s="8" t="n"/>
      <c r="M1072" s="8" t="n"/>
    </row>
    <row r="1073" ht="12.75" customHeight="1">
      <c r="I1073" s="6" t="n"/>
      <c r="J1073" s="7" t="n"/>
      <c r="K1073" s="1" t="n"/>
      <c r="L1073" s="8" t="n"/>
      <c r="M1073" s="8" t="n"/>
    </row>
    <row r="1074" ht="12.75" customHeight="1">
      <c r="I1074" s="6" t="n"/>
      <c r="J1074" s="7" t="n"/>
      <c r="K1074" s="1" t="n"/>
      <c r="L1074" s="8" t="n"/>
      <c r="M1074" s="8" t="n"/>
    </row>
    <row r="1075" ht="12.75" customHeight="1">
      <c r="I1075" s="6" t="n"/>
      <c r="J1075" s="7" t="n"/>
      <c r="K1075" s="1" t="n"/>
      <c r="L1075" s="8" t="n"/>
      <c r="M1075" s="8" t="n"/>
    </row>
    <row r="1076" ht="12.75" customHeight="1">
      <c r="I1076" s="6" t="n"/>
      <c r="J1076" s="7" t="n"/>
      <c r="K1076" s="1" t="n"/>
      <c r="L1076" s="8" t="n"/>
      <c r="M1076" s="8" t="n"/>
    </row>
    <row r="1077" ht="12.75" customHeight="1">
      <c r="I1077" s="6" t="n"/>
      <c r="J1077" s="7" t="n"/>
      <c r="K1077" s="1" t="n"/>
      <c r="L1077" s="8" t="n"/>
      <c r="M1077" s="8" t="n"/>
    </row>
    <row r="1078" ht="12.75" customHeight="1">
      <c r="I1078" s="6" t="n"/>
      <c r="J1078" s="7" t="n"/>
      <c r="K1078" s="1" t="n"/>
      <c r="L1078" s="8" t="n"/>
      <c r="M1078" s="8" t="n"/>
    </row>
    <row r="1079" ht="12.75" customHeight="1">
      <c r="I1079" s="6" t="n"/>
      <c r="J1079" s="7" t="n"/>
      <c r="K1079" s="1" t="n"/>
      <c r="L1079" s="8" t="n"/>
      <c r="M1079" s="8" t="n"/>
    </row>
    <row r="1080" ht="12.75" customHeight="1">
      <c r="I1080" s="6" t="n"/>
      <c r="J1080" s="7" t="n"/>
      <c r="K1080" s="1" t="n"/>
      <c r="L1080" s="8" t="n"/>
      <c r="M1080" s="8" t="n"/>
    </row>
    <row r="1081" ht="12.75" customHeight="1">
      <c r="I1081" s="6" t="n"/>
      <c r="J1081" s="7" t="n"/>
      <c r="K1081" s="1" t="n"/>
      <c r="L1081" s="8" t="n"/>
      <c r="M1081" s="8" t="n"/>
    </row>
    <row r="1082" ht="12.75" customHeight="1">
      <c r="I1082" s="6" t="n"/>
      <c r="J1082" s="7" t="n"/>
      <c r="K1082" s="1" t="n"/>
      <c r="L1082" s="8" t="n"/>
      <c r="M1082" s="8" t="n"/>
    </row>
    <row r="1083" ht="12.75" customHeight="1">
      <c r="I1083" s="6" t="n"/>
      <c r="J1083" s="7" t="n"/>
      <c r="K1083" s="1" t="n"/>
      <c r="L1083" s="8" t="n"/>
      <c r="M1083" s="8" t="n"/>
    </row>
    <row r="1084" ht="12.75" customHeight="1">
      <c r="I1084" s="545" t="n"/>
      <c r="J1084" s="6" t="n"/>
      <c r="K1084" s="7" t="n"/>
      <c r="L1084" s="1" t="n"/>
      <c r="M1084" s="8" t="n"/>
    </row>
  </sheetData>
  <autoFilter ref="A3:L32"/>
  <mergeCells count="298">
    <mergeCell ref="B326:B327"/>
    <mergeCell ref="O7:P7"/>
    <mergeCell ref="C69:C74"/>
    <mergeCell ref="C419:C424"/>
    <mergeCell ref="O6:P6"/>
    <mergeCell ref="B565:B578"/>
    <mergeCell ref="B107:B124"/>
    <mergeCell ref="A506:A513"/>
    <mergeCell ref="A105:A106"/>
    <mergeCell ref="A283:A284"/>
    <mergeCell ref="A45:A48"/>
    <mergeCell ref="B53:B68"/>
    <mergeCell ref="C45:C48"/>
    <mergeCell ref="D53:D68"/>
    <mergeCell ref="B518:B519"/>
    <mergeCell ref="C147:C148"/>
    <mergeCell ref="A586:A587"/>
    <mergeCell ref="D151:D154"/>
    <mergeCell ref="A53:A68"/>
    <mergeCell ref="C407:C408"/>
    <mergeCell ref="B13:B14"/>
    <mergeCell ref="D13:D14"/>
    <mergeCell ref="D546:D564"/>
    <mergeCell ref="D283:D284"/>
    <mergeCell ref="D45:D48"/>
    <mergeCell ref="A37:A40"/>
    <mergeCell ref="C173:C174"/>
    <mergeCell ref="B28:B29"/>
    <mergeCell ref="C300:C301"/>
    <mergeCell ref="A588:A594"/>
    <mergeCell ref="B417:B418"/>
    <mergeCell ref="B304:B305"/>
    <mergeCell ref="C588:C594"/>
    <mergeCell ref="C105:C106"/>
    <mergeCell ref="A611:A627"/>
    <mergeCell ref="B103:B104"/>
    <mergeCell ref="D360:D395"/>
    <mergeCell ref="D103:D104"/>
    <mergeCell ref="B161:B172"/>
    <mergeCell ref="C149:C150"/>
    <mergeCell ref="B69:B74"/>
    <mergeCell ref="B37:B40"/>
    <mergeCell ref="A125:A126"/>
    <mergeCell ref="A20:A21"/>
    <mergeCell ref="C611:C627"/>
    <mergeCell ref="D430:D437"/>
    <mergeCell ref="D348:D353"/>
    <mergeCell ref="A22:A25"/>
    <mergeCell ref="C326:C327"/>
    <mergeCell ref="B356:B357"/>
    <mergeCell ref="A35:A36"/>
    <mergeCell ref="O8:P8"/>
    <mergeCell ref="C336:C347"/>
    <mergeCell ref="C358:C359"/>
    <mergeCell ref="A127:A128"/>
    <mergeCell ref="A609:A610"/>
    <mergeCell ref="B438:B445"/>
    <mergeCell ref="B539:B541"/>
    <mergeCell ref="A143:A146"/>
    <mergeCell ref="D506:D513"/>
    <mergeCell ref="A304:A305"/>
    <mergeCell ref="D16:D18"/>
    <mergeCell ref="C151:C154"/>
    <mergeCell ref="B26:B27"/>
    <mergeCell ref="B41:B44"/>
    <mergeCell ref="C304:C305"/>
    <mergeCell ref="A49:A52"/>
    <mergeCell ref="B35:B36"/>
    <mergeCell ref="C49:C52"/>
    <mergeCell ref="B302:B303"/>
    <mergeCell ref="C396:C397"/>
    <mergeCell ref="D302:D303"/>
    <mergeCell ref="B155:B156"/>
    <mergeCell ref="O3:P3"/>
    <mergeCell ref="C438:C445"/>
    <mergeCell ref="A402:A403"/>
    <mergeCell ref="D609:D610"/>
    <mergeCell ref="A417:A418"/>
    <mergeCell ref="C402:C403"/>
    <mergeCell ref="A328:A333"/>
    <mergeCell ref="D306:D325"/>
    <mergeCell ref="D149:D150"/>
    <mergeCell ref="D518:D519"/>
    <mergeCell ref="D155:D156"/>
    <mergeCell ref="B135:B142"/>
    <mergeCell ref="D581:D585"/>
    <mergeCell ref="A103:A104"/>
    <mergeCell ref="A306:A325"/>
    <mergeCell ref="B11:B12"/>
    <mergeCell ref="D11:D12"/>
    <mergeCell ref="A546:A564"/>
    <mergeCell ref="D49:D52"/>
    <mergeCell ref="C285:C294"/>
    <mergeCell ref="A404:A406"/>
    <mergeCell ref="B611:B627"/>
    <mergeCell ref="A430:A437"/>
    <mergeCell ref="A175:A190"/>
    <mergeCell ref="D611:D627"/>
    <mergeCell ref="B579:B580"/>
    <mergeCell ref="C22:C25"/>
    <mergeCell ref="B75:B88"/>
    <mergeCell ref="A26:A27"/>
    <mergeCell ref="A296:A299"/>
    <mergeCell ref="B336:B347"/>
    <mergeCell ref="B358:B359"/>
    <mergeCell ref="A532:A535"/>
    <mergeCell ref="A129:A130"/>
    <mergeCell ref="A539:A541"/>
    <mergeCell ref="B191:B282"/>
    <mergeCell ref="C129:C130"/>
    <mergeCell ref="D125:D126"/>
    <mergeCell ref="C409:C410"/>
    <mergeCell ref="A147:A148"/>
    <mergeCell ref="D37:D40"/>
    <mergeCell ref="B127:B128"/>
    <mergeCell ref="A415:A416"/>
    <mergeCell ref="A419:A424"/>
    <mergeCell ref="A302:A303"/>
    <mergeCell ref="C415:C416"/>
    <mergeCell ref="A131:A132"/>
    <mergeCell ref="B143:B146"/>
    <mergeCell ref="C131:C132"/>
    <mergeCell ref="D127:D128"/>
    <mergeCell ref="D143:D146"/>
    <mergeCell ref="C89:C102"/>
    <mergeCell ref="C296:C299"/>
    <mergeCell ref="A107:A124"/>
    <mergeCell ref="C532:C535"/>
    <mergeCell ref="A597:A598"/>
    <mergeCell ref="C107:C124"/>
    <mergeCell ref="A348:A353"/>
    <mergeCell ref="C581:C585"/>
    <mergeCell ref="B296:B299"/>
    <mergeCell ref="A75:A88"/>
    <mergeCell ref="C75:C88"/>
    <mergeCell ref="C404:C406"/>
    <mergeCell ref="A16:A18"/>
    <mergeCell ref="A407:A408"/>
    <mergeCell ref="D328:D333"/>
    <mergeCell ref="D26:D27"/>
    <mergeCell ref="C16:C18"/>
    <mergeCell ref="B546:B564"/>
    <mergeCell ref="B506:B513"/>
    <mergeCell ref="B45:B48"/>
    <mergeCell ref="C586:C587"/>
    <mergeCell ref="A518:A519"/>
    <mergeCell ref="A581:A585"/>
    <mergeCell ref="A173:A174"/>
    <mergeCell ref="A300:A301"/>
    <mergeCell ref="A11:A12"/>
    <mergeCell ref="C334:C335"/>
    <mergeCell ref="B175:B190"/>
    <mergeCell ref="C103:C104"/>
    <mergeCell ref="B131:B132"/>
    <mergeCell ref="D175:D190"/>
    <mergeCell ref="C579:C580"/>
    <mergeCell ref="D131:D132"/>
    <mergeCell ref="B360:B395"/>
    <mergeCell ref="C20:C21"/>
    <mergeCell ref="C348:C353"/>
    <mergeCell ref="A149:A150"/>
    <mergeCell ref="D586:D587"/>
    <mergeCell ref="N1:P1"/>
    <mergeCell ref="D532:D535"/>
    <mergeCell ref="A334:A335"/>
    <mergeCell ref="D300:D301"/>
    <mergeCell ref="B588:B594"/>
    <mergeCell ref="C417:C418"/>
    <mergeCell ref="B89:B102"/>
    <mergeCell ref="B105:B106"/>
    <mergeCell ref="A326:A327"/>
    <mergeCell ref="D105:D106"/>
    <mergeCell ref="C360:C395"/>
    <mergeCell ref="A161:A172"/>
    <mergeCell ref="O5:P5"/>
    <mergeCell ref="D415:D416"/>
    <mergeCell ref="D419:D424"/>
    <mergeCell ref="C161:C172"/>
    <mergeCell ref="A69:A74"/>
    <mergeCell ref="A565:A578"/>
    <mergeCell ref="B283:B284"/>
    <mergeCell ref="B16:B18"/>
    <mergeCell ref="A409:A410"/>
    <mergeCell ref="C53:C68"/>
    <mergeCell ref="A602:A603"/>
    <mergeCell ref="A356:A357"/>
    <mergeCell ref="D326:D327"/>
    <mergeCell ref="C356:C357"/>
    <mergeCell ref="B348:B353"/>
    <mergeCell ref="D588:D594"/>
    <mergeCell ref="D28:D29"/>
    <mergeCell ref="A438:A445"/>
    <mergeCell ref="B306:B325"/>
    <mergeCell ref="B609:B610"/>
    <mergeCell ref="B407:B408"/>
    <mergeCell ref="C539:C541"/>
    <mergeCell ref="D407:D408"/>
    <mergeCell ref="B334:B335"/>
    <mergeCell ref="D565:D578"/>
    <mergeCell ref="D41:D44"/>
    <mergeCell ref="D334:D335"/>
    <mergeCell ref="A13:A14"/>
    <mergeCell ref="C546:C564"/>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C283:C284"/>
    <mergeCell ref="C37:C40"/>
    <mergeCell ref="B125:B126"/>
    <mergeCell ref="D417:D418"/>
    <mergeCell ref="C430:C437"/>
    <mergeCell ref="B285:B294"/>
    <mergeCell ref="D285:D294"/>
    <mergeCell ref="B22:B25"/>
    <mergeCell ref="B446:B505"/>
    <mergeCell ref="C306:C325"/>
    <mergeCell ref="B149:B150"/>
    <mergeCell ref="D446:D505"/>
    <mergeCell ref="D22:D25"/>
    <mergeCell ref="D161:D172"/>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C609:C610"/>
    <mergeCell ref="D438:D445"/>
    <mergeCell ref="D539:D541"/>
    <mergeCell ref="B402:B403"/>
    <mergeCell ref="B328:B333"/>
    <mergeCell ref="D402:D403"/>
    <mergeCell ref="C143:C146"/>
    <mergeCell ref="B151:B154"/>
    <mergeCell ref="D147:D148"/>
    <mergeCell ref="D89:D102"/>
    <mergeCell ref="A41:A44"/>
    <mergeCell ref="D296:D299"/>
    <mergeCell ref="C11:C12"/>
    <mergeCell ref="B532:B535"/>
    <mergeCell ref="A151:A154"/>
    <mergeCell ref="B581:B585"/>
    <mergeCell ref="B404:B406"/>
    <mergeCell ref="B147:B148"/>
    <mergeCell ref="B430:B437"/>
    <mergeCell ref="A579:A580"/>
    <mergeCell ref="D404:D406"/>
    <mergeCell ref="D135:D142"/>
    <mergeCell ref="A446:A505"/>
    <mergeCell ref="C446:C505"/>
    <mergeCell ref="B586:B587"/>
    <mergeCell ref="C125:C126"/>
    <mergeCell ref="B129:B130"/>
    <mergeCell ref="D129:D130"/>
    <mergeCell ref="B300:B301"/>
    <mergeCell ref="C13:C14"/>
    <mergeCell ref="C175:C190"/>
    <mergeCell ref="A360:A395"/>
    <mergeCell ref="D579:D580"/>
    <mergeCell ref="C328:C333"/>
    <mergeCell ref="A285:A294"/>
    <mergeCell ref="D75:D88"/>
    <mergeCell ref="A396:A397"/>
    <mergeCell ref="B415:B416"/>
    <mergeCell ref="B419:B424"/>
    <mergeCell ref="A28:A29"/>
    <mergeCell ref="D336:D347"/>
    <mergeCell ref="D358:D359"/>
    <mergeCell ref="C28:C29"/>
    <mergeCell ref="A1:L1"/>
    <mergeCell ref="D191:D282"/>
    <mergeCell ref="A89:A102"/>
    <mergeCell ref="D35:D36"/>
    <mergeCell ref="D107:D124"/>
    <mergeCell ref="C565:C578"/>
  </mergeCells>
  <conditionalFormatting sqref="D1:D588 D595:D608 D630:D1048576">
    <cfRule type="cellIs" priority="43" operator="lessThan" dxfId="0">
      <formula>0</formula>
    </cfRule>
  </conditionalFormatting>
  <conditionalFormatting sqref="G611:G622">
    <cfRule type="duplicateValues" priority="3" dxfId="0"/>
    <cfRule type="duplicateValues" priority="2" dxfId="0"/>
  </conditionalFormatting>
  <conditionalFormatting sqref="H611:H629">
    <cfRule type="duplicateValues" priority="1"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55" zoomScaleNormal="100" workbookViewId="0">
      <selection activeCell="L100" sqref="L100"/>
    </sheetView>
  </sheetViews>
  <sheetFormatPr baseColWidth="8" defaultColWidth="8.75" defaultRowHeight="14.25"/>
  <cols>
    <col width="13.75" customWidth="1" min="1" max="1"/>
    <col width="17.375" customWidth="1" min="2" max="2"/>
    <col width="14.75" customWidth="1" style="153" min="3" max="3"/>
    <col width="53.75" customWidth="1" min="4" max="4"/>
    <col width="22" customWidth="1" style="520" min="5" max="5"/>
    <col width="16.875" customWidth="1" style="520" min="6" max="6"/>
    <col width="16" customWidth="1" style="520"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524" t="inlineStr">
        <is>
          <t>S#</t>
        </is>
      </c>
      <c r="B3" s="572" t="inlineStr">
        <is>
          <t xml:space="preserve">NATIONALITY </t>
        </is>
      </c>
      <c r="C3" s="573" t="inlineStr">
        <is>
          <t xml:space="preserve"> Categories </t>
        </is>
      </c>
      <c r="D3" s="573" t="inlineStr">
        <is>
          <t xml:space="preserve">Facility Management Services </t>
        </is>
      </c>
      <c r="E3" s="573" t="inlineStr">
        <is>
          <t>Expat Qty</t>
        </is>
      </c>
      <c r="F3" s="573" t="inlineStr">
        <is>
          <t>Saudi Qty.</t>
        </is>
      </c>
      <c r="G3" s="574" t="inlineStr">
        <is>
          <t xml:space="preserve">Total </t>
        </is>
      </c>
    </row>
    <row r="4" ht="18.75" customFormat="1" customHeight="1" s="163">
      <c r="A4" s="527" t="inlineStr">
        <is>
          <t xml:space="preserve">MEDICAL FACILITIES </t>
        </is>
      </c>
      <c r="B4" s="575" t="n"/>
      <c r="C4" s="576" t="n"/>
      <c r="D4" s="576" t="n"/>
      <c r="E4" s="530">
        <f>+SUM(E5:E11)</f>
        <v/>
      </c>
      <c r="F4" s="530">
        <f>+SUM(F5:F11)</f>
        <v/>
      </c>
      <c r="G4" s="531">
        <f>+SUM(G5:G11)</f>
        <v/>
      </c>
    </row>
    <row r="5" ht="21" customHeight="1">
      <c r="A5" s="164" t="n">
        <v>1</v>
      </c>
      <c r="B5" s="165" t="inlineStr">
        <is>
          <t>S.EXPATS</t>
        </is>
      </c>
      <c r="C5" s="386" t="inlineStr">
        <is>
          <t>A</t>
        </is>
      </c>
      <c r="D5" s="387" t="inlineStr">
        <is>
          <t>MANAGERS</t>
        </is>
      </c>
      <c r="E5" s="534" t="n">
        <v>0</v>
      </c>
      <c r="F5" s="534" t="n">
        <v>0</v>
      </c>
      <c r="G5" s="535">
        <f>SUM(E5:F5)</f>
        <v/>
      </c>
    </row>
    <row r="6" ht="21" customHeight="1">
      <c r="A6" s="164">
        <f>+A5+1</f>
        <v/>
      </c>
      <c r="B6" s="165" t="inlineStr">
        <is>
          <t>S.EXPATS</t>
        </is>
      </c>
      <c r="C6" s="166" t="inlineStr">
        <is>
          <t>A</t>
        </is>
      </c>
      <c r="D6" s="167" t="inlineStr">
        <is>
          <t>ADMINISTRATORS</t>
        </is>
      </c>
      <c r="E6" s="534" t="n">
        <v>0</v>
      </c>
      <c r="F6" s="534" t="n">
        <v>0</v>
      </c>
      <c r="G6" s="535">
        <f>SUM(E6:F6)</f>
        <v/>
      </c>
      <c r="I6" s="153" t="n"/>
    </row>
    <row r="7" ht="21" customHeight="1">
      <c r="A7" s="164">
        <f>+A6+1</f>
        <v/>
      </c>
      <c r="B7" s="165" t="inlineStr">
        <is>
          <t>S.EXPATS</t>
        </is>
      </c>
      <c r="C7" s="166" t="inlineStr">
        <is>
          <t>A</t>
        </is>
      </c>
      <c r="D7" s="167" t="inlineStr">
        <is>
          <t>SUPERVISORS</t>
        </is>
      </c>
      <c r="E7" s="534" t="n">
        <v>0</v>
      </c>
      <c r="F7" s="534" t="n">
        <v>0</v>
      </c>
      <c r="G7" s="535">
        <f>SUM(E7:F7)</f>
        <v/>
      </c>
      <c r="I7" s="153" t="n"/>
    </row>
    <row r="8" ht="21" customHeight="1">
      <c r="A8" s="164">
        <f>+A7+1</f>
        <v/>
      </c>
      <c r="B8" s="165" t="inlineStr">
        <is>
          <t>S.EXPATS</t>
        </is>
      </c>
      <c r="C8" s="166" t="inlineStr">
        <is>
          <t>B</t>
        </is>
      </c>
      <c r="D8" s="167" t="inlineStr">
        <is>
          <t>TEAM LEADERS</t>
        </is>
      </c>
      <c r="E8" s="534" t="n">
        <v>0</v>
      </c>
      <c r="F8" s="534" t="n">
        <v>0</v>
      </c>
      <c r="G8" s="535">
        <f>SUM(E8:F8)</f>
        <v/>
      </c>
      <c r="I8" s="153" t="n"/>
    </row>
    <row r="9" ht="21" customHeight="1">
      <c r="A9" s="164">
        <f>+A8+1</f>
        <v/>
      </c>
      <c r="B9" s="165" t="inlineStr">
        <is>
          <t>EXPAT'S</t>
        </is>
      </c>
      <c r="C9" s="166" t="inlineStr">
        <is>
          <t>D</t>
        </is>
      </c>
      <c r="D9" s="167" t="inlineStr">
        <is>
          <t>CLEANING STAFF</t>
        </is>
      </c>
      <c r="E9" s="534" t="n">
        <v>2</v>
      </c>
      <c r="F9" s="534" t="n">
        <v>0</v>
      </c>
      <c r="G9" s="535">
        <f>SUM(E9:F9)</f>
        <v/>
      </c>
      <c r="I9" s="153" t="n"/>
    </row>
    <row r="10" ht="21" customHeight="1">
      <c r="A10" s="164">
        <f>+A9+1</f>
        <v/>
      </c>
      <c r="B10" s="165" t="inlineStr">
        <is>
          <t>EXPAT'S</t>
        </is>
      </c>
      <c r="C10" s="166" t="inlineStr">
        <is>
          <t>C</t>
        </is>
      </c>
      <c r="D10" s="167" t="inlineStr">
        <is>
          <t>AMBULANCE DRIVERS</t>
        </is>
      </c>
      <c r="E10" s="534" t="n">
        <v>0</v>
      </c>
      <c r="F10" s="534" t="n">
        <v>0</v>
      </c>
      <c r="G10" s="535">
        <f>SUM(E10:F10)</f>
        <v/>
      </c>
      <c r="I10" s="153" t="n"/>
    </row>
    <row r="11" ht="21" customHeight="1">
      <c r="A11" s="164">
        <f>+A10+1</f>
        <v/>
      </c>
      <c r="B11" s="165" t="inlineStr">
        <is>
          <t>EXPAT'S</t>
        </is>
      </c>
      <c r="C11" s="166" t="inlineStr">
        <is>
          <t>C</t>
        </is>
      </c>
      <c r="D11" s="167" t="inlineStr">
        <is>
          <t>EQUIPMENT TECHNICIANS</t>
        </is>
      </c>
      <c r="E11" s="534" t="n">
        <v>0</v>
      </c>
      <c r="F11" s="534" t="n">
        <v>0</v>
      </c>
      <c r="G11" s="535">
        <f>SUM(E11:F11)</f>
        <v/>
      </c>
    </row>
    <row r="12" ht="18.75" customFormat="1" customHeight="1" s="163">
      <c r="A12" s="527" t="inlineStr">
        <is>
          <t>ENVIRONMENT, HEALTH AND SAFETY</t>
        </is>
      </c>
      <c r="B12" s="528" t="n"/>
      <c r="C12" s="529" t="n"/>
      <c r="D12" s="529" t="n"/>
      <c r="E12" s="530">
        <f>+SUM(E13:E16)</f>
        <v/>
      </c>
      <c r="F12" s="530">
        <f>+SUM(F13:F16)</f>
        <v/>
      </c>
      <c r="G12" s="531">
        <f>+SUM(G13:G16)</f>
        <v/>
      </c>
    </row>
    <row r="13" ht="21" customHeight="1">
      <c r="A13" s="164" t="n">
        <v>1</v>
      </c>
      <c r="B13" s="165" t="inlineStr">
        <is>
          <t>SAUDI'S</t>
        </is>
      </c>
      <c r="C13" s="166" t="inlineStr">
        <is>
          <t>A</t>
        </is>
      </c>
      <c r="D13" s="165" t="inlineStr">
        <is>
          <t xml:space="preserve">QHSE MANAGER </t>
        </is>
      </c>
      <c r="E13" s="534" t="n">
        <v>1</v>
      </c>
      <c r="F13" s="534" t="n">
        <v>1</v>
      </c>
      <c r="G13" s="535">
        <f>SUM(E13:F13)</f>
        <v/>
      </c>
    </row>
    <row r="14" ht="21" customHeight="1">
      <c r="A14" s="164">
        <f>+A13+1</f>
        <v/>
      </c>
      <c r="B14" s="165" t="inlineStr">
        <is>
          <t>SAUDI'S</t>
        </is>
      </c>
      <c r="C14" s="166" t="inlineStr">
        <is>
          <t>B</t>
        </is>
      </c>
      <c r="D14" s="165" t="inlineStr">
        <is>
          <t xml:space="preserve">ENVIRONMENTAL INSPECTOR </t>
        </is>
      </c>
      <c r="E14" s="534" t="n">
        <v>2</v>
      </c>
      <c r="F14" s="534" t="n">
        <v>1</v>
      </c>
      <c r="G14" s="535" t="n">
        <v>0</v>
      </c>
    </row>
    <row r="15" ht="21" customHeight="1">
      <c r="A15" s="164">
        <f>+A14+1</f>
        <v/>
      </c>
      <c r="B15" s="165" t="inlineStr">
        <is>
          <t>EXPAT'S</t>
        </is>
      </c>
      <c r="C15" s="166" t="inlineStr">
        <is>
          <t>B</t>
        </is>
      </c>
      <c r="D15" s="165" t="inlineStr">
        <is>
          <t>QSHE  OFFICER</t>
        </is>
      </c>
      <c r="E15" s="534" t="n">
        <v>2</v>
      </c>
      <c r="F15" s="534" t="inlineStr">
        <is>
          <t>-</t>
        </is>
      </c>
      <c r="G15" s="535" t="n">
        <v>1</v>
      </c>
    </row>
    <row r="16" ht="21" customHeight="1">
      <c r="A16" s="164">
        <f>+A15+1</f>
        <v/>
      </c>
      <c r="B16" s="165" t="inlineStr">
        <is>
          <t>EXPAT'S</t>
        </is>
      </c>
      <c r="C16" s="166" t="inlineStr">
        <is>
          <t>B</t>
        </is>
      </c>
      <c r="D16" s="165" t="inlineStr">
        <is>
          <t>SAFETY OFFICER</t>
        </is>
      </c>
      <c r="E16" s="534" t="n">
        <v>2</v>
      </c>
      <c r="F16" s="534" t="inlineStr">
        <is>
          <t>-</t>
        </is>
      </c>
      <c r="G16" s="535" t="n">
        <v>1</v>
      </c>
    </row>
    <row r="17" ht="18.75" customFormat="1" customHeight="1" s="163">
      <c r="A17" s="527" t="inlineStr">
        <is>
          <t>PEST CONTROL SERVICES</t>
        </is>
      </c>
      <c r="B17" s="528" t="n"/>
      <c r="C17" s="529" t="n"/>
      <c r="D17" s="529" t="n"/>
      <c r="E17" s="530">
        <f>+SUM(E18:E19)</f>
        <v/>
      </c>
      <c r="F17" s="530">
        <f>+SUM(F18:F19)</f>
        <v/>
      </c>
      <c r="G17" s="531">
        <f>+SUM(G18:G19)</f>
        <v/>
      </c>
    </row>
    <row r="18" ht="21" customHeight="1">
      <c r="A18" s="164" t="n">
        <v>1</v>
      </c>
      <c r="B18" s="165" t="inlineStr">
        <is>
          <t>EXPAT'S</t>
        </is>
      </c>
      <c r="C18" s="166" t="inlineStr">
        <is>
          <t>C</t>
        </is>
      </c>
      <c r="D18" s="165" t="inlineStr">
        <is>
          <t>P.C SUPERVISOR</t>
        </is>
      </c>
      <c r="E18" s="534" t="n">
        <v>2</v>
      </c>
      <c r="F18" s="534" t="inlineStr">
        <is>
          <t>-</t>
        </is>
      </c>
      <c r="G18" s="535">
        <f>SUM(E18:F18)</f>
        <v/>
      </c>
    </row>
    <row r="19" ht="21" customHeight="1">
      <c r="A19" s="164">
        <f>+A18+1</f>
        <v/>
      </c>
      <c r="B19" s="165" t="inlineStr">
        <is>
          <t>EXPAT'S</t>
        </is>
      </c>
      <c r="C19" s="166" t="inlineStr">
        <is>
          <t>C</t>
        </is>
      </c>
      <c r="D19" s="165" t="inlineStr">
        <is>
          <t>P.C TECHNICIAN</t>
        </is>
      </c>
      <c r="E19" s="534" t="n">
        <v>6</v>
      </c>
      <c r="F19" s="534" t="inlineStr">
        <is>
          <t>-</t>
        </is>
      </c>
      <c r="G19" s="535" t="n">
        <v>6</v>
      </c>
    </row>
    <row r="20" ht="18.75" customFormat="1" customHeight="1" s="163">
      <c r="A20" s="527" t="inlineStr">
        <is>
          <t>WASTE MANAGEMENT</t>
        </is>
      </c>
      <c r="B20" s="528" t="n"/>
      <c r="C20" s="529" t="n"/>
      <c r="D20" s="529" t="n"/>
      <c r="E20" s="530">
        <f>+SUM(E22:E24)</f>
        <v/>
      </c>
      <c r="F20" s="530">
        <f>+SUM(F22:F24)</f>
        <v/>
      </c>
      <c r="G20" s="531">
        <f>SUM(G21:G23)</f>
        <v/>
      </c>
    </row>
    <row r="21" ht="21" customHeight="1">
      <c r="A21" s="164" t="n">
        <v>1</v>
      </c>
      <c r="B21" s="165" t="inlineStr">
        <is>
          <t>EXPAT'S</t>
        </is>
      </c>
      <c r="C21" s="166" t="inlineStr">
        <is>
          <t>A</t>
        </is>
      </c>
      <c r="D21" s="165" t="inlineStr">
        <is>
          <t xml:space="preserve">WASTE SERVICES SUPERVISOR </t>
        </is>
      </c>
      <c r="E21" s="534" t="n">
        <v>2</v>
      </c>
      <c r="F21" s="534" t="inlineStr">
        <is>
          <t>-</t>
        </is>
      </c>
      <c r="G21" s="535" t="n">
        <v>1</v>
      </c>
    </row>
    <row r="22" ht="21" customHeight="1">
      <c r="A22" s="164">
        <f>+A21+1</f>
        <v/>
      </c>
      <c r="B22" s="165" t="inlineStr">
        <is>
          <t>EXPAT'S</t>
        </is>
      </c>
      <c r="C22" s="166" t="inlineStr">
        <is>
          <t>D</t>
        </is>
      </c>
      <c r="D22" s="165" t="inlineStr">
        <is>
          <t>WASTE SEGREGATOR</t>
        </is>
      </c>
      <c r="E22" s="534" t="n">
        <v>12</v>
      </c>
      <c r="F22" s="534" t="inlineStr">
        <is>
          <t>-</t>
        </is>
      </c>
      <c r="G22" s="535" t="n">
        <v>10</v>
      </c>
    </row>
    <row r="23" ht="21" customHeight="1">
      <c r="A23" s="164">
        <f>+A22+1</f>
        <v/>
      </c>
      <c r="B23" s="165" t="inlineStr">
        <is>
          <t>EXPAT'S</t>
        </is>
      </c>
      <c r="C23" s="166" t="inlineStr">
        <is>
          <t>D</t>
        </is>
      </c>
      <c r="D23" s="165" t="inlineStr">
        <is>
          <t xml:space="preserve">WASTE COLLECTOR </t>
        </is>
      </c>
      <c r="E23" s="534" t="n">
        <v>4</v>
      </c>
      <c r="F23" s="534" t="inlineStr">
        <is>
          <t>-</t>
        </is>
      </c>
      <c r="G23" s="535" t="n">
        <v>4</v>
      </c>
    </row>
    <row r="24" ht="18.75" customFormat="1" customHeight="1" s="163">
      <c r="A24" s="527" t="inlineStr">
        <is>
          <t>HAZARDOUS WASTE STORAGE AND HANDLING</t>
        </is>
      </c>
      <c r="B24" s="528" t="n"/>
      <c r="C24" s="529" t="n"/>
      <c r="D24" s="529" t="n"/>
      <c r="E24" s="530">
        <f>+SUM(E25:E25)</f>
        <v/>
      </c>
      <c r="F24" s="530">
        <f>+SUM(F25:F25)</f>
        <v/>
      </c>
      <c r="G24" s="531">
        <f>+SUM(G25:G25)</f>
        <v/>
      </c>
    </row>
    <row r="25" ht="21" customHeight="1">
      <c r="A25" s="164" t="n">
        <v>1</v>
      </c>
      <c r="B25" s="165" t="inlineStr">
        <is>
          <t>EXPAT'S</t>
        </is>
      </c>
      <c r="C25" s="166" t="inlineStr">
        <is>
          <t>D</t>
        </is>
      </c>
      <c r="D25" s="165" t="inlineStr">
        <is>
          <t xml:space="preserve">WASTE COLLECTOR </t>
        </is>
      </c>
      <c r="E25" s="534" t="n">
        <v>2</v>
      </c>
      <c r="F25" s="534" t="inlineStr">
        <is>
          <t>-</t>
        </is>
      </c>
      <c r="G25" s="535" t="n">
        <v>2</v>
      </c>
    </row>
    <row r="26" ht="18.75" customFormat="1" customHeight="1" s="163">
      <c r="A26" s="527" t="inlineStr">
        <is>
          <t>SEWAGE TREATMENT PLANT</t>
        </is>
      </c>
      <c r="B26" s="528" t="n"/>
      <c r="C26" s="529" t="n"/>
      <c r="D26" s="529" t="n"/>
      <c r="E26" s="530">
        <f>+SUM(E27:E29)</f>
        <v/>
      </c>
      <c r="F26" s="530">
        <f>+SUM(F27:F29)</f>
        <v/>
      </c>
      <c r="G26" s="531">
        <f>+SUM(G27:G29)</f>
        <v/>
      </c>
    </row>
    <row r="27" ht="21" customHeight="1">
      <c r="A27" s="164" t="n">
        <v>1</v>
      </c>
      <c r="B27" s="165" t="inlineStr">
        <is>
          <t>EXPAT'S</t>
        </is>
      </c>
      <c r="C27" s="166" t="inlineStr">
        <is>
          <t>A</t>
        </is>
      </c>
      <c r="D27" s="165" t="inlineStr">
        <is>
          <t xml:space="preserve">STP SUPERVISOR </t>
        </is>
      </c>
      <c r="E27" s="534" t="n">
        <v>2</v>
      </c>
      <c r="F27" s="534" t="inlineStr">
        <is>
          <t>-</t>
        </is>
      </c>
      <c r="G27" s="535">
        <f>SUM(E27:F27)</f>
        <v/>
      </c>
    </row>
    <row r="28" ht="21" customHeight="1">
      <c r="A28" s="164">
        <f>+A27+1</f>
        <v/>
      </c>
      <c r="B28" s="165" t="inlineStr">
        <is>
          <t>EXPAT'S</t>
        </is>
      </c>
      <c r="C28" s="166" t="inlineStr">
        <is>
          <t>C</t>
        </is>
      </c>
      <c r="D28" s="165" t="inlineStr">
        <is>
          <t xml:space="preserve">STP OPERATOR </t>
        </is>
      </c>
      <c r="E28" s="534" t="n">
        <v>4</v>
      </c>
      <c r="F28" s="534" t="inlineStr">
        <is>
          <t>-</t>
        </is>
      </c>
      <c r="G28" s="535">
        <f>SUM(E28:F28)</f>
        <v/>
      </c>
    </row>
    <row r="29" ht="21" customHeight="1">
      <c r="A29" s="164">
        <f>+A28+1</f>
        <v/>
      </c>
      <c r="B29" s="165" t="inlineStr">
        <is>
          <t>EXPAT'S</t>
        </is>
      </c>
      <c r="C29" s="166" t="inlineStr">
        <is>
          <t>C</t>
        </is>
      </c>
      <c r="D29" s="165" t="inlineStr">
        <is>
          <t>MULTI-SKILLED TECHNICIANS</t>
        </is>
      </c>
      <c r="E29" s="534" t="n">
        <v>2</v>
      </c>
      <c r="F29" s="534" t="inlineStr">
        <is>
          <t>-</t>
        </is>
      </c>
      <c r="G29" s="535" t="n">
        <v>0</v>
      </c>
    </row>
    <row r="30" ht="18.75" customFormat="1" customHeight="1" s="163">
      <c r="A30" s="527" t="inlineStr">
        <is>
          <t>MEP MAINTENANCE &amp; SERVICES</t>
        </is>
      </c>
      <c r="B30" s="528" t="n"/>
      <c r="C30" s="529" t="n"/>
      <c r="D30" s="529" t="n"/>
      <c r="E30" s="530">
        <f>+SUM(E31:E47)</f>
        <v/>
      </c>
      <c r="F30" s="530">
        <f>+SUM(F31:F47)</f>
        <v/>
      </c>
      <c r="G30" s="531">
        <f>+SUM(G31:G47)</f>
        <v/>
      </c>
    </row>
    <row r="31" ht="21" customHeight="1">
      <c r="A31" s="164" t="n">
        <v>1</v>
      </c>
      <c r="B31" s="165" t="inlineStr">
        <is>
          <t>S.EXPATS</t>
        </is>
      </c>
      <c r="C31" s="166" t="inlineStr">
        <is>
          <t>A</t>
        </is>
      </c>
      <c r="D31" s="165" t="inlineStr">
        <is>
          <t>FACILITIES ENGINEER</t>
        </is>
      </c>
      <c r="E31" s="534" t="n">
        <v>2</v>
      </c>
      <c r="F31" s="534" t="inlineStr">
        <is>
          <t>-</t>
        </is>
      </c>
      <c r="G31" s="535">
        <f>SUM(E31:F31)</f>
        <v/>
      </c>
    </row>
    <row r="32" ht="21" customHeight="1">
      <c r="A32" s="164">
        <f>+A31+1</f>
        <v/>
      </c>
      <c r="B32" s="165" t="inlineStr">
        <is>
          <t>EXPAT'S</t>
        </is>
      </c>
      <c r="C32" s="166" t="inlineStr">
        <is>
          <t>A</t>
        </is>
      </c>
      <c r="D32" s="165" t="inlineStr">
        <is>
          <t>SUPERVISORS MEP</t>
        </is>
      </c>
      <c r="E32" s="534" t="n">
        <v>4</v>
      </c>
      <c r="F32" s="534" t="inlineStr">
        <is>
          <t>-</t>
        </is>
      </c>
      <c r="G32" s="535">
        <f>SUM(E32:F32)</f>
        <v/>
      </c>
    </row>
    <row r="33" ht="21" customHeight="1">
      <c r="A33" s="164">
        <f>+A32+1</f>
        <v/>
      </c>
      <c r="B33" s="165" t="inlineStr">
        <is>
          <t>EXPAT'S</t>
        </is>
      </c>
      <c r="C33" s="166" t="inlineStr">
        <is>
          <t>C</t>
        </is>
      </c>
      <c r="D33" s="165" t="inlineStr">
        <is>
          <t>UTILITY/GEN</t>
        </is>
      </c>
      <c r="E33" s="534" t="n">
        <v>4</v>
      </c>
      <c r="F33" s="534" t="inlineStr">
        <is>
          <t>-</t>
        </is>
      </c>
      <c r="G33" s="535" t="n">
        <v>2</v>
      </c>
    </row>
    <row r="34" ht="21" customHeight="1">
      <c r="A34" s="164">
        <f>+A33+1</f>
        <v/>
      </c>
      <c r="B34" s="165" t="inlineStr">
        <is>
          <t>EXPAT'S</t>
        </is>
      </c>
      <c r="C34" s="166" t="inlineStr">
        <is>
          <t>C</t>
        </is>
      </c>
      <c r="D34" s="165" t="inlineStr">
        <is>
          <t>MULTI SKILLED TECH.</t>
        </is>
      </c>
      <c r="E34" s="534" t="n">
        <v>4</v>
      </c>
      <c r="F34" s="534" t="inlineStr">
        <is>
          <t>-</t>
        </is>
      </c>
      <c r="G34" s="535" t="n">
        <v>3</v>
      </c>
    </row>
    <row r="35" ht="21" customHeight="1">
      <c r="A35" s="164">
        <f>+A34+1</f>
        <v/>
      </c>
      <c r="B35" s="165" t="inlineStr">
        <is>
          <t>EXPAT'S</t>
        </is>
      </c>
      <c r="C35" s="166" t="inlineStr">
        <is>
          <t>C</t>
        </is>
      </c>
      <c r="D35" s="165" t="inlineStr">
        <is>
          <t>MECHANICAL  TECH</t>
        </is>
      </c>
      <c r="E35" s="534" t="n">
        <v>4</v>
      </c>
      <c r="F35" s="534" t="inlineStr">
        <is>
          <t>-</t>
        </is>
      </c>
      <c r="G35" s="535" t="n">
        <v>2</v>
      </c>
    </row>
    <row r="36" ht="21" customHeight="1">
      <c r="A36" s="164">
        <f>+A35+1</f>
        <v/>
      </c>
      <c r="B36" s="165" t="inlineStr">
        <is>
          <t>EXPAT'S</t>
        </is>
      </c>
      <c r="C36" s="166" t="inlineStr">
        <is>
          <t>C</t>
        </is>
      </c>
      <c r="D36" s="165" t="inlineStr">
        <is>
          <t xml:space="preserve">AC TECHNICIAN  </t>
        </is>
      </c>
      <c r="E36" s="534" t="n">
        <v>16</v>
      </c>
      <c r="F36" s="534" t="inlineStr">
        <is>
          <t>-</t>
        </is>
      </c>
      <c r="G36" s="535">
        <f>SUM(E36:F36)</f>
        <v/>
      </c>
    </row>
    <row r="37" ht="21" customHeight="1">
      <c r="A37" s="164">
        <f>+A36+1</f>
        <v/>
      </c>
      <c r="B37" s="165" t="inlineStr">
        <is>
          <t>EXPAT'S</t>
        </is>
      </c>
      <c r="C37" s="166" t="inlineStr">
        <is>
          <t>C</t>
        </is>
      </c>
      <c r="D37" s="165" t="inlineStr">
        <is>
          <t xml:space="preserve">ASSTANT AC TECHNICIAN </t>
        </is>
      </c>
      <c r="E37" s="534" t="n">
        <v>6</v>
      </c>
      <c r="F37" s="534" t="inlineStr">
        <is>
          <t>-</t>
        </is>
      </c>
      <c r="G37" s="535" t="n">
        <v>0</v>
      </c>
    </row>
    <row r="38" ht="21" customHeight="1">
      <c r="A38" s="164">
        <f>+A37+1</f>
        <v/>
      </c>
      <c r="B38" s="165" t="inlineStr">
        <is>
          <t>EXPAT'S</t>
        </is>
      </c>
      <c r="C38" s="166" t="inlineStr">
        <is>
          <t>C</t>
        </is>
      </c>
      <c r="D38" s="165" t="inlineStr">
        <is>
          <t>PLUMBER</t>
        </is>
      </c>
      <c r="E38" s="534" t="n">
        <v>14</v>
      </c>
      <c r="F38" s="534" t="inlineStr">
        <is>
          <t>-</t>
        </is>
      </c>
      <c r="G38" s="535" t="n">
        <v>10</v>
      </c>
    </row>
    <row r="39" ht="21" customHeight="1">
      <c r="A39" s="164">
        <f>+A38+1</f>
        <v/>
      </c>
      <c r="B39" s="165" t="inlineStr">
        <is>
          <t>EXPAT'S</t>
        </is>
      </c>
      <c r="C39" s="166" t="inlineStr">
        <is>
          <t>C</t>
        </is>
      </c>
      <c r="D39" s="165" t="inlineStr">
        <is>
          <t xml:space="preserve">TRADE HELPER </t>
        </is>
      </c>
      <c r="E39" s="534" t="n">
        <v>14</v>
      </c>
      <c r="F39" s="534" t="inlineStr">
        <is>
          <t>-</t>
        </is>
      </c>
      <c r="G39" s="535" t="n">
        <v>0</v>
      </c>
    </row>
    <row r="40" ht="21" customHeight="1">
      <c r="A40" s="164">
        <f>+A39+1</f>
        <v/>
      </c>
      <c r="B40" s="165" t="inlineStr">
        <is>
          <t>EXPAT'S</t>
        </is>
      </c>
      <c r="C40" s="166" t="inlineStr">
        <is>
          <t>A</t>
        </is>
      </c>
      <c r="D40" s="165" t="inlineStr">
        <is>
          <t>SUPERVISOR ELECTRICAL</t>
        </is>
      </c>
      <c r="E40" s="534" t="n">
        <v>2</v>
      </c>
      <c r="F40" s="534" t="inlineStr">
        <is>
          <t>-</t>
        </is>
      </c>
      <c r="G40" s="535">
        <f>SUM(E40:F40)</f>
        <v/>
      </c>
    </row>
    <row r="41" ht="21" customHeight="1">
      <c r="A41" s="164">
        <f>+A40+1</f>
        <v/>
      </c>
      <c r="B41" s="165" t="inlineStr">
        <is>
          <t>EXPAT'S</t>
        </is>
      </c>
      <c r="C41" s="166" t="inlineStr">
        <is>
          <t>B</t>
        </is>
      </c>
      <c r="D41" s="165" t="inlineStr">
        <is>
          <t xml:space="preserve">TEAM LEADER ELECTRICAL </t>
        </is>
      </c>
      <c r="E41" s="534" t="n">
        <v>2</v>
      </c>
      <c r="F41" s="534" t="inlineStr">
        <is>
          <t>-</t>
        </is>
      </c>
      <c r="G41" s="535" t="n">
        <v>1</v>
      </c>
    </row>
    <row r="42" ht="21" customHeight="1">
      <c r="A42" s="164">
        <f>+A41+1</f>
        <v/>
      </c>
      <c r="B42" s="165" t="inlineStr">
        <is>
          <t>EXPAT'S</t>
        </is>
      </c>
      <c r="C42" s="166" t="inlineStr">
        <is>
          <t>C</t>
        </is>
      </c>
      <c r="D42" s="165" t="inlineStr">
        <is>
          <t>ELECTRICIAN</t>
        </is>
      </c>
      <c r="E42" s="534" t="n">
        <v>18</v>
      </c>
      <c r="F42" s="534" t="inlineStr">
        <is>
          <t>-</t>
        </is>
      </c>
      <c r="G42" s="535" t="n">
        <v>10</v>
      </c>
    </row>
    <row r="43" ht="21" customHeight="1">
      <c r="A43" s="164">
        <f>+A42+1</f>
        <v/>
      </c>
      <c r="B43" s="165" t="inlineStr">
        <is>
          <t>EXPAT'S</t>
        </is>
      </c>
      <c r="C43" s="166" t="inlineStr">
        <is>
          <t>C</t>
        </is>
      </c>
      <c r="D43" s="165" t="inlineStr">
        <is>
          <t xml:space="preserve">APPLIANCE TECHNICIAN </t>
        </is>
      </c>
      <c r="E43" s="534" t="n">
        <v>2</v>
      </c>
      <c r="F43" s="534" t="inlineStr">
        <is>
          <t>-</t>
        </is>
      </c>
      <c r="G43" s="535" t="n">
        <v>0</v>
      </c>
    </row>
    <row r="44" ht="21" customHeight="1">
      <c r="A44" s="164">
        <f>+A43+1</f>
        <v/>
      </c>
      <c r="B44" s="165" t="inlineStr">
        <is>
          <t>EXPAT'S</t>
        </is>
      </c>
      <c r="C44" s="166" t="inlineStr">
        <is>
          <t>D</t>
        </is>
      </c>
      <c r="D44" s="165" t="inlineStr">
        <is>
          <t>WARE HOUSE HELPER</t>
        </is>
      </c>
      <c r="E44" s="534" t="n">
        <v>2</v>
      </c>
      <c r="F44" s="534" t="inlineStr">
        <is>
          <t>-</t>
        </is>
      </c>
      <c r="G44" s="535">
        <f>SUM(E44:F44)</f>
        <v/>
      </c>
    </row>
    <row r="45" ht="21" customHeight="1">
      <c r="A45" s="164">
        <f>+A44+1</f>
        <v/>
      </c>
      <c r="B45" s="165" t="inlineStr">
        <is>
          <t>EXPAT'S</t>
        </is>
      </c>
      <c r="C45" s="166" t="inlineStr">
        <is>
          <t>C</t>
        </is>
      </c>
      <c r="D45" s="165" t="inlineStr">
        <is>
          <t>MEWP CERTIFIED OPERATORS</t>
        </is>
      </c>
      <c r="E45" s="534" t="n">
        <v>0</v>
      </c>
      <c r="F45" s="534" t="inlineStr">
        <is>
          <t>-</t>
        </is>
      </c>
      <c r="G45" s="535">
        <f>SUM(E45:F45)</f>
        <v/>
      </c>
    </row>
    <row r="46" ht="21" customHeight="1">
      <c r="A46" s="164">
        <f>+A45+1</f>
        <v/>
      </c>
      <c r="B46" s="165" t="inlineStr">
        <is>
          <t>SAUDI'S</t>
        </is>
      </c>
      <c r="C46" s="166" t="inlineStr">
        <is>
          <t>B</t>
        </is>
      </c>
      <c r="D46" s="165" t="inlineStr">
        <is>
          <t>IT ENGINEER</t>
        </is>
      </c>
      <c r="E46" s="534" t="n">
        <v>1</v>
      </c>
      <c r="F46" s="534" t="n">
        <v>1</v>
      </c>
      <c r="G46" s="535">
        <f>SUM(E46:F46)</f>
        <v/>
      </c>
    </row>
    <row r="47" ht="21" customHeight="1">
      <c r="A47" s="164">
        <f>+A46+1</f>
        <v/>
      </c>
      <c r="B47" s="165" t="inlineStr">
        <is>
          <t>EXPAT'S</t>
        </is>
      </c>
      <c r="C47" s="166" t="inlineStr">
        <is>
          <t>C</t>
        </is>
      </c>
      <c r="D47" s="165" t="inlineStr">
        <is>
          <t>LV TECHNICIAN (CCTV/IT )</t>
        </is>
      </c>
      <c r="E47" s="534" t="n">
        <v>2</v>
      </c>
      <c r="F47" s="534" t="inlineStr">
        <is>
          <t>-</t>
        </is>
      </c>
      <c r="G47" s="535">
        <f>SUM(E47:F47)</f>
        <v/>
      </c>
    </row>
    <row r="48" ht="18.75" customFormat="1" customHeight="1" s="163">
      <c r="A48" s="527" t="inlineStr">
        <is>
          <t>CIVIL MAINTENANCE &amp; SERVICES</t>
        </is>
      </c>
      <c r="B48" s="528" t="n"/>
      <c r="C48" s="529" t="n"/>
      <c r="D48" s="529" t="n"/>
      <c r="E48" s="530">
        <f>+SUM(E49:E50)</f>
        <v/>
      </c>
      <c r="F48" s="530">
        <f>+SUM(F49:F50)</f>
        <v/>
      </c>
      <c r="G48" s="531">
        <f>+SUM(G49:G50)</f>
        <v/>
      </c>
    </row>
    <row r="49" ht="21" customHeight="1">
      <c r="A49" s="164" t="n">
        <v>1</v>
      </c>
      <c r="B49" s="165" t="inlineStr">
        <is>
          <t>EXPAT'S</t>
        </is>
      </c>
      <c r="C49" s="166" t="inlineStr">
        <is>
          <t>A</t>
        </is>
      </c>
      <c r="D49" s="165" t="inlineStr">
        <is>
          <t>CIVIL SUPERVISOR</t>
        </is>
      </c>
      <c r="E49" s="534" t="n">
        <v>2</v>
      </c>
      <c r="F49" s="534" t="inlineStr">
        <is>
          <t>-</t>
        </is>
      </c>
      <c r="G49" s="535">
        <f>SUM(E49:F49)</f>
        <v/>
      </c>
    </row>
    <row r="50" ht="21" customHeight="1">
      <c r="A50" s="164">
        <f>+A49+1</f>
        <v/>
      </c>
      <c r="B50" s="165" t="inlineStr">
        <is>
          <t>EXPAT'S</t>
        </is>
      </c>
      <c r="C50" s="166" t="inlineStr">
        <is>
          <t>C</t>
        </is>
      </c>
      <c r="D50" s="165" t="inlineStr">
        <is>
          <t>MASON</t>
        </is>
      </c>
      <c r="E50" s="534" t="n">
        <v>2</v>
      </c>
      <c r="F50" s="534" t="inlineStr">
        <is>
          <t>-</t>
        </is>
      </c>
      <c r="G50" s="535">
        <f>SUM(E50:F50)</f>
        <v/>
      </c>
    </row>
    <row r="51" ht="18.75" customFormat="1" customHeight="1" s="163">
      <c r="A51" s="527" t="inlineStr">
        <is>
          <t>CARPENTRY SERVICES</t>
        </is>
      </c>
      <c r="B51" s="528" t="n"/>
      <c r="C51" s="529" t="n"/>
      <c r="D51" s="529" t="n"/>
      <c r="E51" s="530">
        <f>+SUM(E52:E53)</f>
        <v/>
      </c>
      <c r="F51" s="530">
        <f>+SUM(F52:F53)</f>
        <v/>
      </c>
      <c r="G51" s="531">
        <f>+SUM(G52:G53)</f>
        <v/>
      </c>
    </row>
    <row r="52" ht="21" customHeight="1">
      <c r="A52" s="164" t="n">
        <v>1</v>
      </c>
      <c r="B52" s="165" t="inlineStr">
        <is>
          <t>EXPAT'S</t>
        </is>
      </c>
      <c r="C52" s="166" t="inlineStr">
        <is>
          <t>C</t>
        </is>
      </c>
      <c r="D52" s="165" t="inlineStr">
        <is>
          <t>CARPENTER</t>
        </is>
      </c>
      <c r="E52" s="534" t="n">
        <v>8</v>
      </c>
      <c r="F52" s="534" t="inlineStr">
        <is>
          <t>-</t>
        </is>
      </c>
      <c r="G52" s="535" t="n">
        <v>6</v>
      </c>
    </row>
    <row r="53" ht="21" customHeight="1">
      <c r="A53" s="164">
        <f>+A52+1</f>
        <v/>
      </c>
      <c r="B53" s="165" t="inlineStr">
        <is>
          <t>EXPAT'S</t>
        </is>
      </c>
      <c r="C53" s="166" t="inlineStr">
        <is>
          <t>C</t>
        </is>
      </c>
      <c r="D53" s="165" t="inlineStr">
        <is>
          <t>PAINTER/HANDYMAN (CIVIL)</t>
        </is>
      </c>
      <c r="E53" s="534" t="n">
        <v>4</v>
      </c>
      <c r="F53" s="534" t="inlineStr">
        <is>
          <t>-</t>
        </is>
      </c>
      <c r="G53" s="535">
        <f>SUM(E53:F53)</f>
        <v/>
      </c>
    </row>
    <row r="54" ht="18.75" customFormat="1" customHeight="1" s="163">
      <c r="A54" s="527" t="inlineStr">
        <is>
          <t>LANDSCAPE  SERVICES</t>
        </is>
      </c>
      <c r="B54" s="528" t="n"/>
      <c r="C54" s="529" t="n"/>
      <c r="D54" s="529" t="n"/>
      <c r="E54" s="530">
        <f>+SUM(E55:E56)</f>
        <v/>
      </c>
      <c r="F54" s="530">
        <f>+SUM(F55:F56)</f>
        <v/>
      </c>
      <c r="G54" s="531">
        <f>+SUM(G55:G56)</f>
        <v/>
      </c>
    </row>
    <row r="55" ht="21" customHeight="1">
      <c r="A55" s="164" t="n">
        <v>1</v>
      </c>
      <c r="B55" s="165" t="inlineStr">
        <is>
          <t>EXPAT'S</t>
        </is>
      </c>
      <c r="C55" s="166" t="inlineStr">
        <is>
          <t>A</t>
        </is>
      </c>
      <c r="D55" s="165" t="inlineStr">
        <is>
          <t>LANDSCAPE SUPERVISOR</t>
        </is>
      </c>
      <c r="E55" s="536" t="n">
        <v>2</v>
      </c>
      <c r="F55" s="536" t="inlineStr">
        <is>
          <t>-</t>
        </is>
      </c>
      <c r="G55" s="535">
        <f>SUM(E55:F55)</f>
        <v/>
      </c>
    </row>
    <row r="56" ht="21" customHeight="1">
      <c r="A56" s="164">
        <f>+A55+1</f>
        <v/>
      </c>
      <c r="B56" s="165" t="inlineStr">
        <is>
          <t>EXPAT'S</t>
        </is>
      </c>
      <c r="C56" s="166" t="inlineStr">
        <is>
          <t>D</t>
        </is>
      </c>
      <c r="D56" s="165" t="inlineStr">
        <is>
          <t>GARDENER</t>
        </is>
      </c>
      <c r="E56" s="534" t="n">
        <v>20</v>
      </c>
      <c r="F56" s="534" t="inlineStr">
        <is>
          <t>-</t>
        </is>
      </c>
      <c r="G56" s="535">
        <f>SUM(E56:F56)</f>
        <v/>
      </c>
    </row>
    <row r="57" ht="18.75" customFormat="1" customHeight="1" s="163">
      <c r="A57" s="527" t="inlineStr">
        <is>
          <t>IRRIGATION SYSTEMS</t>
        </is>
      </c>
      <c r="B57" s="528" t="n"/>
      <c r="C57" s="529" t="n"/>
      <c r="D57" s="529" t="n"/>
      <c r="E57" s="530">
        <f>+SUM(E58)</f>
        <v/>
      </c>
      <c r="F57" s="530">
        <f>+SUM(F58)</f>
        <v/>
      </c>
      <c r="G57" s="531">
        <f>+SUM(G58)</f>
        <v/>
      </c>
    </row>
    <row r="58" ht="21" customHeight="1">
      <c r="A58" s="164" t="n">
        <v>1</v>
      </c>
      <c r="B58" s="165" t="inlineStr">
        <is>
          <t>EXPAT'S</t>
        </is>
      </c>
      <c r="C58" s="166" t="inlineStr">
        <is>
          <t>C</t>
        </is>
      </c>
      <c r="D58" s="165" t="inlineStr">
        <is>
          <t>IRRIGATION TECHNICIAN</t>
        </is>
      </c>
      <c r="E58" s="534" t="n">
        <v>2</v>
      </c>
      <c r="F58" s="534" t="inlineStr">
        <is>
          <t>-</t>
        </is>
      </c>
      <c r="G58" s="535">
        <f>SUM(E58:F58)</f>
        <v/>
      </c>
    </row>
    <row r="59" ht="18.75" customFormat="1" customHeight="1" s="163">
      <c r="A59" s="527" t="inlineStr">
        <is>
          <t>FIRE PROTECTION AND SAFETY SERVICES</t>
        </is>
      </c>
      <c r="B59" s="528" t="n"/>
      <c r="C59" s="529" t="n"/>
      <c r="D59" s="529" t="n"/>
      <c r="E59" s="530">
        <f>+SUM(E60:E63)</f>
        <v/>
      </c>
      <c r="F59" s="530">
        <f>+SUM(F60:F63)</f>
        <v/>
      </c>
      <c r="G59" s="531">
        <f>+SUM(G60:G63)</f>
        <v/>
      </c>
    </row>
    <row r="60" ht="21" customHeight="1">
      <c r="A60" s="164" t="n">
        <v>1</v>
      </c>
      <c r="B60" s="165" t="inlineStr">
        <is>
          <t>EXPAT'S</t>
        </is>
      </c>
      <c r="C60" s="166" t="inlineStr">
        <is>
          <t>B</t>
        </is>
      </c>
      <c r="D60" s="165" t="inlineStr">
        <is>
          <t>FIRE PROTECTION ENGINEER</t>
        </is>
      </c>
      <c r="E60" s="534" t="n">
        <v>2</v>
      </c>
      <c r="F60" s="534" t="inlineStr">
        <is>
          <t>-</t>
        </is>
      </c>
      <c r="G60" s="535" t="n">
        <v>1</v>
      </c>
    </row>
    <row r="61" ht="21" customHeight="1">
      <c r="A61" s="164">
        <f>+A60+1</f>
        <v/>
      </c>
      <c r="B61" s="165" t="inlineStr">
        <is>
          <t>EXPAT'S</t>
        </is>
      </c>
      <c r="C61" s="166" t="inlineStr">
        <is>
          <t>C</t>
        </is>
      </c>
      <c r="D61" s="165" t="inlineStr">
        <is>
          <t>SUPERVISOR FIRE ALARM</t>
        </is>
      </c>
      <c r="E61" s="534" t="n">
        <v>0</v>
      </c>
      <c r="F61" s="534" t="inlineStr">
        <is>
          <t>-</t>
        </is>
      </c>
      <c r="G61" s="535">
        <f>SUM(E61:F61)</f>
        <v/>
      </c>
    </row>
    <row r="62" ht="21" customHeight="1">
      <c r="A62" s="164">
        <f>+A61+1</f>
        <v/>
      </c>
      <c r="B62" s="165" t="inlineStr">
        <is>
          <t>EXPAT'S</t>
        </is>
      </c>
      <c r="C62" s="166" t="inlineStr">
        <is>
          <t>C</t>
        </is>
      </c>
      <c r="D62" s="165" t="inlineStr">
        <is>
          <t>FIRE FIGHTING TEAM LEADER</t>
        </is>
      </c>
      <c r="E62" s="534" t="n">
        <v>2</v>
      </c>
      <c r="F62" s="534" t="inlineStr">
        <is>
          <t>-</t>
        </is>
      </c>
      <c r="G62" s="535" t="n">
        <v>1</v>
      </c>
    </row>
    <row r="63" ht="21" customHeight="1">
      <c r="A63" s="164">
        <f>+A62+1</f>
        <v/>
      </c>
      <c r="B63" s="165" t="inlineStr">
        <is>
          <t>EXPAT'S</t>
        </is>
      </c>
      <c r="C63" s="166" t="inlineStr">
        <is>
          <t>C</t>
        </is>
      </c>
      <c r="D63" s="165" t="inlineStr">
        <is>
          <t>FIRE ALARM TECH</t>
        </is>
      </c>
      <c r="E63" s="534" t="n">
        <v>6</v>
      </c>
      <c r="F63" s="534" t="inlineStr">
        <is>
          <t>-</t>
        </is>
      </c>
      <c r="G63" s="535" t="n">
        <v>5</v>
      </c>
    </row>
    <row r="64" ht="18.75" customFormat="1" customHeight="1" s="163">
      <c r="A64" s="527" t="inlineStr">
        <is>
          <t>SECURITY SERVICES</t>
        </is>
      </c>
      <c r="B64" s="528" t="n"/>
      <c r="C64" s="529" t="n"/>
      <c r="D64" s="529" t="n"/>
      <c r="E64" s="530">
        <f>+SUM(E65:E69)</f>
        <v/>
      </c>
      <c r="F64" s="530">
        <f>+SUM(F65:F69)</f>
        <v/>
      </c>
      <c r="G64" s="531">
        <f>+SUM(G65:G69)</f>
        <v/>
      </c>
    </row>
    <row r="65" ht="21" customHeight="1">
      <c r="A65" s="164" t="n">
        <v>1</v>
      </c>
      <c r="B65" s="165" t="inlineStr">
        <is>
          <t>SAUDI'S</t>
        </is>
      </c>
      <c r="C65" s="166" t="inlineStr">
        <is>
          <t>A</t>
        </is>
      </c>
      <c r="D65" s="165" t="inlineStr">
        <is>
          <t>SECURITY MANAGER</t>
        </is>
      </c>
      <c r="E65" s="536" t="inlineStr">
        <is>
          <t>-</t>
        </is>
      </c>
      <c r="F65" s="536" t="n">
        <v>1</v>
      </c>
      <c r="G65" s="535" t="n">
        <v>0</v>
      </c>
    </row>
    <row r="66" ht="21" customHeight="1">
      <c r="A66" s="164">
        <f>+A65+1</f>
        <v/>
      </c>
      <c r="B66" s="165" t="inlineStr">
        <is>
          <t>SAUDI'S</t>
        </is>
      </c>
      <c r="C66" s="166" t="inlineStr">
        <is>
          <t>A</t>
        </is>
      </c>
      <c r="D66" s="165" t="inlineStr">
        <is>
          <t>SECURITY SUPERVISOR</t>
        </is>
      </c>
      <c r="E66" s="536" t="inlineStr">
        <is>
          <t>-</t>
        </is>
      </c>
      <c r="F66" s="536" t="n">
        <v>8</v>
      </c>
      <c r="G66" s="535" t="n">
        <v>3</v>
      </c>
    </row>
    <row r="67" ht="21" customHeight="1">
      <c r="A67" s="164">
        <f>+A66+1</f>
        <v/>
      </c>
      <c r="B67" s="165" t="inlineStr">
        <is>
          <t>SAUDI'S</t>
        </is>
      </c>
      <c r="C67" s="166" t="inlineStr">
        <is>
          <t>C</t>
        </is>
      </c>
      <c r="D67" s="165" t="inlineStr">
        <is>
          <t xml:space="preserve">SECURITY ADMIN </t>
        </is>
      </c>
      <c r="E67" s="534" t="inlineStr">
        <is>
          <t>-</t>
        </is>
      </c>
      <c r="F67" s="534" t="n">
        <v>8</v>
      </c>
      <c r="G67" s="535" t="n">
        <v>3</v>
      </c>
    </row>
    <row r="68" ht="21" customHeight="1">
      <c r="A68" s="164">
        <f>+A67+1</f>
        <v/>
      </c>
      <c r="B68" s="165" t="inlineStr">
        <is>
          <t>SAUDI'S</t>
        </is>
      </c>
      <c r="C68" s="166" t="inlineStr">
        <is>
          <t>C</t>
        </is>
      </c>
      <c r="D68" s="165" t="inlineStr">
        <is>
          <t>MANNED SECURITY WATCHMAN/GUARDS</t>
        </is>
      </c>
      <c r="E68" s="534" t="inlineStr">
        <is>
          <t>-</t>
        </is>
      </c>
      <c r="F68" s="534" t="n">
        <v>60</v>
      </c>
      <c r="G68" s="535" t="n">
        <v>35</v>
      </c>
    </row>
    <row r="69" ht="21" customHeight="1">
      <c r="A69" s="164">
        <f>+A68+1</f>
        <v/>
      </c>
      <c r="B69" s="165" t="inlineStr">
        <is>
          <t>SAUDI'S</t>
        </is>
      </c>
      <c r="C69" s="166" t="inlineStr">
        <is>
          <t>D</t>
        </is>
      </c>
      <c r="D69" s="165" t="inlineStr">
        <is>
          <t>MANNED SECURITY PATROLS</t>
        </is>
      </c>
      <c r="E69" s="534" t="inlineStr">
        <is>
          <t>-</t>
        </is>
      </c>
      <c r="F69" s="534" t="n">
        <v>8</v>
      </c>
      <c r="G69" s="535" t="n">
        <v>0</v>
      </c>
    </row>
    <row r="70" ht="18.75" customFormat="1" customHeight="1" s="163">
      <c r="A70" s="527" t="inlineStr">
        <is>
          <t xml:space="preserve">RECREATION SERVICES  </t>
        </is>
      </c>
      <c r="B70" s="528" t="n"/>
      <c r="C70" s="529" t="n"/>
      <c r="D70" s="529" t="n"/>
      <c r="E70" s="530">
        <f>+SUM(E71:E72)</f>
        <v/>
      </c>
      <c r="F70" s="530">
        <f>+SUM(F71:F72)</f>
        <v/>
      </c>
      <c r="G70" s="531">
        <f>+SUM(G71:G72)</f>
        <v/>
      </c>
    </row>
    <row r="71" ht="21" customHeight="1">
      <c r="A71" s="164" t="n">
        <v>1</v>
      </c>
      <c r="B71" s="165" t="inlineStr">
        <is>
          <t>EXPAT'S</t>
        </is>
      </c>
      <c r="C71" s="166" t="inlineStr">
        <is>
          <t>B</t>
        </is>
      </c>
      <c r="D71" s="165" t="inlineStr">
        <is>
          <t xml:space="preserve">RECREATION INCHARGE </t>
        </is>
      </c>
      <c r="E71" s="536" t="n">
        <v>1</v>
      </c>
      <c r="F71" s="536" t="inlineStr">
        <is>
          <t>-</t>
        </is>
      </c>
      <c r="G71" s="535">
        <f>SUM(E71:F71)</f>
        <v/>
      </c>
    </row>
    <row r="72" ht="21" customHeight="1">
      <c r="A72" s="164">
        <f>+A71+1</f>
        <v/>
      </c>
      <c r="B72" s="165" t="inlineStr">
        <is>
          <t>EXPAT'S</t>
        </is>
      </c>
      <c r="C72" s="166" t="inlineStr">
        <is>
          <t>C</t>
        </is>
      </c>
      <c r="D72" s="165" t="inlineStr">
        <is>
          <t xml:space="preserve">RECREATION COORDINATOR </t>
        </is>
      </c>
      <c r="E72" s="536" t="n">
        <v>1</v>
      </c>
      <c r="F72" s="536" t="inlineStr">
        <is>
          <t>-</t>
        </is>
      </c>
      <c r="G72" s="535">
        <f>SUM(E72:F72)</f>
        <v/>
      </c>
    </row>
    <row r="73" ht="18.75" customFormat="1" customHeight="1" s="163">
      <c r="A73" s="527" t="inlineStr">
        <is>
          <t>CAMP MANAGEMENT</t>
        </is>
      </c>
      <c r="B73" s="528" t="n"/>
      <c r="C73" s="529" t="n"/>
      <c r="D73" s="529" t="n"/>
      <c r="E73" s="530">
        <f>+SUM(E74:E89)</f>
        <v/>
      </c>
      <c r="F73" s="530">
        <f>+SUM(F74:F89)</f>
        <v/>
      </c>
      <c r="G73" s="531">
        <f>+SUM(G74:G89)</f>
        <v/>
      </c>
    </row>
    <row r="74" ht="21" customHeight="1">
      <c r="A74" s="164" t="n">
        <v>1</v>
      </c>
      <c r="B74" s="165" t="inlineStr">
        <is>
          <t>S.EXPATS</t>
        </is>
      </c>
      <c r="C74" s="166" t="inlineStr">
        <is>
          <t>A</t>
        </is>
      </c>
      <c r="D74" s="167" t="inlineStr">
        <is>
          <t>FACILITY MANAGER</t>
        </is>
      </c>
      <c r="E74" s="534" t="n">
        <v>1</v>
      </c>
      <c r="F74" s="534" t="inlineStr">
        <is>
          <t>-</t>
        </is>
      </c>
      <c r="G74" s="535" t="n">
        <v>0</v>
      </c>
    </row>
    <row r="75" ht="21" customHeight="1">
      <c r="A75" s="164">
        <f>+A74+1</f>
        <v/>
      </c>
      <c r="B75" s="165" t="inlineStr">
        <is>
          <t>S.EXPATS</t>
        </is>
      </c>
      <c r="C75" s="166" t="inlineStr">
        <is>
          <t>A</t>
        </is>
      </c>
      <c r="D75" s="167" t="inlineStr">
        <is>
          <t>HARD SERVICES MANAGERS</t>
        </is>
      </c>
      <c r="E75" s="534" t="n">
        <v>1</v>
      </c>
      <c r="F75" s="534" t="inlineStr">
        <is>
          <t>-</t>
        </is>
      </c>
      <c r="G75" s="535">
        <f>SUM(E75:F75)</f>
        <v/>
      </c>
    </row>
    <row r="76" ht="21" customHeight="1">
      <c r="A76" s="164">
        <f>+A75+1</f>
        <v/>
      </c>
      <c r="B76" s="165" t="inlineStr">
        <is>
          <t>EXPAT'S</t>
        </is>
      </c>
      <c r="C76" s="166" t="inlineStr">
        <is>
          <t>A</t>
        </is>
      </c>
      <c r="D76" s="167" t="inlineStr">
        <is>
          <t>SOFT SERVICES MANAGERS</t>
        </is>
      </c>
      <c r="E76" s="534" t="n">
        <v>1</v>
      </c>
      <c r="F76" s="534" t="inlineStr">
        <is>
          <t>-</t>
        </is>
      </c>
      <c r="G76" s="535">
        <f>SUM(E76:F76)</f>
        <v/>
      </c>
    </row>
    <row r="77" ht="21" customHeight="1">
      <c r="A77" s="164">
        <f>+A76+1</f>
        <v/>
      </c>
      <c r="B77" s="165" t="inlineStr">
        <is>
          <t>S.EXPATS</t>
        </is>
      </c>
      <c r="C77" s="166" t="inlineStr">
        <is>
          <t>A</t>
        </is>
      </c>
      <c r="D77" s="167" t="inlineStr">
        <is>
          <t xml:space="preserve">OFFICE MANAGER/HR MANAGER </t>
        </is>
      </c>
      <c r="E77" s="534" t="n">
        <v>1</v>
      </c>
      <c r="F77" s="534" t="inlineStr">
        <is>
          <t>-</t>
        </is>
      </c>
      <c r="G77" s="535">
        <f>SUM(E77:F77)</f>
        <v/>
      </c>
    </row>
    <row r="78" ht="21" customHeight="1">
      <c r="A78" s="164">
        <f>+A77+1</f>
        <v/>
      </c>
      <c r="B78" s="165" t="inlineStr">
        <is>
          <t>EXPAT'S</t>
        </is>
      </c>
      <c r="C78" s="166" t="inlineStr">
        <is>
          <t>C</t>
        </is>
      </c>
      <c r="D78" s="167" t="inlineStr">
        <is>
          <t>HARD SERVICE COORDINATORS</t>
        </is>
      </c>
      <c r="E78" s="534" t="n">
        <v>1</v>
      </c>
      <c r="F78" s="534" t="inlineStr">
        <is>
          <t>-</t>
        </is>
      </c>
      <c r="G78" s="535">
        <f>SUM(E78:F78)</f>
        <v/>
      </c>
    </row>
    <row r="79" ht="21" customHeight="1">
      <c r="A79" s="164">
        <f>+A78+1</f>
        <v/>
      </c>
      <c r="B79" s="165" t="inlineStr">
        <is>
          <t>EXPAT'S</t>
        </is>
      </c>
      <c r="C79" s="166" t="inlineStr">
        <is>
          <t>D</t>
        </is>
      </c>
      <c r="D79" s="167" t="inlineStr">
        <is>
          <t>SOFT SERVICE COORDINATORS</t>
        </is>
      </c>
      <c r="E79" s="534" t="n">
        <v>1</v>
      </c>
      <c r="F79" s="534" t="inlineStr">
        <is>
          <t>-</t>
        </is>
      </c>
      <c r="G79" s="535">
        <f>SUM(E79:F79)</f>
        <v/>
      </c>
    </row>
    <row r="80" ht="21" customHeight="1">
      <c r="A80" s="164">
        <f>+A79+1</f>
        <v/>
      </c>
      <c r="B80" s="165" t="inlineStr">
        <is>
          <t>EXPAT'S</t>
        </is>
      </c>
      <c r="C80" s="166" t="inlineStr">
        <is>
          <t>A</t>
        </is>
      </c>
      <c r="D80" s="167" t="inlineStr">
        <is>
          <t>ADMINISTRATORS</t>
        </is>
      </c>
      <c r="E80" s="534" t="n">
        <v>2</v>
      </c>
      <c r="F80" s="534" t="inlineStr">
        <is>
          <t>-</t>
        </is>
      </c>
      <c r="G80" s="535">
        <f>SUM(E80:F80)</f>
        <v/>
      </c>
    </row>
    <row r="81" ht="21" customHeight="1">
      <c r="A81" s="164">
        <f>+A80+1</f>
        <v/>
      </c>
      <c r="B81" s="165" t="inlineStr">
        <is>
          <t>SAUDI'S</t>
        </is>
      </c>
      <c r="C81" s="166" t="inlineStr">
        <is>
          <t>A</t>
        </is>
      </c>
      <c r="D81" s="167" t="inlineStr">
        <is>
          <t xml:space="preserve">IMAM FOR MOSQUE </t>
        </is>
      </c>
      <c r="E81" s="534" t="n">
        <v>1</v>
      </c>
      <c r="F81" s="534" t="n">
        <v>1</v>
      </c>
      <c r="G81" s="535">
        <f>SUM(E81:F81)</f>
        <v/>
      </c>
    </row>
    <row r="82" ht="21" customHeight="1">
      <c r="A82" s="164">
        <f>+A81+1</f>
        <v/>
      </c>
      <c r="B82" s="165" t="inlineStr">
        <is>
          <t>EXPAT'S</t>
        </is>
      </c>
      <c r="C82" s="166" t="inlineStr">
        <is>
          <t>C</t>
        </is>
      </c>
      <c r="D82" s="167" t="inlineStr">
        <is>
          <t>WARE HOUSE INCHARGE</t>
        </is>
      </c>
      <c r="E82" s="534" t="n">
        <v>1</v>
      </c>
      <c r="F82" s="534" t="inlineStr">
        <is>
          <t>-</t>
        </is>
      </c>
      <c r="G82" s="535">
        <f>SUM(E82:F82)</f>
        <v/>
      </c>
    </row>
    <row r="83" ht="21" customHeight="1">
      <c r="A83" s="164">
        <f>+A82+1</f>
        <v/>
      </c>
      <c r="B83" s="165" t="inlineStr">
        <is>
          <t>EXPAT'S</t>
        </is>
      </c>
      <c r="C83" s="166" t="inlineStr">
        <is>
          <t>C</t>
        </is>
      </c>
      <c r="D83" s="167" t="inlineStr">
        <is>
          <t>CAFM/HELP DESK OPERATOR</t>
        </is>
      </c>
      <c r="E83" s="534" t="n">
        <v>3</v>
      </c>
      <c r="F83" s="534" t="inlineStr">
        <is>
          <t>-</t>
        </is>
      </c>
      <c r="G83" s="535">
        <f>SUM(E83:F83)</f>
        <v/>
      </c>
    </row>
    <row r="84" ht="21" customHeight="1">
      <c r="A84" s="164">
        <f>+A83+1</f>
        <v/>
      </c>
      <c r="B84" s="165" t="inlineStr">
        <is>
          <t>EXPAT'S</t>
        </is>
      </c>
      <c r="C84" s="166" t="inlineStr">
        <is>
          <t>B</t>
        </is>
      </c>
      <c r="D84" s="167" t="inlineStr">
        <is>
          <t>ACCOMODATION INCHARGE</t>
        </is>
      </c>
      <c r="E84" s="534" t="n">
        <v>1</v>
      </c>
      <c r="F84" s="534" t="inlineStr">
        <is>
          <t>-</t>
        </is>
      </c>
      <c r="G84" s="535">
        <f>SUM(E84:F84)</f>
        <v/>
      </c>
    </row>
    <row r="85" ht="21" customHeight="1">
      <c r="A85" s="164">
        <f>+A84+1</f>
        <v/>
      </c>
      <c r="B85" s="165" t="inlineStr">
        <is>
          <t>EXPAT'S</t>
        </is>
      </c>
      <c r="C85" s="166" t="inlineStr">
        <is>
          <t>B</t>
        </is>
      </c>
      <c r="D85" s="167" t="inlineStr">
        <is>
          <t xml:space="preserve">ID ISSUING INCHARGE </t>
        </is>
      </c>
      <c r="E85" s="534" t="n">
        <v>2</v>
      </c>
      <c r="F85" s="534" t="inlineStr">
        <is>
          <t>-</t>
        </is>
      </c>
      <c r="G85" s="535">
        <f>SUM(E85:F85)</f>
        <v/>
      </c>
    </row>
    <row r="86" ht="21" customHeight="1">
      <c r="A86" s="164">
        <f>+A85+1</f>
        <v/>
      </c>
      <c r="B86" s="165" t="inlineStr">
        <is>
          <t>EXPAT'S</t>
        </is>
      </c>
      <c r="C86" s="166" t="inlineStr">
        <is>
          <t>B</t>
        </is>
      </c>
      <c r="D86" s="167" t="inlineStr">
        <is>
          <t xml:space="preserve">ACCOMODATION ADMIN </t>
        </is>
      </c>
      <c r="E86" s="534" t="n">
        <v>4</v>
      </c>
      <c r="F86" s="534" t="inlineStr">
        <is>
          <t>-</t>
        </is>
      </c>
      <c r="G86" s="535">
        <f>SUM(E86:F86)</f>
        <v/>
      </c>
    </row>
    <row r="87" ht="21" customHeight="1">
      <c r="A87" s="164">
        <f>+A86+1</f>
        <v/>
      </c>
      <c r="B87" s="165" t="inlineStr">
        <is>
          <t>EXPAT'S</t>
        </is>
      </c>
      <c r="C87" s="166" t="inlineStr">
        <is>
          <t>C</t>
        </is>
      </c>
      <c r="D87" s="167" t="inlineStr">
        <is>
          <t xml:space="preserve">KEY CUSTODIAN </t>
        </is>
      </c>
      <c r="E87" s="534" t="n">
        <v>2</v>
      </c>
      <c r="F87" s="534" t="inlineStr">
        <is>
          <t>-</t>
        </is>
      </c>
      <c r="G87" s="535">
        <f>SUM(E87:F87)</f>
        <v/>
      </c>
    </row>
    <row r="88" ht="21" customHeight="1">
      <c r="A88" s="164">
        <f>+A87+1</f>
        <v/>
      </c>
      <c r="B88" s="165" t="inlineStr">
        <is>
          <t>EXPAT'S</t>
        </is>
      </c>
      <c r="C88" s="166" t="inlineStr">
        <is>
          <t>C</t>
        </is>
      </c>
      <c r="D88" s="167" t="inlineStr">
        <is>
          <t>DOCUMENT CONTROLLER</t>
        </is>
      </c>
      <c r="E88" s="534" t="n">
        <v>2</v>
      </c>
      <c r="F88" s="534" t="inlineStr">
        <is>
          <t>-</t>
        </is>
      </c>
      <c r="G88" s="535" t="n">
        <v>1</v>
      </c>
    </row>
    <row r="89" ht="21" customHeight="1">
      <c r="A89" s="164">
        <f>+A88+1</f>
        <v/>
      </c>
      <c r="B89" s="165" t="inlineStr">
        <is>
          <t>EXPAT'S</t>
        </is>
      </c>
      <c r="C89" s="166" t="inlineStr">
        <is>
          <t>B</t>
        </is>
      </c>
      <c r="D89" s="167" t="inlineStr">
        <is>
          <t>PROCUREMENT OFFICER</t>
        </is>
      </c>
      <c r="E89" s="534" t="n">
        <v>1</v>
      </c>
      <c r="F89" s="534" t="inlineStr">
        <is>
          <t>-</t>
        </is>
      </c>
      <c r="G89" s="535">
        <f>SUM(E89:F89)</f>
        <v/>
      </c>
    </row>
    <row r="90" ht="18.75" customFormat="1" customHeight="1" s="163">
      <c r="A90" s="527" t="inlineStr">
        <is>
          <t>GOVERNMENT LIAISON SERVICES</t>
        </is>
      </c>
      <c r="B90" s="528" t="n"/>
      <c r="C90" s="529" t="n"/>
      <c r="D90" s="529" t="n"/>
      <c r="E90" s="530">
        <f>+SUM(E91)</f>
        <v/>
      </c>
      <c r="F90" s="530">
        <f>+SUM(F91)</f>
        <v/>
      </c>
      <c r="G90" s="531">
        <f>+SUM(G91)</f>
        <v/>
      </c>
    </row>
    <row r="91" ht="21" customHeight="1">
      <c r="A91" s="164" t="n">
        <v>1</v>
      </c>
      <c r="B91" s="165" t="inlineStr">
        <is>
          <t>SAUDI'S</t>
        </is>
      </c>
      <c r="C91" s="166" t="inlineStr">
        <is>
          <t>B</t>
        </is>
      </c>
      <c r="D91" s="167" t="inlineStr">
        <is>
          <t>RELATIONSHIP OFFICER</t>
        </is>
      </c>
      <c r="E91" s="534" t="inlineStr">
        <is>
          <t>-</t>
        </is>
      </c>
      <c r="F91" s="534" t="n">
        <v>1</v>
      </c>
      <c r="G91" s="535">
        <f>SUM(E91:F91)</f>
        <v/>
      </c>
    </row>
    <row r="92" ht="18.75" customFormat="1" customHeight="1" s="163">
      <c r="A92" s="527" t="inlineStr">
        <is>
          <t>HOUSEKEEPING &amp; JANITORIAL SERVICES</t>
        </is>
      </c>
      <c r="B92" s="528" t="n"/>
      <c r="C92" s="529" t="n"/>
      <c r="D92" s="529" t="n"/>
      <c r="E92" s="530">
        <f>+SUM(E93:E101)</f>
        <v/>
      </c>
      <c r="F92" s="530">
        <f>+SUM(F93:F101)</f>
        <v/>
      </c>
      <c r="G92" s="531">
        <f>+SUM(G93:G101)</f>
        <v/>
      </c>
    </row>
    <row r="93" ht="21" customHeight="1">
      <c r="A93" s="164" t="n">
        <v>1</v>
      </c>
      <c r="B93" s="165" t="inlineStr">
        <is>
          <t>EXPAT'S</t>
        </is>
      </c>
      <c r="C93" s="166" t="inlineStr">
        <is>
          <t>C</t>
        </is>
      </c>
      <c r="D93" s="165" t="inlineStr">
        <is>
          <t>CLEANING SUPERVISOR</t>
        </is>
      </c>
      <c r="E93" s="534" t="n">
        <v>12</v>
      </c>
      <c r="F93" s="534" t="inlineStr">
        <is>
          <t>-</t>
        </is>
      </c>
      <c r="G93" s="535" t="n">
        <v>10</v>
      </c>
    </row>
    <row r="94" ht="21" customHeight="1">
      <c r="A94" s="164">
        <f>+A93+1</f>
        <v/>
      </c>
      <c r="B94" s="165" t="inlineStr">
        <is>
          <t>EXPAT'S</t>
        </is>
      </c>
      <c r="C94" s="166" t="inlineStr">
        <is>
          <t>C</t>
        </is>
      </c>
      <c r="D94" s="165" t="inlineStr">
        <is>
          <t xml:space="preserve">HOUSEKEEPRS -MALE </t>
        </is>
      </c>
      <c r="E94" s="534" t="n">
        <v>92</v>
      </c>
      <c r="F94" s="534" t="inlineStr">
        <is>
          <t>-</t>
        </is>
      </c>
      <c r="G94" s="535">
        <f>SUM(E94:F94)</f>
        <v/>
      </c>
    </row>
    <row r="95" ht="21" customHeight="1">
      <c r="A95" s="164">
        <f>+A94+1</f>
        <v/>
      </c>
      <c r="B95" s="165" t="inlineStr">
        <is>
          <t>EXPAT'S</t>
        </is>
      </c>
      <c r="C95" s="166" t="inlineStr">
        <is>
          <t>C</t>
        </is>
      </c>
      <c r="D95" s="165" t="inlineStr">
        <is>
          <t xml:space="preserve">CLEANERS-MALE </t>
        </is>
      </c>
      <c r="E95" s="534" t="n">
        <v>16</v>
      </c>
      <c r="F95" s="534" t="inlineStr">
        <is>
          <t>-</t>
        </is>
      </c>
      <c r="G95" s="535">
        <f>SUM(E95:F95)</f>
        <v/>
      </c>
    </row>
    <row r="96" ht="21" customHeight="1">
      <c r="A96" s="164">
        <f>+A95+1</f>
        <v/>
      </c>
      <c r="B96" s="165" t="inlineStr">
        <is>
          <t>EXPAT'S</t>
        </is>
      </c>
      <c r="C96" s="166" t="inlineStr">
        <is>
          <t>C</t>
        </is>
      </c>
      <c r="D96" s="165" t="inlineStr">
        <is>
          <t>TEA BOY FM OPERATION OFFICE</t>
        </is>
      </c>
      <c r="E96" s="534" t="n">
        <v>2</v>
      </c>
      <c r="F96" s="534" t="inlineStr">
        <is>
          <t>-</t>
        </is>
      </c>
      <c r="G96" s="535">
        <f>SUM(E96:F96)</f>
        <v/>
      </c>
    </row>
    <row r="97" ht="21" customHeight="1">
      <c r="A97" s="164">
        <f>+A96+1</f>
        <v/>
      </c>
      <c r="B97" s="165" t="inlineStr">
        <is>
          <t>EXPAT'S</t>
        </is>
      </c>
      <c r="C97" s="166" t="inlineStr">
        <is>
          <t>C</t>
        </is>
      </c>
      <c r="D97" s="165" t="inlineStr">
        <is>
          <t xml:space="preserve">TEAM LEADER MESS HALL </t>
        </is>
      </c>
      <c r="E97" s="534" t="n">
        <v>2</v>
      </c>
      <c r="F97" s="534" t="inlineStr">
        <is>
          <t>-</t>
        </is>
      </c>
      <c r="G97" s="535" t="n">
        <v>0</v>
      </c>
    </row>
    <row r="98" ht="21" customHeight="1">
      <c r="A98" s="164">
        <f>+A97+1</f>
        <v/>
      </c>
      <c r="B98" s="165" t="inlineStr">
        <is>
          <t>EXPAT'S</t>
        </is>
      </c>
      <c r="C98" s="166" t="inlineStr">
        <is>
          <t>C</t>
        </is>
      </c>
      <c r="D98" s="165" t="inlineStr">
        <is>
          <t>LITTER PICKER SUPERVISOR</t>
        </is>
      </c>
      <c r="E98" s="534" t="n">
        <v>2</v>
      </c>
      <c r="F98" s="534" t="inlineStr">
        <is>
          <t>-</t>
        </is>
      </c>
      <c r="G98" s="535" t="n">
        <v>0</v>
      </c>
    </row>
    <row r="99" ht="21" customHeight="1">
      <c r="A99" s="164">
        <f>+A98+1</f>
        <v/>
      </c>
      <c r="B99" s="165" t="inlineStr">
        <is>
          <t>EXPAT'S</t>
        </is>
      </c>
      <c r="C99" s="166" t="inlineStr">
        <is>
          <t>C</t>
        </is>
      </c>
      <c r="D99" s="165" t="inlineStr">
        <is>
          <t xml:space="preserve">LITTER PICKER </t>
        </is>
      </c>
      <c r="E99" s="534" t="n">
        <v>10</v>
      </c>
      <c r="F99" s="534" t="inlineStr">
        <is>
          <t>-</t>
        </is>
      </c>
      <c r="G99" s="535" t="n">
        <v>10</v>
      </c>
    </row>
    <row r="100" ht="21" customHeight="1">
      <c r="A100" s="164">
        <f>+A99+1</f>
        <v/>
      </c>
      <c r="B100" s="165" t="inlineStr">
        <is>
          <t>EXPAT'S</t>
        </is>
      </c>
      <c r="C100" s="166" t="inlineStr">
        <is>
          <t>C</t>
        </is>
      </c>
      <c r="D100" s="165" t="inlineStr">
        <is>
          <t>ROAD SWEEPER DRIVER</t>
        </is>
      </c>
      <c r="E100" s="534" t="n">
        <v>1</v>
      </c>
      <c r="F100" s="534" t="inlineStr">
        <is>
          <t>-</t>
        </is>
      </c>
      <c r="G100" s="535">
        <f>SUM(E100:F100)</f>
        <v/>
      </c>
    </row>
    <row r="101" ht="21" customHeight="1">
      <c r="A101" s="164">
        <f>+A100+1</f>
        <v/>
      </c>
      <c r="B101" s="165" t="inlineStr">
        <is>
          <t>EXPAT'S</t>
        </is>
      </c>
      <c r="C101" s="166" t="inlineStr">
        <is>
          <t>C</t>
        </is>
      </c>
      <c r="D101" s="165" t="inlineStr">
        <is>
          <t>BARBER</t>
        </is>
      </c>
      <c r="E101" s="534" t="n">
        <v>4</v>
      </c>
      <c r="F101" s="534" t="inlineStr">
        <is>
          <t>-</t>
        </is>
      </c>
      <c r="G101" s="535">
        <f>SUM(E101:F101)</f>
        <v/>
      </c>
    </row>
    <row r="102" ht="18.75" customFormat="1" customHeight="1" s="163">
      <c r="A102" s="527" t="inlineStr">
        <is>
          <t>LAUNDRY SERVICES</t>
        </is>
      </c>
      <c r="B102" s="528" t="n"/>
      <c r="C102" s="529" t="n"/>
      <c r="D102" s="529" t="n"/>
      <c r="E102" s="530">
        <f>+SUM(E103:E106)</f>
        <v/>
      </c>
      <c r="F102" s="530">
        <f>+SUM(F103:F106)</f>
        <v/>
      </c>
      <c r="G102" s="531">
        <f>+SUM(G103:G106)</f>
        <v/>
      </c>
    </row>
    <row r="103" ht="21" customHeight="1">
      <c r="A103" s="164" t="n">
        <v>1</v>
      </c>
      <c r="B103" s="165" t="inlineStr">
        <is>
          <t>EXPAT'S</t>
        </is>
      </c>
      <c r="C103" s="166" t="inlineStr">
        <is>
          <t>A</t>
        </is>
      </c>
      <c r="D103" s="165" t="inlineStr">
        <is>
          <t>LAUNDRY SUPERVISOR</t>
        </is>
      </c>
      <c r="E103" s="534" t="n">
        <v>2</v>
      </c>
      <c r="F103" s="534" t="inlineStr">
        <is>
          <t>-</t>
        </is>
      </c>
      <c r="G103" s="535">
        <f>SUM(E103:F103)</f>
        <v/>
      </c>
    </row>
    <row r="104" ht="21" customHeight="1">
      <c r="A104" s="164">
        <f>+A103+1</f>
        <v/>
      </c>
      <c r="B104" s="165" t="inlineStr">
        <is>
          <t>EXPAT'S</t>
        </is>
      </c>
      <c r="C104" s="166" t="inlineStr">
        <is>
          <t>C</t>
        </is>
      </c>
      <c r="D104" s="165" t="inlineStr">
        <is>
          <t>LAUNDRY TEAM LEADER</t>
        </is>
      </c>
      <c r="E104" s="534" t="n">
        <v>2</v>
      </c>
      <c r="F104" s="534" t="inlineStr">
        <is>
          <t>-</t>
        </is>
      </c>
      <c r="G104" s="535">
        <f>SUM(E104:F104)</f>
        <v/>
      </c>
    </row>
    <row r="105" ht="21" customHeight="1">
      <c r="A105" s="164">
        <f>+A104+1</f>
        <v/>
      </c>
      <c r="B105" s="165" t="inlineStr">
        <is>
          <t>EXPAT'S</t>
        </is>
      </c>
      <c r="C105" s="166" t="inlineStr">
        <is>
          <t>C</t>
        </is>
      </c>
      <c r="D105" s="165" t="inlineStr">
        <is>
          <t>LAUNDRY OPERATIVES</t>
        </is>
      </c>
      <c r="E105" s="534" t="n">
        <v>36</v>
      </c>
      <c r="F105" s="534" t="inlineStr">
        <is>
          <t>-</t>
        </is>
      </c>
      <c r="G105" s="535">
        <f>SUM(E105:F105)</f>
        <v/>
      </c>
    </row>
    <row r="106" ht="21" customHeight="1">
      <c r="A106" s="164">
        <f>+A105+1</f>
        <v/>
      </c>
      <c r="B106" s="165" t="inlineStr">
        <is>
          <t>EXPAT'S</t>
        </is>
      </c>
      <c r="C106" s="166" t="inlineStr">
        <is>
          <t>C</t>
        </is>
      </c>
      <c r="D106" s="165" t="inlineStr">
        <is>
          <t xml:space="preserve">LAUNDRY VEHCILE DRIVER </t>
        </is>
      </c>
      <c r="E106" s="534" t="n">
        <v>2</v>
      </c>
      <c r="F106" s="534" t="inlineStr">
        <is>
          <t>-</t>
        </is>
      </c>
      <c r="G106" s="535" t="n">
        <v>0</v>
      </c>
    </row>
    <row r="107" ht="17.25" customHeight="1">
      <c r="A107" s="172" t="n"/>
      <c r="B107" s="172" t="n"/>
      <c r="C107" s="173" t="n"/>
      <c r="D107" s="172" t="n"/>
      <c r="E107" s="541">
        <f>+E4+E12+E17+E20+E24+E26+E30+E48+E51+E54+E57+E59+E64+E70+E73+E90+E92+E102</f>
        <v/>
      </c>
      <c r="F107" s="541">
        <f>+F4+F12+F17+F20+F24+F26+F30+F48+F51+F54+F57+F59+F64+F70+F73+F90+F92+F102</f>
        <v/>
      </c>
      <c r="G107" s="577">
        <f>+G4+G12+G17+G20+G24+G26+G30+G48+G51+G54+G57+G59+G64+G70+G73+G90+G92+G102</f>
        <v/>
      </c>
    </row>
    <row r="111" ht="15" customHeight="1">
      <c r="G111" s="176" t="n"/>
    </row>
    <row r="112" ht="15" customFormat="1" customHeight="1" s="520">
      <c r="C112" s="543" t="n"/>
      <c r="G112" s="176" t="n"/>
    </row>
    <row r="113" ht="15" customFormat="1" customHeight="1" s="520">
      <c r="C113" s="543" t="n"/>
    </row>
    <row r="114" ht="15" customFormat="1" customHeight="1" s="520">
      <c r="C114" s="543" t="n"/>
    </row>
    <row r="115" ht="15" customFormat="1" customHeight="1" s="520">
      <c r="C115" s="543" t="n"/>
    </row>
    <row r="116" ht="15" customFormat="1" customHeight="1" s="520">
      <c r="C116" s="543" t="n"/>
    </row>
    <row r="117" ht="15" customFormat="1" customHeight="1" s="520">
      <c r="C117" s="543" t="n"/>
    </row>
    <row r="120" ht="15" customFormat="1" customHeight="1" s="520">
      <c r="C120" s="543" t="n"/>
    </row>
    <row r="121" ht="15" customFormat="1" customHeight="1" s="520">
      <c r="C121" s="543" t="n"/>
    </row>
    <row r="122" ht="15" customFormat="1" customHeight="1" s="520">
      <c r="C122" s="543" t="n"/>
    </row>
    <row r="123" ht="15" customFormat="1" customHeight="1" s="520">
      <c r="C123" s="543" t="n"/>
    </row>
    <row r="124" ht="15" customFormat="1" customHeight="1" s="520">
      <c r="C124" s="543" t="n"/>
    </row>
    <row r="125" ht="15" customFormat="1" customHeight="1" s="520">
      <c r="C125" s="543" t="n"/>
    </row>
    <row r="126" ht="15" customFormat="1" customHeight="1" s="520">
      <c r="C126" s="543" t="n"/>
    </row>
    <row r="127" ht="15" customFormat="1" customHeight="1" s="520">
      <c r="C127" s="543" t="n"/>
    </row>
    <row r="128" ht="15" customFormat="1" customHeight="1" s="520">
      <c r="C128" s="543" t="n"/>
    </row>
    <row r="129" ht="15" customFormat="1" customHeight="1" s="520">
      <c r="C129" s="543" t="n"/>
    </row>
    <row r="130" ht="15" customFormat="1" customHeight="1" s="520">
      <c r="C130" s="543" t="n"/>
    </row>
    <row r="132" ht="15" customFormat="1" customHeight="1" s="520">
      <c r="C132" s="543" t="n"/>
    </row>
    <row r="133" ht="15" customFormat="1" customHeight="1" s="520">
      <c r="C133" s="543" t="n"/>
    </row>
    <row r="134" ht="15" customFormat="1" customHeight="1" s="520">
      <c r="C134" s="543" t="n"/>
    </row>
    <row r="135" ht="15" customFormat="1" customHeight="1" s="520">
      <c r="C135" s="543" t="n"/>
    </row>
    <row r="136" ht="15" customFormat="1" customHeight="1" s="520">
      <c r="C136" s="543" t="n"/>
    </row>
    <row r="137" ht="15" customFormat="1" customHeight="1" s="520">
      <c r="C137" s="543" t="n"/>
    </row>
    <row r="138" ht="15" customFormat="1" customHeight="1" s="520">
      <c r="C138" s="543" t="n"/>
    </row>
    <row r="139" ht="15" customFormat="1" customHeight="1" s="520">
      <c r="C139" s="543" t="n"/>
    </row>
    <row r="140" ht="15" customFormat="1" customHeight="1" s="520">
      <c r="C140" s="543" t="n"/>
    </row>
    <row r="141" ht="15" customFormat="1" customHeight="1" s="520">
      <c r="C141" s="543" t="n"/>
    </row>
    <row r="142" ht="15" customFormat="1" customHeight="1" s="520">
      <c r="C142" s="543" t="n"/>
    </row>
    <row r="143" ht="15" customFormat="1" customHeight="1" s="520">
      <c r="C143" s="543" t="n"/>
    </row>
    <row r="145" ht="15" customFormat="1" customHeight="1" s="520">
      <c r="C145" s="543" t="n"/>
    </row>
    <row r="146" ht="15" customFormat="1" customHeight="1" s="520">
      <c r="C146" s="543" t="n"/>
    </row>
    <row r="147" ht="15" customFormat="1" customHeight="1" s="520">
      <c r="C147" s="543" t="n"/>
    </row>
    <row r="148" ht="15" customFormat="1" customHeight="1" s="520">
      <c r="C148" s="543" t="n"/>
    </row>
    <row r="149" ht="15" customFormat="1" customHeight="1" s="520">
      <c r="C149" s="543" t="n"/>
    </row>
    <row r="150" ht="15" customFormat="1" customHeight="1" s="520">
      <c r="C150" s="543" t="n"/>
    </row>
    <row r="151" ht="15" customFormat="1" customHeight="1" s="520">
      <c r="C151" s="543" t="n"/>
    </row>
    <row r="152" ht="15" customFormat="1" customHeight="1" s="520">
      <c r="C152" s="543" t="n"/>
    </row>
    <row r="153" ht="15" customFormat="1" customHeight="1" s="520">
      <c r="C153" s="543" t="n"/>
    </row>
    <row r="154" ht="15" customFormat="1" customHeight="1" s="520">
      <c r="C154" s="543" t="n"/>
    </row>
    <row r="155" ht="15" customFormat="1" customHeight="1" s="520">
      <c r="C155" s="543"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6" text="SAUDI'S">
      <formula>NOT(ISERROR(SEARCH("SAUDI'S",B4)))</formula>
    </cfRule>
  </conditionalFormatting>
  <conditionalFormatting sqref="D103:D106">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800"/>
  <sheetViews>
    <sheetView zoomScale="70" zoomScaleNormal="70" workbookViewId="0">
      <pane ySplit="3" topLeftCell="A605" activePane="bottomLeft" state="frozen"/>
      <selection pane="bottomLeft" activeCell="F615" sqref="F615"/>
    </sheetView>
  </sheetViews>
  <sheetFormatPr baseColWidth="8" defaultColWidth="9.375" defaultRowHeight="15.75"/>
  <cols>
    <col width="27.875" customWidth="1" style="178" min="1" max="1"/>
    <col width="14.75" customWidth="1" style="179" min="2" max="3"/>
    <col width="14.75" customWidth="1" style="180" min="4" max="4"/>
    <col width="39.375" customWidth="1" style="178" min="5" max="5"/>
    <col width="18.75" customWidth="1" style="178" min="6" max="6"/>
    <col width="14.75" customWidth="1" style="178" min="7" max="8"/>
    <col width="14.75" customWidth="1" style="179" min="9" max="9"/>
    <col width="15.125" customWidth="1" style="578" min="10" max="10"/>
    <col width="23.125" customWidth="1" style="179" min="11" max="11"/>
    <col width="35.375" customWidth="1" style="182" min="12" max="12"/>
    <col width="1" customWidth="1" style="178" min="13" max="13"/>
    <col width="29.375" customWidth="1" style="183" min="14" max="14"/>
    <col width="10.75" customWidth="1" style="183" min="15" max="16"/>
    <col width="1.25" customWidth="1" style="183" min="17" max="17"/>
    <col width="9.375" customWidth="1" style="183" min="18" max="16384"/>
  </cols>
  <sheetData>
    <row r="1" ht="74.25" customHeight="1">
      <c r="A1" s="450" t="inlineStr">
        <is>
          <t>ON-SITE WORKFORCE-UPPER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78" t="n"/>
      <c r="R1" s="178" t="n"/>
      <c r="S1" s="178" t="n"/>
      <c r="T1" s="178" t="n"/>
    </row>
    <row r="2" ht="0.75" customHeight="1">
      <c r="B2" s="178" t="n"/>
      <c r="C2" s="178" t="n"/>
      <c r="D2" s="178" t="n"/>
      <c r="I2" s="178" t="n"/>
      <c r="J2" s="579" t="n"/>
      <c r="K2" s="178" t="n"/>
      <c r="L2" s="178" t="n"/>
      <c r="N2" s="178" t="n"/>
      <c r="O2" s="178" t="n"/>
      <c r="P2" s="178" t="n"/>
      <c r="Q2" s="178" t="n"/>
      <c r="R2" s="178" t="n"/>
      <c r="S2" s="178" t="n"/>
      <c r="T2" s="178" t="n"/>
    </row>
    <row r="3" ht="26.25" customHeight="1">
      <c r="A3" s="185" t="inlineStr">
        <is>
          <t>Position</t>
        </is>
      </c>
      <c r="B3" s="12" t="inlineStr">
        <is>
          <t>Contractual Requirement</t>
        </is>
      </c>
      <c r="C3" s="12" t="inlineStr">
        <is>
          <t>On-Site Availability</t>
        </is>
      </c>
      <c r="D3" s="12" t="inlineStr">
        <is>
          <t>Vacant Position</t>
        </is>
      </c>
      <c r="E3" s="186" t="inlineStr">
        <is>
          <t>Emaployee Name</t>
        </is>
      </c>
      <c r="F3" s="14" t="inlineStr">
        <is>
          <t>Decipline</t>
        </is>
      </c>
      <c r="G3" s="15" t="inlineStr">
        <is>
          <t>ID</t>
        </is>
      </c>
      <c r="H3" s="14" t="inlineStr">
        <is>
          <t>Iqama</t>
        </is>
      </c>
      <c r="I3" s="15" t="inlineStr">
        <is>
          <t>Status</t>
        </is>
      </c>
      <c r="J3" s="550" t="inlineStr">
        <is>
          <t xml:space="preserve"> Deployement Date</t>
        </is>
      </c>
      <c r="K3" s="15" t="inlineStr">
        <is>
          <t>Sponsor</t>
        </is>
      </c>
      <c r="L3" s="15" t="inlineStr">
        <is>
          <t>Remarks/Notes</t>
        </is>
      </c>
      <c r="N3" s="446" t="inlineStr">
        <is>
          <t>Date</t>
        </is>
      </c>
      <c r="O3" s="419">
        <f>TODAY()</f>
        <v/>
      </c>
      <c r="P3" s="548" t="n"/>
      <c r="Q3" s="178" t="n"/>
      <c r="R3" s="178" t="n"/>
      <c r="S3" s="178" t="n"/>
      <c r="T3" s="178" t="n"/>
    </row>
    <row r="4" ht="15.75" customHeight="1">
      <c r="A4" s="430" t="inlineStr">
        <is>
          <t>Relationship Officer</t>
        </is>
      </c>
      <c r="B4" s="429" t="n">
        <v>1</v>
      </c>
      <c r="C4" s="426">
        <f>COUNTIF(E4,"&lt;&gt;")</f>
        <v/>
      </c>
      <c r="D4" s="443">
        <f>C4-B4</f>
        <v/>
      </c>
      <c r="E4" s="187" t="n"/>
      <c r="F4" s="188" t="inlineStr">
        <is>
          <t>Site Management</t>
        </is>
      </c>
      <c r="G4" s="445" t="inlineStr">
        <is>
          <t>-</t>
        </is>
      </c>
      <c r="H4" s="445" t="inlineStr">
        <is>
          <t>-</t>
        </is>
      </c>
      <c r="I4" s="446" t="inlineStr">
        <is>
          <t>Vacant</t>
        </is>
      </c>
      <c r="J4" s="552" t="n"/>
      <c r="K4" s="446" t="inlineStr">
        <is>
          <t>-</t>
        </is>
      </c>
      <c r="L4" s="446" t="inlineStr">
        <is>
          <t>-</t>
        </is>
      </c>
      <c r="N4" s="189" t="n"/>
      <c r="O4" s="27" t="n"/>
      <c r="P4" s="28" t="n"/>
      <c r="Q4" s="178" t="n"/>
      <c r="R4" s="178" t="n"/>
      <c r="S4" s="178" t="n"/>
      <c r="T4" s="178" t="n"/>
    </row>
    <row r="5" ht="15.75" customHeight="1">
      <c r="A5" s="451" t="inlineStr">
        <is>
          <t>Facility Manager</t>
        </is>
      </c>
      <c r="B5" s="425" t="n">
        <v>1</v>
      </c>
      <c r="C5" s="426">
        <f>COUNTIF(E5,"&lt;&gt;")</f>
        <v/>
      </c>
      <c r="D5" s="443">
        <f>C5-B5</f>
        <v/>
      </c>
      <c r="E5" s="445" t="inlineStr">
        <is>
          <t>Khaleel Shaik</t>
        </is>
      </c>
      <c r="F5" s="188" t="inlineStr">
        <is>
          <t>Site Management</t>
        </is>
      </c>
      <c r="G5" s="445" t="n">
        <v>702975</v>
      </c>
      <c r="H5" s="445" t="n">
        <v>2565258676</v>
      </c>
      <c r="I5" s="446" t="inlineStr">
        <is>
          <t>Approved</t>
        </is>
      </c>
      <c r="J5" s="551" t="n">
        <v>45985</v>
      </c>
      <c r="K5" s="446" t="inlineStr">
        <is>
          <t>FMCO</t>
        </is>
      </c>
      <c r="L5" s="446" t="inlineStr">
        <is>
          <t>-</t>
        </is>
      </c>
      <c r="N5" s="420" t="inlineStr">
        <is>
          <t>Approved</t>
        </is>
      </c>
      <c r="O5" s="420">
        <f>COUNTIF(I4:I519,"approved")</f>
        <v/>
      </c>
      <c r="P5" s="548" t="n"/>
      <c r="Q5" s="178" t="n"/>
      <c r="R5" s="178" t="n"/>
      <c r="S5" s="178" t="n"/>
      <c r="T5" s="178" t="n"/>
    </row>
    <row r="6" ht="15.75" customHeight="1">
      <c r="A6" s="451" t="inlineStr">
        <is>
          <t>Hard Service Manager</t>
        </is>
      </c>
      <c r="B6" s="425" t="n">
        <v>1</v>
      </c>
      <c r="C6" s="426">
        <f>COUNTIF(E6,"&lt;&gt;")</f>
        <v/>
      </c>
      <c r="D6" s="443">
        <f>C6-B6</f>
        <v/>
      </c>
      <c r="E6" s="445" t="inlineStr">
        <is>
          <t>Taimoor Ali</t>
        </is>
      </c>
      <c r="F6" s="192" t="inlineStr">
        <is>
          <t>Site Management</t>
        </is>
      </c>
      <c r="G6" s="193" t="inlineStr">
        <is>
          <t>-</t>
        </is>
      </c>
      <c r="H6" s="193" t="n">
        <v>2366128730</v>
      </c>
      <c r="I6" s="446" t="inlineStr">
        <is>
          <t>Approved</t>
        </is>
      </c>
      <c r="J6" s="551" t="n">
        <v>46208</v>
      </c>
      <c r="K6" s="446" t="inlineStr">
        <is>
          <t>AL-FALAK VISA</t>
        </is>
      </c>
      <c r="L6" s="446" t="inlineStr">
        <is>
          <t>-</t>
        </is>
      </c>
      <c r="N6" s="421" t="inlineStr">
        <is>
          <t>Rejected</t>
        </is>
      </c>
      <c r="O6" s="421">
        <f>COUNTIF(I4:I333,"Rejected")</f>
        <v/>
      </c>
      <c r="P6" s="548" t="n"/>
      <c r="Q6" s="178" t="n"/>
      <c r="R6" s="178" t="n"/>
      <c r="S6" s="178" t="n"/>
      <c r="T6" s="178" t="n"/>
    </row>
    <row r="7" ht="15.75" customHeight="1">
      <c r="A7" s="451" t="inlineStr">
        <is>
          <t>Soft Service Manager</t>
        </is>
      </c>
      <c r="B7" s="425" t="n">
        <v>1</v>
      </c>
      <c r="C7" s="426">
        <f>COUNTIF(E7,"&lt;&gt;")</f>
        <v/>
      </c>
      <c r="D7" s="443">
        <f>C7-B7</f>
        <v/>
      </c>
      <c r="E7" s="445" t="inlineStr">
        <is>
          <t>Mubeen Mushtaque</t>
        </is>
      </c>
      <c r="F7" s="192" t="inlineStr">
        <is>
          <t>Site Management</t>
        </is>
      </c>
      <c r="G7" s="195" t="inlineStr">
        <is>
          <t>C00447</t>
        </is>
      </c>
      <c r="H7" s="196" t="n">
        <v>2580444889</v>
      </c>
      <c r="I7" s="446" t="inlineStr">
        <is>
          <t>Approved</t>
        </is>
      </c>
      <c r="J7" s="551" t="n">
        <v>45907</v>
      </c>
      <c r="K7" s="197" t="inlineStr">
        <is>
          <t>MEHAN VISA</t>
        </is>
      </c>
      <c r="L7" s="446" t="inlineStr">
        <is>
          <t>-</t>
        </is>
      </c>
      <c r="N7" s="422" t="inlineStr">
        <is>
          <t xml:space="preserve">Vacant Positions </t>
        </is>
      </c>
      <c r="O7" s="422">
        <f>COUNTIF(I4:I156,"Vacant")+COUNTIF(I161:I519,"Vacant")</f>
        <v/>
      </c>
      <c r="P7" s="548" t="n"/>
      <c r="Q7" s="178" t="n"/>
      <c r="R7" s="178" t="n"/>
      <c r="S7" s="178" t="n"/>
      <c r="T7" s="178" t="n"/>
    </row>
    <row r="8" ht="15.75" customHeight="1">
      <c r="A8" s="429" t="inlineStr">
        <is>
          <t>Office/HR Manager</t>
        </is>
      </c>
      <c r="B8" s="429" t="n">
        <v>1</v>
      </c>
      <c r="C8" s="429">
        <f>COUNTIF(E8,"&lt;&gt;")</f>
        <v/>
      </c>
      <c r="D8" s="431">
        <f>C8-B8</f>
        <v/>
      </c>
      <c r="E8" s="187" t="n"/>
      <c r="F8" s="188" t="inlineStr">
        <is>
          <t>Site Management</t>
        </is>
      </c>
      <c r="G8" s="446" t="inlineStr">
        <is>
          <t>-</t>
        </is>
      </c>
      <c r="H8" s="45" t="inlineStr">
        <is>
          <t>-</t>
        </is>
      </c>
      <c r="I8" s="446" t="inlineStr">
        <is>
          <t>Vacant</t>
        </is>
      </c>
      <c r="J8" s="552" t="n"/>
      <c r="K8" s="446" t="inlineStr">
        <is>
          <t>-</t>
        </is>
      </c>
      <c r="L8" s="446" t="inlineStr">
        <is>
          <t>-</t>
        </is>
      </c>
      <c r="N8" s="420" t="inlineStr">
        <is>
          <t>Total Workforce on Site</t>
        </is>
      </c>
      <c r="O8" s="420">
        <f>COUNTIF(E4:E30,"&lt;&gt;")+COUNTIF(E35:E156,"&lt;&gt;")+COUNTIF(E161:E397,"&lt;&gt;")+COUNTIF(E402:E410,"&lt;&gt;")+COUNTIF(E415:E424,"&lt;&gt;")+COUNTIF(E429:E513,"&lt;&gt;")+COUNTIF(E518:E519,"&lt;&gt;")</f>
        <v/>
      </c>
      <c r="P8" s="548" t="n"/>
      <c r="Q8" s="178" t="n"/>
      <c r="R8" s="178" t="n"/>
      <c r="S8" s="178" t="n"/>
      <c r="T8" s="178" t="n"/>
    </row>
    <row r="9" ht="15.75" customHeight="1">
      <c r="A9" s="429" t="inlineStr">
        <is>
          <t>Hard Service Coordinator</t>
        </is>
      </c>
      <c r="B9" s="429" t="n">
        <v>1</v>
      </c>
      <c r="C9" s="429">
        <f>COUNTIF(E9,"&lt;&gt;")</f>
        <v/>
      </c>
      <c r="D9" s="431">
        <f>C9-B9</f>
        <v/>
      </c>
      <c r="E9" s="187" t="n"/>
      <c r="F9" s="188" t="inlineStr">
        <is>
          <t>Site Management</t>
        </is>
      </c>
      <c r="G9" s="446" t="inlineStr">
        <is>
          <t>-</t>
        </is>
      </c>
      <c r="H9" s="45" t="inlineStr">
        <is>
          <t>-</t>
        </is>
      </c>
      <c r="I9" s="446" t="inlineStr">
        <is>
          <t>Vacant</t>
        </is>
      </c>
      <c r="J9" s="552" t="n"/>
      <c r="K9" s="446" t="inlineStr">
        <is>
          <t>-</t>
        </is>
      </c>
      <c r="L9" s="446" t="inlineStr">
        <is>
          <t>-</t>
        </is>
      </c>
      <c r="N9" s="178" t="n"/>
      <c r="O9" s="178" t="n"/>
      <c r="P9" s="178" t="n"/>
      <c r="Q9" s="178" t="n"/>
      <c r="R9" s="178" t="n"/>
      <c r="S9" s="178" t="n"/>
      <c r="T9" s="178" t="n"/>
    </row>
    <row r="10" ht="15.75" customHeight="1">
      <c r="A10" s="451" t="inlineStr">
        <is>
          <t>Soft Service Coordinator</t>
        </is>
      </c>
      <c r="B10" s="425" t="n">
        <v>1</v>
      </c>
      <c r="C10" s="426">
        <f>COUNTIF(E10,"&lt;&gt;")</f>
        <v/>
      </c>
      <c r="D10" s="443">
        <f>C10-B10</f>
        <v/>
      </c>
      <c r="E10" s="445" t="inlineStr">
        <is>
          <t>Mohamed Ashfak</t>
        </is>
      </c>
      <c r="F10" s="188" t="inlineStr">
        <is>
          <t>Site Management</t>
        </is>
      </c>
      <c r="G10" s="445" t="n">
        <v>703486</v>
      </c>
      <c r="H10" s="445" t="n">
        <v>2584952150</v>
      </c>
      <c r="I10" s="446" t="inlineStr">
        <is>
          <t>Approved</t>
        </is>
      </c>
      <c r="J10" s="551" t="n">
        <v>45586</v>
      </c>
      <c r="K10" s="446" t="inlineStr">
        <is>
          <t>FMCO</t>
        </is>
      </c>
      <c r="L10" s="446" t="inlineStr">
        <is>
          <t>-</t>
        </is>
      </c>
      <c r="N10" s="423" t="inlineStr">
        <is>
          <t>Back-End/Additional Staff</t>
        </is>
      </c>
      <c r="O10" s="423">
        <f>COUNTIF(E524:E618,"&lt;&gt;")</f>
        <v/>
      </c>
      <c r="P10" s="548" t="n"/>
      <c r="Q10" s="178" t="n"/>
      <c r="R10" s="178" t="n"/>
      <c r="S10" s="178" t="n"/>
      <c r="T10" s="178" t="n"/>
    </row>
    <row r="11" ht="15.75" customHeight="1">
      <c r="A11" s="451" t="inlineStr">
        <is>
          <t>Project Admin</t>
        </is>
      </c>
      <c r="B11" s="425" t="n">
        <v>2</v>
      </c>
      <c r="C11" s="426">
        <f>COUNTIF(E11:E12,"&lt;&gt;")</f>
        <v/>
      </c>
      <c r="D11" s="427">
        <f>C11-B11</f>
        <v/>
      </c>
      <c r="E11" s="445" t="inlineStr">
        <is>
          <t>Bushra Rasheed</t>
        </is>
      </c>
      <c r="F11" s="188" t="inlineStr">
        <is>
          <t>Site Management</t>
        </is>
      </c>
      <c r="G11" s="445" t="n">
        <v>218963</v>
      </c>
      <c r="H11" s="445" t="n">
        <v>2567533977</v>
      </c>
      <c r="I11" s="446" t="inlineStr">
        <is>
          <t>Approved</t>
        </is>
      </c>
      <c r="J11" s="551" t="n">
        <v>45965</v>
      </c>
      <c r="K11" s="446" t="inlineStr">
        <is>
          <t>MASSADAR VISA</t>
        </is>
      </c>
      <c r="L11" s="446" t="inlineStr">
        <is>
          <t>-</t>
        </is>
      </c>
      <c r="N11" s="178" t="n"/>
      <c r="O11" s="178" t="n"/>
      <c r="P11" s="178" t="n"/>
      <c r="Q11" s="178" t="n"/>
      <c r="R11" s="178" t="n"/>
      <c r="S11" s="178" t="n"/>
      <c r="T11" s="178" t="n"/>
    </row>
    <row r="12" ht="15.75" customHeight="1">
      <c r="A12" s="553" t="n"/>
      <c r="B12" s="553" t="n"/>
      <c r="C12" s="553" t="n"/>
      <c r="D12" s="553" t="n"/>
      <c r="E12" s="445" t="inlineStr">
        <is>
          <t>NETHAJI ANANDA KRISHNAN L</t>
        </is>
      </c>
      <c r="F12" s="188" t="inlineStr">
        <is>
          <t>Site Management</t>
        </is>
      </c>
      <c r="G12" s="445" t="inlineStr">
        <is>
          <t>-</t>
        </is>
      </c>
      <c r="H12" s="445" t="inlineStr">
        <is>
          <t>-</t>
        </is>
      </c>
      <c r="I12" s="446" t="inlineStr">
        <is>
          <t>Approved</t>
        </is>
      </c>
      <c r="J12" s="551" t="n">
        <v>46234</v>
      </c>
      <c r="K12" s="446" t="inlineStr">
        <is>
          <t>MEHAN VISA</t>
        </is>
      </c>
      <c r="L12" s="446" t="inlineStr">
        <is>
          <t>-</t>
        </is>
      </c>
      <c r="N12" s="178" t="n"/>
      <c r="O12" s="178" t="n"/>
      <c r="P12" s="178" t="n"/>
      <c r="Q12" s="178" t="n"/>
      <c r="R12" s="178" t="n"/>
      <c r="S12" s="178" t="n"/>
      <c r="T12" s="178" t="n"/>
    </row>
    <row r="13" ht="15.75" customHeight="1">
      <c r="A13" s="451" t="inlineStr">
        <is>
          <t>IMAM for Mosque</t>
        </is>
      </c>
      <c r="B13" s="425" t="n">
        <v>2</v>
      </c>
      <c r="C13" s="426">
        <f>COUNTIF(E13:E14,"&lt;&gt;")</f>
        <v/>
      </c>
      <c r="D13" s="427">
        <f>C13-B13</f>
        <v/>
      </c>
      <c r="E13" s="445" t="inlineStr">
        <is>
          <t>Abdul Aziz Khan</t>
        </is>
      </c>
      <c r="F13" s="188" t="inlineStr">
        <is>
          <t>Site Management</t>
        </is>
      </c>
      <c r="G13" s="445" t="n">
        <v>703730</v>
      </c>
      <c r="H13" s="445" t="n">
        <v>2591241886</v>
      </c>
      <c r="I13" s="446" t="inlineStr">
        <is>
          <t>Approved</t>
        </is>
      </c>
      <c r="J13" s="551" t="n">
        <v>45679</v>
      </c>
      <c r="K13" s="446" t="inlineStr">
        <is>
          <t>FMCO</t>
        </is>
      </c>
      <c r="L13" s="446" t="inlineStr">
        <is>
          <t>-</t>
        </is>
      </c>
      <c r="N13" s="178" t="n"/>
      <c r="O13" s="178" t="n"/>
      <c r="P13" s="178" t="n"/>
      <c r="Q13" s="178" t="n"/>
      <c r="R13" s="178" t="n"/>
      <c r="S13" s="178" t="n"/>
      <c r="T13" s="178" t="n"/>
    </row>
    <row r="14" ht="15.75" customHeight="1">
      <c r="A14" s="553" t="n"/>
      <c r="B14" s="553" t="n"/>
      <c r="C14" s="553" t="n"/>
      <c r="D14" s="553" t="n"/>
      <c r="E14" s="445" t="inlineStr">
        <is>
          <t>Mubarak Fahhad Alqahtani</t>
        </is>
      </c>
      <c r="F14" s="188" t="inlineStr">
        <is>
          <t>Site Management</t>
        </is>
      </c>
      <c r="G14" s="445" t="inlineStr">
        <is>
          <t>-</t>
        </is>
      </c>
      <c r="H14" s="445" t="n">
        <v>1024069872</v>
      </c>
      <c r="I14" s="446" t="inlineStr">
        <is>
          <t>Approved</t>
        </is>
      </c>
      <c r="J14" s="551" t="n">
        <v>46191</v>
      </c>
      <c r="K14" s="446" t="inlineStr">
        <is>
          <t>FMCO</t>
        </is>
      </c>
      <c r="L14" s="446" t="inlineStr">
        <is>
          <t>-</t>
        </is>
      </c>
      <c r="N14" s="178" t="n"/>
      <c r="O14" s="178" t="n"/>
      <c r="P14" s="178" t="n"/>
      <c r="Q14" s="178" t="n"/>
      <c r="R14" s="178" t="n"/>
      <c r="S14" s="178" t="n"/>
      <c r="T14" s="178" t="n"/>
    </row>
    <row r="15" ht="15.75" customHeight="1">
      <c r="A15" s="451" t="inlineStr">
        <is>
          <t>Warehouse In-Charge</t>
        </is>
      </c>
      <c r="B15" s="425" t="n">
        <v>1</v>
      </c>
      <c r="C15" s="426">
        <f>COUNTIF(E15,"&lt;&gt;")</f>
        <v/>
      </c>
      <c r="D15" s="443">
        <f>C15-B15</f>
        <v/>
      </c>
      <c r="E15" s="445" t="inlineStr">
        <is>
          <t xml:space="preserve">Shabir Tantray </t>
        </is>
      </c>
      <c r="F15" s="192" t="inlineStr">
        <is>
          <t>Site Management</t>
        </is>
      </c>
      <c r="G15" s="200" t="inlineStr">
        <is>
          <t>C01657</t>
        </is>
      </c>
      <c r="H15" s="201" t="n">
        <v>2631874472</v>
      </c>
      <c r="I15" s="446" t="inlineStr">
        <is>
          <t>Approved</t>
        </is>
      </c>
      <c r="J15" s="202" t="n"/>
      <c r="K15" s="203" t="inlineStr">
        <is>
          <t>MEHAN VISA</t>
        </is>
      </c>
      <c r="L15" s="446" t="inlineStr">
        <is>
          <t>-</t>
        </is>
      </c>
      <c r="N15" s="178" t="n"/>
      <c r="O15" s="178" t="n"/>
      <c r="P15" s="178" t="n"/>
      <c r="Q15" s="178" t="n"/>
      <c r="R15" s="178" t="n"/>
      <c r="S15" s="178" t="n"/>
      <c r="T15" s="178" t="n"/>
    </row>
    <row r="16" ht="15.75" customHeight="1">
      <c r="A16" s="451" t="inlineStr">
        <is>
          <t>CAFM/Helpdesk Operator</t>
        </is>
      </c>
      <c r="B16" s="425" t="n">
        <v>3</v>
      </c>
      <c r="C16" s="426">
        <f>COUNTIF(E16:E18,"&lt;&gt;")</f>
        <v/>
      </c>
      <c r="D16" s="427">
        <f>C16-B16</f>
        <v/>
      </c>
      <c r="E16" s="445" t="inlineStr">
        <is>
          <t>Mohammed Ayub Khan</t>
        </is>
      </c>
      <c r="F16" s="192" t="inlineStr">
        <is>
          <t>Site Management</t>
        </is>
      </c>
      <c r="G16" s="193" t="n">
        <v>700645</v>
      </c>
      <c r="H16" s="193" t="n">
        <v>2516601008</v>
      </c>
      <c r="I16" s="446" t="inlineStr">
        <is>
          <t>Approved</t>
        </is>
      </c>
      <c r="J16" s="204" t="n"/>
      <c r="K16" s="193" t="inlineStr">
        <is>
          <t>FMCO VISA</t>
        </is>
      </c>
      <c r="L16" s="446" t="inlineStr">
        <is>
          <t>-</t>
        </is>
      </c>
      <c r="N16" s="178" t="n"/>
      <c r="O16" s="178" t="n"/>
      <c r="P16" s="178" t="n"/>
      <c r="Q16" s="178" t="n"/>
      <c r="R16" s="178" t="n"/>
      <c r="S16" s="178" t="n"/>
      <c r="T16" s="178" t="n"/>
    </row>
    <row r="17" ht="15.75" customHeight="1">
      <c r="A17" s="554" t="n"/>
      <c r="B17" s="554" t="n"/>
      <c r="C17" s="554" t="n"/>
      <c r="D17" s="554" t="n"/>
      <c r="E17" s="445" t="inlineStr">
        <is>
          <t>Irshad Ahmed</t>
        </is>
      </c>
      <c r="F17" s="192" t="inlineStr">
        <is>
          <t>Site Management</t>
        </is>
      </c>
      <c r="G17" s="193" t="inlineStr">
        <is>
          <t>EM-0002731</t>
        </is>
      </c>
      <c r="H17" s="193" t="n">
        <v>2586130300</v>
      </c>
      <c r="I17" s="446" t="inlineStr">
        <is>
          <t>Approved</t>
        </is>
      </c>
      <c r="J17" s="204" t="n"/>
      <c r="K17" s="193" t="inlineStr">
        <is>
          <t>AL-FALAK VISA</t>
        </is>
      </c>
      <c r="L17" s="446" t="inlineStr">
        <is>
          <t>-</t>
        </is>
      </c>
      <c r="N17" s="178" t="n"/>
      <c r="O17" s="178" t="n"/>
      <c r="P17" s="178" t="n"/>
      <c r="Q17" s="178" t="n"/>
      <c r="R17" s="178" t="n"/>
      <c r="S17" s="178" t="n"/>
      <c r="T17" s="178" t="n"/>
    </row>
    <row r="18" ht="15.75" customHeight="1">
      <c r="A18" s="553" t="n"/>
      <c r="B18" s="553" t="n"/>
      <c r="C18" s="553" t="n"/>
      <c r="D18" s="553" t="n"/>
      <c r="E18" s="452" t="inlineStr">
        <is>
          <t>Abdul Khalid Shaikh</t>
        </is>
      </c>
      <c r="F18" s="192" t="inlineStr">
        <is>
          <t>Site Management</t>
        </is>
      </c>
      <c r="G18" s="274" t="n">
        <v>703085</v>
      </c>
      <c r="H18" s="232" t="n">
        <v>2569953538</v>
      </c>
      <c r="I18" s="446" t="inlineStr">
        <is>
          <t>Approved</t>
        </is>
      </c>
      <c r="J18" s="580" t="n"/>
      <c r="K18" s="235" t="inlineStr">
        <is>
          <t>FMCO</t>
        </is>
      </c>
      <c r="L18" s="446" t="inlineStr">
        <is>
          <t>-</t>
        </is>
      </c>
      <c r="N18" s="178" t="n"/>
      <c r="O18" s="178" t="n"/>
      <c r="P18" s="178" t="n"/>
      <c r="Q18" s="178" t="n"/>
      <c r="R18" s="178" t="n"/>
      <c r="S18" s="178" t="n"/>
      <c r="T18" s="178" t="n"/>
    </row>
    <row r="19" ht="15.75" customHeight="1">
      <c r="A19" s="451" t="inlineStr">
        <is>
          <t>Accomodation In-Charge</t>
        </is>
      </c>
      <c r="B19" s="425" t="n">
        <v>1</v>
      </c>
      <c r="C19" s="426">
        <f>COUNTIF(E19,"&lt;&gt;")</f>
        <v/>
      </c>
      <c r="D19" s="443">
        <f>C19-B19</f>
        <v/>
      </c>
      <c r="E19" s="445" t="inlineStr">
        <is>
          <t>Roshan Ramesh Patel</t>
        </is>
      </c>
      <c r="F19" s="188" t="inlineStr">
        <is>
          <t>Site Management</t>
        </is>
      </c>
      <c r="G19" s="445" t="n">
        <v>704075</v>
      </c>
      <c r="H19" s="445" t="n">
        <v>2509087173</v>
      </c>
      <c r="I19" s="446" t="inlineStr">
        <is>
          <t>Approved</t>
        </is>
      </c>
      <c r="J19" s="551" t="n">
        <v>46014</v>
      </c>
      <c r="K19" s="446" t="inlineStr">
        <is>
          <t>FMCO</t>
        </is>
      </c>
      <c r="L19" s="446" t="inlineStr">
        <is>
          <t>-</t>
        </is>
      </c>
      <c r="N19" s="178" t="n"/>
      <c r="O19" s="178" t="n"/>
      <c r="P19" s="178" t="n"/>
      <c r="Q19" s="178" t="n"/>
      <c r="R19" s="178" t="n"/>
      <c r="S19" s="178" t="n"/>
      <c r="T19" s="178" t="n"/>
    </row>
    <row r="20" ht="15.75" customHeight="1">
      <c r="A20" s="451" t="inlineStr">
        <is>
          <t>I'D Issuing In-Charge</t>
        </is>
      </c>
      <c r="B20" s="425" t="n">
        <v>2</v>
      </c>
      <c r="C20" s="426">
        <f>COUNTIF(E20:E21,"&lt;&gt;")</f>
        <v/>
      </c>
      <c r="D20" s="427">
        <f>C20-B20</f>
        <v/>
      </c>
      <c r="E20" s="187" t="n"/>
      <c r="F20" s="188" t="inlineStr">
        <is>
          <t>Site Management</t>
        </is>
      </c>
      <c r="G20" s="445" t="inlineStr">
        <is>
          <t>-</t>
        </is>
      </c>
      <c r="H20" s="445" t="inlineStr">
        <is>
          <t>-</t>
        </is>
      </c>
      <c r="I20" s="446" t="inlineStr">
        <is>
          <t>Vacant</t>
        </is>
      </c>
      <c r="J20" s="552" t="n"/>
      <c r="K20" s="446" t="inlineStr">
        <is>
          <t>-</t>
        </is>
      </c>
      <c r="L20" s="446" t="inlineStr">
        <is>
          <t>-</t>
        </is>
      </c>
      <c r="N20" s="178" t="n"/>
      <c r="O20" s="178" t="n"/>
      <c r="P20" s="178" t="n"/>
      <c r="Q20" s="178" t="n"/>
      <c r="R20" s="178" t="n"/>
      <c r="S20" s="178" t="n"/>
      <c r="T20" s="178" t="n"/>
    </row>
    <row r="21" ht="15.75" customHeight="1">
      <c r="A21" s="553" t="n"/>
      <c r="B21" s="553" t="n"/>
      <c r="C21" s="553" t="n"/>
      <c r="D21" s="553" t="n"/>
      <c r="E21" s="187" t="n"/>
      <c r="F21" s="188" t="inlineStr">
        <is>
          <t>Site Management</t>
        </is>
      </c>
      <c r="G21" s="445" t="inlineStr">
        <is>
          <t>-</t>
        </is>
      </c>
      <c r="H21" s="445" t="inlineStr">
        <is>
          <t>-</t>
        </is>
      </c>
      <c r="I21" s="446" t="inlineStr">
        <is>
          <t>Vacant</t>
        </is>
      </c>
      <c r="J21" s="552" t="n"/>
      <c r="K21" s="446" t="inlineStr">
        <is>
          <t>-</t>
        </is>
      </c>
      <c r="L21" s="446" t="inlineStr">
        <is>
          <t>-</t>
        </is>
      </c>
      <c r="N21" s="178" t="n"/>
      <c r="O21" s="178" t="n"/>
      <c r="P21" s="178" t="n"/>
      <c r="Q21" s="178" t="n"/>
      <c r="R21" s="178" t="n"/>
      <c r="S21" s="178" t="n"/>
      <c r="T21" s="178" t="n"/>
    </row>
    <row r="22" ht="15.75" customHeight="1">
      <c r="A22" s="451" t="inlineStr">
        <is>
          <t>Accomodation Admin</t>
        </is>
      </c>
      <c r="B22" s="425" t="n">
        <v>4</v>
      </c>
      <c r="C22" s="426">
        <f>COUNTIF(E22:E25,"&lt;&gt;")</f>
        <v/>
      </c>
      <c r="D22" s="427">
        <f>C22-B22</f>
        <v/>
      </c>
      <c r="E22" s="445" t="inlineStr">
        <is>
          <t>Furqan Aslam</t>
        </is>
      </c>
      <c r="F22" s="188" t="inlineStr">
        <is>
          <t>Site Management</t>
        </is>
      </c>
      <c r="G22" s="445" t="inlineStr">
        <is>
          <t>C00417</t>
        </is>
      </c>
      <c r="H22" s="445" t="n">
        <v>2580444285</v>
      </c>
      <c r="I22" s="446" t="inlineStr">
        <is>
          <t>Approved</t>
        </is>
      </c>
      <c r="J22" s="551" t="n">
        <v>45586</v>
      </c>
      <c r="K22" s="446" t="inlineStr">
        <is>
          <t>MEHAN VISA</t>
        </is>
      </c>
      <c r="L22" s="446" t="inlineStr">
        <is>
          <t>-</t>
        </is>
      </c>
      <c r="N22" s="178" t="n"/>
      <c r="O22" s="178" t="n"/>
      <c r="P22" s="178" t="n"/>
      <c r="Q22" s="178" t="n"/>
      <c r="R22" s="178" t="n"/>
      <c r="S22" s="178" t="n"/>
      <c r="T22" s="178" t="n"/>
    </row>
    <row r="23" ht="15.75" customHeight="1">
      <c r="A23" s="554" t="n"/>
      <c r="B23" s="554" t="n"/>
      <c r="C23" s="554" t="n"/>
      <c r="D23" s="554" t="n"/>
      <c r="E23" s="445" t="inlineStr">
        <is>
          <t>Mohammed Salim Chhimpa</t>
        </is>
      </c>
      <c r="F23" s="188" t="inlineStr">
        <is>
          <t>Site Management</t>
        </is>
      </c>
      <c r="G23" s="445" t="inlineStr">
        <is>
          <t>C00284</t>
        </is>
      </c>
      <c r="H23" s="445" t="n">
        <v>2580193957</v>
      </c>
      <c r="I23" s="446" t="inlineStr">
        <is>
          <t>Approved</t>
        </is>
      </c>
      <c r="J23" s="551" t="n">
        <v>45882</v>
      </c>
      <c r="K23" s="446" t="inlineStr">
        <is>
          <t>MEHAN VISA</t>
        </is>
      </c>
      <c r="L23" s="446" t="inlineStr">
        <is>
          <t>-</t>
        </is>
      </c>
      <c r="N23" s="178" t="n"/>
      <c r="O23" s="178" t="n"/>
      <c r="P23" s="178" t="n"/>
      <c r="Q23" s="178" t="n"/>
      <c r="R23" s="178" t="n"/>
      <c r="S23" s="178" t="n"/>
      <c r="T23" s="178" t="n"/>
    </row>
    <row r="24" ht="15.75" customHeight="1">
      <c r="A24" s="554" t="n"/>
      <c r="B24" s="554" t="n"/>
      <c r="C24" s="554" t="n"/>
      <c r="D24" s="554" t="n"/>
      <c r="E24" s="445" t="n"/>
      <c r="F24" s="188" t="inlineStr">
        <is>
          <t>Site Management</t>
        </is>
      </c>
      <c r="G24" s="445" t="n"/>
      <c r="H24" s="445" t="n"/>
      <c r="I24" s="446" t="inlineStr">
        <is>
          <t>Vacant</t>
        </is>
      </c>
      <c r="J24" s="551" t="n"/>
      <c r="K24" s="446" t="n"/>
      <c r="L24" s="446" t="inlineStr">
        <is>
          <t>-</t>
        </is>
      </c>
      <c r="N24" s="178" t="n"/>
      <c r="O24" s="178" t="n"/>
      <c r="P24" s="178" t="n"/>
      <c r="Q24" s="178" t="n"/>
      <c r="R24" s="178" t="n"/>
      <c r="S24" s="178" t="n"/>
      <c r="T24" s="178" t="n"/>
    </row>
    <row r="25" ht="15.75" customHeight="1">
      <c r="A25" s="553" t="n"/>
      <c r="B25" s="553" t="n"/>
      <c r="C25" s="553" t="n"/>
      <c r="D25" s="553" t="n"/>
      <c r="E25" s="445" t="inlineStr">
        <is>
          <t>Abdullah Shah</t>
        </is>
      </c>
      <c r="F25" s="188" t="inlineStr">
        <is>
          <t>Site Management</t>
        </is>
      </c>
      <c r="G25" s="445" t="n">
        <v>700567</v>
      </c>
      <c r="H25" s="445" t="n">
        <v>2234756175</v>
      </c>
      <c r="I25" s="446" t="inlineStr">
        <is>
          <t>Approved</t>
        </is>
      </c>
      <c r="J25" s="551" t="n">
        <v>46119</v>
      </c>
      <c r="K25" s="446" t="inlineStr">
        <is>
          <t>FMCO</t>
        </is>
      </c>
      <c r="L25" s="446" t="inlineStr">
        <is>
          <t>-</t>
        </is>
      </c>
      <c r="N25" s="178" t="n"/>
      <c r="O25" s="178" t="n"/>
      <c r="P25" s="178" t="n"/>
      <c r="Q25" s="178" t="n"/>
      <c r="R25" s="178" t="n"/>
      <c r="S25" s="178" t="n"/>
      <c r="T25" s="178" t="n"/>
    </row>
    <row r="26" ht="15.75" customHeight="1">
      <c r="A26" s="451" t="inlineStr">
        <is>
          <t>Key Custodian</t>
        </is>
      </c>
      <c r="B26" s="425" t="n">
        <v>2</v>
      </c>
      <c r="C26" s="426">
        <f>COUNTIF(E26:E27,"&lt;&gt;")</f>
        <v/>
      </c>
      <c r="D26" s="427">
        <f>C26-B26</f>
        <v/>
      </c>
      <c r="E26" s="445" t="inlineStr">
        <is>
          <t>Shahil Siddiqui</t>
        </is>
      </c>
      <c r="F26" s="188" t="inlineStr">
        <is>
          <t>Site Management</t>
        </is>
      </c>
      <c r="G26" s="445" t="inlineStr">
        <is>
          <t>EM-0001926</t>
        </is>
      </c>
      <c r="H26" s="445" t="n">
        <v>2583854811</v>
      </c>
      <c r="I26" s="446" t="inlineStr">
        <is>
          <t>Approved</t>
        </is>
      </c>
      <c r="J26" s="551" t="n">
        <v>45586</v>
      </c>
      <c r="K26" s="446" t="inlineStr">
        <is>
          <t>AL-FALAK VISA</t>
        </is>
      </c>
      <c r="L26" s="446" t="inlineStr">
        <is>
          <t>-</t>
        </is>
      </c>
      <c r="N26" s="178" t="n"/>
      <c r="O26" s="178" t="n"/>
      <c r="P26" s="178" t="n"/>
      <c r="Q26" s="178" t="n"/>
      <c r="R26" s="178" t="n"/>
      <c r="S26" s="178" t="n"/>
      <c r="T26" s="178" t="n"/>
    </row>
    <row r="27" ht="15.75" customHeight="1">
      <c r="A27" s="553" t="n"/>
      <c r="B27" s="553" t="n"/>
      <c r="C27" s="553" t="n"/>
      <c r="D27" s="553" t="n"/>
      <c r="E27" s="187" t="n"/>
      <c r="F27" s="188" t="inlineStr">
        <is>
          <t>Site Management</t>
        </is>
      </c>
      <c r="G27" s="445" t="inlineStr">
        <is>
          <t>-</t>
        </is>
      </c>
      <c r="H27" s="445" t="inlineStr">
        <is>
          <t>-</t>
        </is>
      </c>
      <c r="I27" s="446" t="inlineStr">
        <is>
          <t>Vacant</t>
        </is>
      </c>
      <c r="J27" s="552" t="n"/>
      <c r="K27" s="446" t="inlineStr">
        <is>
          <t>-</t>
        </is>
      </c>
      <c r="L27" s="446" t="inlineStr">
        <is>
          <t>-</t>
        </is>
      </c>
      <c r="N27" s="178" t="n"/>
      <c r="O27" s="178" t="n"/>
      <c r="P27" s="178" t="n"/>
      <c r="Q27" s="178" t="n"/>
      <c r="R27" s="178" t="n"/>
      <c r="S27" s="178" t="n"/>
      <c r="T27" s="178" t="n"/>
    </row>
    <row r="28" ht="15.75" customHeight="1">
      <c r="A28" s="451" t="inlineStr">
        <is>
          <t>Document Controller</t>
        </is>
      </c>
      <c r="B28" s="425" t="n">
        <v>2</v>
      </c>
      <c r="C28" s="426">
        <f>COUNTIF(E28:E29,"&lt;&gt;")</f>
        <v/>
      </c>
      <c r="D28" s="427">
        <f>C28-B28</f>
        <v/>
      </c>
      <c r="E28" s="445" t="inlineStr">
        <is>
          <t>Mohammad Shahnawaz Khan</t>
        </is>
      </c>
      <c r="F28" s="188" t="inlineStr">
        <is>
          <t>Site Management</t>
        </is>
      </c>
      <c r="G28" s="445" t="inlineStr">
        <is>
          <t>EM-0002457</t>
        </is>
      </c>
      <c r="H28" s="445" t="n">
        <v>2582814584</v>
      </c>
      <c r="I28" s="446" t="inlineStr">
        <is>
          <t>Approved</t>
        </is>
      </c>
      <c r="J28" s="551" t="n">
        <v>45599</v>
      </c>
      <c r="K28" s="446" t="inlineStr">
        <is>
          <t>AL-FALAK VISA</t>
        </is>
      </c>
      <c r="L28" s="446" t="inlineStr">
        <is>
          <t>-</t>
        </is>
      </c>
      <c r="N28" s="178" t="n"/>
      <c r="O28" s="178" t="n"/>
      <c r="P28" s="178" t="n"/>
      <c r="Q28" s="178" t="n"/>
      <c r="R28" s="178" t="n"/>
      <c r="S28" s="178" t="n"/>
      <c r="T28" s="178" t="n"/>
    </row>
    <row r="29" ht="15.75" customHeight="1">
      <c r="A29" s="553" t="n"/>
      <c r="B29" s="553" t="n"/>
      <c r="C29" s="553" t="n"/>
      <c r="D29" s="553" t="n"/>
      <c r="E29" s="445" t="inlineStr">
        <is>
          <t>MD Kausar khan</t>
        </is>
      </c>
      <c r="F29" s="192" t="inlineStr">
        <is>
          <t>Site Management</t>
        </is>
      </c>
      <c r="G29" s="203" t="inlineStr">
        <is>
          <t>C01503</t>
        </is>
      </c>
      <c r="H29" s="205" t="n">
        <v>2624885238</v>
      </c>
      <c r="I29" s="446" t="inlineStr">
        <is>
          <t>Approved</t>
        </is>
      </c>
      <c r="J29" s="551" t="n">
        <v>46137</v>
      </c>
      <c r="K29" s="203" t="inlineStr">
        <is>
          <t>MEHAN VISA</t>
        </is>
      </c>
      <c r="L29" s="446" t="inlineStr">
        <is>
          <t>-</t>
        </is>
      </c>
      <c r="N29" s="178" t="n"/>
      <c r="O29" s="178" t="n"/>
      <c r="P29" s="178" t="n"/>
      <c r="Q29" s="178" t="n"/>
      <c r="R29" s="178" t="n"/>
      <c r="S29" s="178" t="n"/>
      <c r="T29" s="178" t="n"/>
    </row>
    <row r="30" ht="15.75" customHeight="1">
      <c r="A30" s="451" t="inlineStr">
        <is>
          <t>Procuement Officer</t>
        </is>
      </c>
      <c r="B30" s="425" t="n">
        <v>1</v>
      </c>
      <c r="C30" s="426">
        <f>COUNTIF(E30,"&lt;&gt;")</f>
        <v/>
      </c>
      <c r="D30" s="443">
        <f>C30-B30</f>
        <v/>
      </c>
      <c r="E30" s="187" t="n"/>
      <c r="F30" s="188" t="inlineStr">
        <is>
          <t>Site Management</t>
        </is>
      </c>
      <c r="G30" s="445" t="inlineStr">
        <is>
          <t>-</t>
        </is>
      </c>
      <c r="H30" s="445" t="inlineStr">
        <is>
          <t>-</t>
        </is>
      </c>
      <c r="I30" s="446" t="inlineStr">
        <is>
          <t>Vacant</t>
        </is>
      </c>
      <c r="J30" s="552" t="n"/>
      <c r="K30" s="446" t="inlineStr">
        <is>
          <t>-</t>
        </is>
      </c>
      <c r="L30" s="446" t="inlineStr">
        <is>
          <t>-</t>
        </is>
      </c>
      <c r="N30" s="178" t="n"/>
      <c r="O30" s="178" t="n"/>
      <c r="P30" s="178" t="n"/>
      <c r="Q30" s="178" t="n"/>
      <c r="R30" s="178" t="n"/>
      <c r="S30" s="178" t="n"/>
      <c r="T30" s="178" t="n"/>
    </row>
    <row r="31" ht="26.25" customHeight="1">
      <c r="A31" s="53" t="inlineStr">
        <is>
          <t>Total Team 
Site Management</t>
        </is>
      </c>
      <c r="B31" s="53" t="inlineStr">
        <is>
          <t>Contractual Requirement</t>
        </is>
      </c>
      <c r="C31" s="53" t="inlineStr">
        <is>
          <t>Approved</t>
        </is>
      </c>
      <c r="D31" s="53" t="inlineStr">
        <is>
          <t>Vacant Position</t>
        </is>
      </c>
      <c r="E31" s="55" t="inlineStr">
        <is>
          <t>Rejected</t>
        </is>
      </c>
      <c r="F31" s="55" t="inlineStr">
        <is>
          <t xml:space="preserve">Additional </t>
        </is>
      </c>
      <c r="G31" s="55" t="inlineStr">
        <is>
          <t>ID</t>
        </is>
      </c>
      <c r="H31" s="55" t="inlineStr">
        <is>
          <t>Iqama</t>
        </is>
      </c>
      <c r="I31" s="56" t="n"/>
      <c r="J31" s="555" t="n"/>
      <c r="K31" s="56" t="n"/>
      <c r="L31" s="80" t="inlineStr">
        <is>
          <t>Remarks/Notes</t>
        </is>
      </c>
      <c r="N31" s="178" t="n"/>
      <c r="O31" s="178" t="n"/>
      <c r="P31" s="178" t="n"/>
      <c r="Q31" s="178" t="n"/>
      <c r="R31" s="178" t="n"/>
      <c r="S31" s="178" t="n"/>
      <c r="T31" s="178" t="n"/>
    </row>
    <row r="32" ht="15.75" customHeight="1">
      <c r="A32" s="53">
        <f>COUNTIF(E5:E30,"&lt;&gt;")</f>
        <v/>
      </c>
      <c r="B32" s="53">
        <f>SUM(B5:B30)</f>
        <v/>
      </c>
      <c r="C32" s="53">
        <f>COUNTIF(I5:I30,"Approved")</f>
        <v/>
      </c>
      <c r="D32" s="53">
        <f>COUNTIF(I4:I30,"Vacant")</f>
        <v/>
      </c>
      <c r="E32" s="55">
        <f>COUNTIF(I4:I30,"Rejected")</f>
        <v/>
      </c>
      <c r="F32" s="55">
        <f>COUNTIF(I4:I30,"Additional ")</f>
        <v/>
      </c>
      <c r="G32" s="55">
        <f>COUNTIF(G4:G30,"-")</f>
        <v/>
      </c>
      <c r="H32" s="55">
        <f>COUNTIF(H4:H30,"-")</f>
        <v/>
      </c>
      <c r="I32" s="60" t="n"/>
      <c r="J32" s="556" t="n"/>
      <c r="K32" s="60" t="n"/>
      <c r="L32" s="60" t="n"/>
      <c r="N32" s="178" t="n"/>
      <c r="O32" s="178" t="n"/>
      <c r="P32" s="178" t="n"/>
      <c r="Q32" s="178" t="n"/>
      <c r="R32" s="178" t="n"/>
      <c r="S32" s="178" t="n"/>
      <c r="T32" s="178" t="n"/>
    </row>
    <row r="33" ht="15.75" customHeight="1">
      <c r="A33" s="206" t="n"/>
      <c r="B33" s="207" t="n"/>
      <c r="C33" s="207" t="n"/>
      <c r="D33" s="207" t="n"/>
      <c r="E33" s="187" t="n"/>
      <c r="F33" s="208" t="n"/>
      <c r="G33" s="208" t="n"/>
      <c r="H33" s="208" t="n"/>
      <c r="I33" s="208" t="n"/>
      <c r="J33" s="581" t="n"/>
      <c r="K33" s="208" t="n"/>
      <c r="L33" s="210" t="n"/>
      <c r="N33" s="178" t="n"/>
      <c r="O33" s="178" t="n"/>
      <c r="P33" s="178" t="n"/>
      <c r="Q33" s="178" t="n"/>
      <c r="R33" s="178" t="n"/>
      <c r="S33" s="178" t="n"/>
      <c r="T33" s="178" t="n"/>
    </row>
    <row r="34" ht="26.25" customHeight="1">
      <c r="A34" s="185" t="inlineStr">
        <is>
          <t>Position</t>
        </is>
      </c>
      <c r="B34" s="12" t="inlineStr">
        <is>
          <t>Contractual Requirement</t>
        </is>
      </c>
      <c r="C34" s="12" t="inlineStr">
        <is>
          <t>Current Availability</t>
        </is>
      </c>
      <c r="D34" s="12" t="inlineStr">
        <is>
          <t>Vacant Position</t>
        </is>
      </c>
      <c r="E34" s="14" t="inlineStr">
        <is>
          <t>Emaployee Name</t>
        </is>
      </c>
      <c r="F34" s="14" t="inlineStr">
        <is>
          <t>Decipline</t>
        </is>
      </c>
      <c r="G34" s="15" t="inlineStr">
        <is>
          <t>ID</t>
        </is>
      </c>
      <c r="H34" s="14" t="inlineStr">
        <is>
          <t>Shift</t>
        </is>
      </c>
      <c r="I34" s="15" t="inlineStr">
        <is>
          <t>Status</t>
        </is>
      </c>
      <c r="J34" s="558" t="n"/>
      <c r="K34" s="211" t="n"/>
      <c r="L34" s="15" t="inlineStr">
        <is>
          <t>Remarks/Notes</t>
        </is>
      </c>
      <c r="N34" s="178" t="n"/>
      <c r="O34" s="178" t="n"/>
      <c r="P34" s="178" t="n"/>
      <c r="Q34" s="178" t="n"/>
      <c r="R34" s="178" t="n"/>
      <c r="S34" s="178" t="n"/>
      <c r="T34" s="178" t="n"/>
    </row>
    <row r="35" ht="15.75" customHeight="1">
      <c r="A35" s="451" t="inlineStr">
        <is>
          <t>Facility Engineer</t>
        </is>
      </c>
      <c r="B35" s="425" t="n">
        <v>2</v>
      </c>
      <c r="C35" s="426">
        <f>COUNTIF(E35:E36,"&lt;&gt;")</f>
        <v/>
      </c>
      <c r="D35" s="427">
        <f>C35-B35</f>
        <v/>
      </c>
      <c r="E35" s="445" t="inlineStr">
        <is>
          <t>Saravanan Marimuthu</t>
        </is>
      </c>
      <c r="F35" s="77" t="inlineStr">
        <is>
          <t>Hard Service</t>
        </is>
      </c>
      <c r="G35" s="87" t="inlineStr">
        <is>
          <t>EM-0002681</t>
        </is>
      </c>
      <c r="H35" s="87" t="n">
        <v>2586128874</v>
      </c>
      <c r="I35" s="446" t="inlineStr">
        <is>
          <t>Approved</t>
        </is>
      </c>
      <c r="J35" s="551" t="n">
        <v>45586</v>
      </c>
      <c r="K35" s="446" t="inlineStr">
        <is>
          <t>AL-FALAK VISA</t>
        </is>
      </c>
      <c r="L35" s="45" t="inlineStr">
        <is>
          <t>-</t>
        </is>
      </c>
      <c r="N35" s="178" t="n"/>
      <c r="O35" s="178" t="n"/>
      <c r="P35" s="178" t="n"/>
      <c r="Q35" s="178" t="n"/>
      <c r="R35" s="178" t="n"/>
      <c r="S35" s="178" t="n"/>
      <c r="T35" s="178" t="n"/>
    </row>
    <row r="36" ht="15.75" customHeight="1">
      <c r="A36" s="553" t="n"/>
      <c r="B36" s="553" t="n"/>
      <c r="C36" s="553" t="n"/>
      <c r="D36" s="553" t="n"/>
      <c r="E36" s="445" t="inlineStr">
        <is>
          <t>Amjad Zawar Shah</t>
        </is>
      </c>
      <c r="F36" s="77" t="inlineStr">
        <is>
          <t>Hard Service</t>
        </is>
      </c>
      <c r="G36" s="445" t="inlineStr">
        <is>
          <t>-</t>
        </is>
      </c>
      <c r="H36" s="212" t="n">
        <v>2384725012</v>
      </c>
      <c r="I36" s="446" t="inlineStr">
        <is>
          <t>Approved</t>
        </is>
      </c>
      <c r="J36" s="213" t="n">
        <v>46222</v>
      </c>
      <c r="K36" s="446" t="inlineStr">
        <is>
          <t>-</t>
        </is>
      </c>
      <c r="L36" s="45" t="inlineStr">
        <is>
          <t>-</t>
        </is>
      </c>
      <c r="N36" s="178" t="n"/>
      <c r="O36" s="178" t="n"/>
      <c r="P36" s="178" t="n"/>
      <c r="Q36" s="178" t="n"/>
      <c r="R36" s="178" t="n"/>
      <c r="S36" s="178" t="n"/>
      <c r="T36" s="178" t="n"/>
    </row>
    <row r="37" ht="15.75" customHeight="1">
      <c r="A37" s="451" t="inlineStr">
        <is>
          <t>Supervisor MEP</t>
        </is>
      </c>
      <c r="B37" s="425" t="n">
        <v>4</v>
      </c>
      <c r="C37" s="426">
        <f>COUNTIF(E37:E40,"&lt;&gt;")</f>
        <v/>
      </c>
      <c r="D37" s="427">
        <f>C37-B37</f>
        <v/>
      </c>
      <c r="E37" s="445" t="inlineStr">
        <is>
          <t>Mirza Arslan Baig</t>
        </is>
      </c>
      <c r="F37" s="77" t="inlineStr">
        <is>
          <t>Hard Service</t>
        </is>
      </c>
      <c r="G37" s="445" t="n">
        <v>701367</v>
      </c>
      <c r="H37" s="445" t="n">
        <v>2532029846</v>
      </c>
      <c r="I37" s="446" t="inlineStr">
        <is>
          <t>Approved</t>
        </is>
      </c>
      <c r="J37" s="551" t="n">
        <v>45472</v>
      </c>
      <c r="K37" s="446" t="inlineStr">
        <is>
          <t>FMCO</t>
        </is>
      </c>
      <c r="L37" s="45" t="inlineStr">
        <is>
          <t>-</t>
        </is>
      </c>
      <c r="N37" s="178" t="n"/>
      <c r="O37" s="178" t="n"/>
      <c r="P37" s="178" t="n"/>
      <c r="Q37" s="178" t="n"/>
      <c r="R37" s="178" t="n"/>
      <c r="S37" s="178" t="n"/>
      <c r="T37" s="178" t="n"/>
    </row>
    <row r="38" ht="15.75" customHeight="1">
      <c r="A38" s="554" t="n"/>
      <c r="B38" s="554" t="n"/>
      <c r="C38" s="554" t="n"/>
      <c r="D38" s="554" t="n"/>
      <c r="E38" s="445" t="inlineStr">
        <is>
          <t>ABDULLAH AZMI</t>
        </is>
      </c>
      <c r="F38" s="77" t="inlineStr">
        <is>
          <t>Hard Service</t>
        </is>
      </c>
      <c r="G38" s="445" t="inlineStr">
        <is>
          <t>-</t>
        </is>
      </c>
      <c r="H38" s="445" t="inlineStr">
        <is>
          <t>-</t>
        </is>
      </c>
      <c r="I38" s="446" t="inlineStr">
        <is>
          <t>Approved</t>
        </is>
      </c>
      <c r="J38" s="551" t="n">
        <v>47328</v>
      </c>
      <c r="K38" s="446" t="inlineStr">
        <is>
          <t>-</t>
        </is>
      </c>
      <c r="L38" s="45" t="inlineStr">
        <is>
          <t>-</t>
        </is>
      </c>
      <c r="N38" s="178" t="n"/>
      <c r="O38" s="178" t="n"/>
      <c r="P38" s="178" t="n"/>
      <c r="Q38" s="178" t="n"/>
      <c r="R38" s="178" t="n"/>
      <c r="S38" s="178" t="n"/>
      <c r="T38" s="178" t="n"/>
    </row>
    <row r="39" ht="15.75" customHeight="1">
      <c r="A39" s="554" t="n"/>
      <c r="B39" s="554" t="n"/>
      <c r="C39" s="554" t="n"/>
      <c r="D39" s="554" t="n"/>
      <c r="E39" s="445" t="inlineStr">
        <is>
          <t xml:space="preserve">Md Javed </t>
        </is>
      </c>
      <c r="F39" s="77" t="inlineStr">
        <is>
          <t>Hard Service</t>
        </is>
      </c>
      <c r="G39" s="445" t="n">
        <v>703883</v>
      </c>
      <c r="H39" s="445" t="n">
        <v>2582876831</v>
      </c>
      <c r="I39" s="446" t="inlineStr">
        <is>
          <t>Approved</t>
        </is>
      </c>
      <c r="J39" s="551" t="n">
        <v>46119</v>
      </c>
      <c r="K39" s="446" t="inlineStr">
        <is>
          <t>FMCO</t>
        </is>
      </c>
      <c r="L39" s="45" t="inlineStr">
        <is>
          <t>-</t>
        </is>
      </c>
      <c r="N39" s="178" t="n"/>
      <c r="O39" s="178" t="n"/>
      <c r="P39" s="178" t="n"/>
      <c r="Q39" s="178" t="n"/>
      <c r="R39" s="178" t="n"/>
      <c r="S39" s="178" t="n"/>
      <c r="T39" s="178" t="n"/>
    </row>
    <row r="40" ht="15.75" customHeight="1">
      <c r="A40" s="553" t="n"/>
      <c r="B40" s="553" t="n"/>
      <c r="C40" s="553" t="n"/>
      <c r="D40" s="553" t="n"/>
      <c r="E40" s="445" t="inlineStr">
        <is>
          <t>Abdul Majid Ansari</t>
        </is>
      </c>
      <c r="F40" s="77" t="inlineStr">
        <is>
          <t>Hard Service</t>
        </is>
      </c>
      <c r="G40" s="445" t="n">
        <v>704349</v>
      </c>
      <c r="H40" s="445" t="n">
        <v>2640204109</v>
      </c>
      <c r="I40" s="446" t="inlineStr">
        <is>
          <t>Approved</t>
        </is>
      </c>
      <c r="J40" s="551" t="n">
        <v>46219</v>
      </c>
      <c r="K40" s="446" t="inlineStr">
        <is>
          <t>FMCO</t>
        </is>
      </c>
      <c r="L40" s="45" t="inlineStr">
        <is>
          <t>-</t>
        </is>
      </c>
      <c r="N40" s="178" t="n"/>
      <c r="O40" s="178" t="n"/>
      <c r="P40" s="178" t="n"/>
      <c r="Q40" s="178" t="n"/>
      <c r="R40" s="178" t="n"/>
      <c r="S40" s="178" t="n"/>
      <c r="T40" s="178" t="n"/>
    </row>
    <row r="41" ht="15.75" customHeight="1">
      <c r="A41" s="451" t="inlineStr">
        <is>
          <t>Utility/GEN</t>
        </is>
      </c>
      <c r="B41" s="425" t="n">
        <v>4</v>
      </c>
      <c r="C41" s="426">
        <f>COUNTIF(E41:E44,"&lt;&gt;")</f>
        <v/>
      </c>
      <c r="D41" s="427">
        <f>C41-B41</f>
        <v/>
      </c>
      <c r="E41" s="445" t="inlineStr">
        <is>
          <t>Asif Ali</t>
        </is>
      </c>
      <c r="F41" s="77" t="inlineStr">
        <is>
          <t>Hard Service</t>
        </is>
      </c>
      <c r="G41" s="445" t="inlineStr">
        <is>
          <t>EM-0002674</t>
        </is>
      </c>
      <c r="H41" s="445" t="n">
        <v>2583866286</v>
      </c>
      <c r="I41" s="446" t="inlineStr">
        <is>
          <t>Approved</t>
        </is>
      </c>
      <c r="J41" s="551" t="n">
        <v>45586</v>
      </c>
      <c r="K41" s="446" t="inlineStr">
        <is>
          <t>AL-FALAK VISA</t>
        </is>
      </c>
      <c r="L41" s="45" t="inlineStr">
        <is>
          <t>-</t>
        </is>
      </c>
      <c r="N41" s="178" t="n"/>
      <c r="O41" s="178" t="n"/>
      <c r="P41" s="178" t="n"/>
      <c r="Q41" s="178" t="n"/>
      <c r="R41" s="178" t="n"/>
      <c r="S41" s="178" t="n"/>
      <c r="T41" s="178" t="n"/>
    </row>
    <row r="42" ht="15.75" customHeight="1">
      <c r="A42" s="554" t="n"/>
      <c r="B42" s="554" t="n"/>
      <c r="C42" s="554" t="n"/>
      <c r="D42" s="554" t="n"/>
      <c r="E42" s="445" t="inlineStr">
        <is>
          <t>Faisal Shekh Ayub</t>
        </is>
      </c>
      <c r="F42" s="77" t="inlineStr">
        <is>
          <t>Hard Service</t>
        </is>
      </c>
      <c r="G42" s="445" t="inlineStr">
        <is>
          <t>EM-0002675</t>
        </is>
      </c>
      <c r="H42" s="445" t="n">
        <v>2583867565</v>
      </c>
      <c r="I42" s="446" t="inlineStr">
        <is>
          <t>Approved</t>
        </is>
      </c>
      <c r="J42" s="551" t="n">
        <v>45600</v>
      </c>
      <c r="K42" s="446" t="inlineStr">
        <is>
          <t>AL-FALAK VISA</t>
        </is>
      </c>
      <c r="L42" s="45" t="inlineStr">
        <is>
          <t>-</t>
        </is>
      </c>
      <c r="N42" s="178" t="n"/>
      <c r="O42" s="178" t="n"/>
      <c r="P42" s="178" t="n"/>
      <c r="Q42" s="178" t="n"/>
      <c r="R42" s="178" t="n"/>
      <c r="S42" s="178" t="n"/>
      <c r="T42" s="178" t="n"/>
    </row>
    <row r="43" ht="15.75" customHeight="1">
      <c r="A43" s="554" t="n"/>
      <c r="B43" s="554" t="n"/>
      <c r="C43" s="554" t="n"/>
      <c r="D43" s="554" t="n"/>
      <c r="E43" s="445" t="inlineStr">
        <is>
          <t>Mohammad Shahid Hussain</t>
        </is>
      </c>
      <c r="F43" s="214" t="inlineStr">
        <is>
          <t>Hard Service</t>
        </is>
      </c>
      <c r="G43" s="445" t="inlineStr">
        <is>
          <t>EM-0002688</t>
        </is>
      </c>
      <c r="H43" s="445" t="n">
        <v>2586387769</v>
      </c>
      <c r="I43" s="446" t="inlineStr">
        <is>
          <t>Approved</t>
        </is>
      </c>
      <c r="J43" s="551" t="n">
        <v>45600</v>
      </c>
      <c r="K43" s="446" t="inlineStr">
        <is>
          <t>AL-FALAK VISA</t>
        </is>
      </c>
      <c r="L43" s="45" t="inlineStr">
        <is>
          <t>-</t>
        </is>
      </c>
      <c r="N43" s="178" t="n"/>
      <c r="O43" s="178" t="n"/>
      <c r="P43" s="178" t="n"/>
      <c r="Q43" s="178" t="n"/>
      <c r="R43" s="178" t="n"/>
      <c r="S43" s="178" t="n"/>
      <c r="T43" s="178" t="n"/>
    </row>
    <row r="44" ht="15.75" customHeight="1">
      <c r="A44" s="553" t="n"/>
      <c r="B44" s="553" t="n"/>
      <c r="C44" s="553" t="n"/>
      <c r="D44" s="553" t="n"/>
      <c r="E44" s="187" t="n"/>
      <c r="F44" s="214" t="inlineStr">
        <is>
          <t>Hard Service</t>
        </is>
      </c>
      <c r="G44" s="446" t="inlineStr">
        <is>
          <t>-</t>
        </is>
      </c>
      <c r="H44" s="45" t="inlineStr">
        <is>
          <t>-</t>
        </is>
      </c>
      <c r="I44" s="446" t="inlineStr">
        <is>
          <t>Vacant</t>
        </is>
      </c>
      <c r="J44" s="552" t="n"/>
      <c r="K44" s="446" t="inlineStr">
        <is>
          <t>-</t>
        </is>
      </c>
      <c r="L44" s="45" t="inlineStr">
        <is>
          <t>-</t>
        </is>
      </c>
      <c r="N44" s="178" t="n"/>
      <c r="O44" s="178" t="n"/>
      <c r="P44" s="178" t="n"/>
      <c r="Q44" s="178" t="n"/>
      <c r="R44" s="178" t="n"/>
      <c r="S44" s="178" t="n"/>
      <c r="T44" s="178" t="n"/>
    </row>
    <row r="45" ht="15.75" customHeight="1">
      <c r="A45" s="451" t="inlineStr">
        <is>
          <t>Multi-Skilled Technician</t>
        </is>
      </c>
      <c r="B45" s="425" t="n">
        <v>4</v>
      </c>
      <c r="C45" s="426">
        <f>COUNTIF(E45:E48,"&lt;&gt;")</f>
        <v/>
      </c>
      <c r="D45" s="427">
        <f>C45-B45</f>
        <v/>
      </c>
      <c r="E45" s="445" t="inlineStr">
        <is>
          <t>Muhammad Adeef</t>
        </is>
      </c>
      <c r="F45" s="214" t="inlineStr">
        <is>
          <t>Hard Service</t>
        </is>
      </c>
      <c r="G45" s="203" t="n">
        <v>704249</v>
      </c>
      <c r="H45" s="205" t="n">
        <v>2586991453</v>
      </c>
      <c r="I45" s="446" t="inlineStr">
        <is>
          <t>Approved</t>
        </is>
      </c>
      <c r="J45" s="551" t="n">
        <v>46146</v>
      </c>
      <c r="K45" s="203" t="inlineStr">
        <is>
          <t>FMCO</t>
        </is>
      </c>
      <c r="L45" s="45" t="inlineStr">
        <is>
          <t>-</t>
        </is>
      </c>
      <c r="N45" s="178" t="n"/>
      <c r="O45" s="178" t="n"/>
      <c r="P45" s="178" t="n"/>
      <c r="Q45" s="178" t="n"/>
      <c r="R45" s="178" t="n"/>
      <c r="S45" s="178" t="n"/>
      <c r="T45" s="178" t="n"/>
    </row>
    <row r="46" ht="15.75" customHeight="1">
      <c r="A46" s="554" t="n"/>
      <c r="B46" s="554" t="n"/>
      <c r="C46" s="554" t="n"/>
      <c r="D46" s="554" t="n"/>
      <c r="E46" s="187" t="n"/>
      <c r="F46" s="214" t="inlineStr">
        <is>
          <t>Hard Service</t>
        </is>
      </c>
      <c r="G46" s="445" t="inlineStr">
        <is>
          <t>-</t>
        </is>
      </c>
      <c r="H46" s="445" t="inlineStr">
        <is>
          <t>-</t>
        </is>
      </c>
      <c r="I46" s="446" t="inlineStr">
        <is>
          <t>Vacant</t>
        </is>
      </c>
      <c r="J46" s="552" t="n"/>
      <c r="K46" s="446" t="inlineStr">
        <is>
          <t>-</t>
        </is>
      </c>
      <c r="L46" s="45" t="inlineStr">
        <is>
          <t>-</t>
        </is>
      </c>
      <c r="N46" s="178" t="n"/>
      <c r="O46" s="178" t="n"/>
      <c r="P46" s="178" t="n"/>
      <c r="Q46" s="178" t="n"/>
      <c r="R46" s="178" t="n"/>
      <c r="S46" s="178" t="n"/>
      <c r="T46" s="178" t="n"/>
    </row>
    <row r="47" ht="15.75" customHeight="1">
      <c r="A47" s="554" t="n"/>
      <c r="B47" s="554" t="n"/>
      <c r="C47" s="554" t="n"/>
      <c r="D47" s="554" t="n"/>
      <c r="E47" s="187" t="n"/>
      <c r="F47" s="214" t="inlineStr">
        <is>
          <t>Hard Service</t>
        </is>
      </c>
      <c r="G47" s="445" t="inlineStr">
        <is>
          <t>-</t>
        </is>
      </c>
      <c r="H47" s="445" t="inlineStr">
        <is>
          <t>-</t>
        </is>
      </c>
      <c r="I47" s="446" t="inlineStr">
        <is>
          <t>Vacant</t>
        </is>
      </c>
      <c r="J47" s="552" t="n"/>
      <c r="K47" s="446" t="inlineStr">
        <is>
          <t>-</t>
        </is>
      </c>
      <c r="L47" s="45" t="inlineStr">
        <is>
          <t>-</t>
        </is>
      </c>
      <c r="N47" s="178" t="n"/>
      <c r="O47" s="178" t="n"/>
      <c r="P47" s="178" t="n"/>
      <c r="Q47" s="178" t="n"/>
      <c r="R47" s="178" t="n"/>
      <c r="S47" s="178" t="n"/>
      <c r="T47" s="178" t="n"/>
    </row>
    <row r="48" ht="15.75" customHeight="1">
      <c r="A48" s="553" t="n"/>
      <c r="B48" s="553" t="n"/>
      <c r="C48" s="553" t="n"/>
      <c r="D48" s="553" t="n"/>
      <c r="E48" s="187" t="n"/>
      <c r="F48" s="214" t="inlineStr">
        <is>
          <t>Hard Service</t>
        </is>
      </c>
      <c r="G48" s="446" t="inlineStr">
        <is>
          <t>-</t>
        </is>
      </c>
      <c r="H48" s="45" t="inlineStr">
        <is>
          <t>-</t>
        </is>
      </c>
      <c r="I48" s="446" t="inlineStr">
        <is>
          <t>Vacant</t>
        </is>
      </c>
      <c r="J48" s="552" t="n"/>
      <c r="K48" s="446" t="inlineStr">
        <is>
          <t>-</t>
        </is>
      </c>
      <c r="L48" s="45" t="inlineStr">
        <is>
          <t>-</t>
        </is>
      </c>
      <c r="N48" s="178" t="n"/>
      <c r="O48" s="178" t="n"/>
      <c r="P48" s="178" t="n"/>
      <c r="Q48" s="178" t="n"/>
      <c r="R48" s="178" t="n"/>
      <c r="S48" s="178" t="n"/>
      <c r="T48" s="178" t="n"/>
    </row>
    <row r="49" ht="15.75" customHeight="1">
      <c r="A49" s="451" t="inlineStr">
        <is>
          <t>Mechanical Technician</t>
        </is>
      </c>
      <c r="B49" s="425" t="n">
        <v>4</v>
      </c>
      <c r="C49" s="426">
        <f>COUNTIF(E49:E52,"&lt;&gt;")</f>
        <v/>
      </c>
      <c r="D49" s="427">
        <f>C49-B49</f>
        <v/>
      </c>
      <c r="E49" s="445" t="inlineStr">
        <is>
          <t>Gulsan Naver Ehasan</t>
        </is>
      </c>
      <c r="F49" s="77" t="inlineStr">
        <is>
          <t>Hard Service</t>
        </is>
      </c>
      <c r="G49" s="445" t="inlineStr">
        <is>
          <t>C00199</t>
        </is>
      </c>
      <c r="H49" s="445" t="n">
        <v>2580201909</v>
      </c>
      <c r="I49" s="446" t="inlineStr">
        <is>
          <t>Approved</t>
        </is>
      </c>
      <c r="J49" s="551" t="n">
        <v>46087</v>
      </c>
      <c r="K49" s="446" t="inlineStr">
        <is>
          <t>MEHAN VISA</t>
        </is>
      </c>
      <c r="L49" s="45" t="inlineStr">
        <is>
          <t>-</t>
        </is>
      </c>
      <c r="N49" s="178" t="n"/>
      <c r="O49" s="178" t="n"/>
      <c r="P49" s="178" t="n"/>
      <c r="Q49" s="178" t="n"/>
      <c r="R49" s="178" t="n"/>
      <c r="S49" s="178" t="n"/>
      <c r="T49" s="178" t="n"/>
    </row>
    <row r="50" ht="15.75" customHeight="1">
      <c r="A50" s="554" t="n"/>
      <c r="B50" s="554" t="n"/>
      <c r="C50" s="554" t="n"/>
      <c r="D50" s="554" t="n"/>
      <c r="E50" s="445" t="inlineStr">
        <is>
          <t>Shah Alam</t>
        </is>
      </c>
      <c r="F50" s="77" t="inlineStr">
        <is>
          <t>Hard Service</t>
        </is>
      </c>
      <c r="G50" s="445" t="n">
        <v>703011</v>
      </c>
      <c r="H50" s="445" t="n">
        <v>2566169112</v>
      </c>
      <c r="I50" s="446" t="inlineStr">
        <is>
          <t>Approved</t>
        </is>
      </c>
      <c r="J50" s="551" t="n">
        <v>46119</v>
      </c>
      <c r="K50" s="446" t="inlineStr">
        <is>
          <t>FMCO</t>
        </is>
      </c>
      <c r="L50" s="45" t="inlineStr">
        <is>
          <t>-</t>
        </is>
      </c>
      <c r="N50" s="178" t="n"/>
      <c r="O50" s="178" t="n"/>
      <c r="P50" s="178" t="n"/>
      <c r="Q50" s="178" t="n"/>
      <c r="R50" s="178" t="n"/>
      <c r="S50" s="178" t="n"/>
      <c r="T50" s="178" t="n"/>
    </row>
    <row r="51" ht="15.75" customHeight="1">
      <c r="A51" s="554" t="n"/>
      <c r="B51" s="554" t="n"/>
      <c r="C51" s="554" t="n"/>
      <c r="D51" s="554" t="n"/>
      <c r="E51" s="445" t="inlineStr">
        <is>
          <t>Mohammmed Imtiyaz</t>
        </is>
      </c>
      <c r="F51" s="77" t="inlineStr">
        <is>
          <t>Hard Service</t>
        </is>
      </c>
      <c r="G51" s="445" t="n">
        <v>701159</v>
      </c>
      <c r="H51" s="445" t="n">
        <v>2526385659</v>
      </c>
      <c r="I51" s="446" t="inlineStr">
        <is>
          <t>Approved</t>
        </is>
      </c>
      <c r="J51" s="551" t="n">
        <v>46119</v>
      </c>
      <c r="K51" s="446" t="inlineStr">
        <is>
          <t>FMCO</t>
        </is>
      </c>
      <c r="L51" s="45" t="inlineStr">
        <is>
          <t>-</t>
        </is>
      </c>
      <c r="N51" s="178" t="n"/>
      <c r="O51" s="178" t="n"/>
      <c r="P51" s="178" t="n"/>
      <c r="Q51" s="178" t="n"/>
      <c r="R51" s="178" t="n"/>
      <c r="S51" s="178" t="n"/>
      <c r="T51" s="178" t="n"/>
    </row>
    <row r="52" ht="15.75" customHeight="1">
      <c r="A52" s="553" t="n"/>
      <c r="B52" s="553" t="n"/>
      <c r="C52" s="553" t="n"/>
      <c r="D52" s="553" t="n"/>
      <c r="E52" s="445" t="inlineStr">
        <is>
          <t>Pramod Kizhakke Chirayil</t>
        </is>
      </c>
      <c r="F52" s="77" t="inlineStr">
        <is>
          <t>Hard Service</t>
        </is>
      </c>
      <c r="G52" s="193" t="inlineStr">
        <is>
          <t>-</t>
        </is>
      </c>
      <c r="H52" s="215" t="n">
        <v>2638972964</v>
      </c>
      <c r="I52" s="446" t="inlineStr">
        <is>
          <t>Approved</t>
        </is>
      </c>
      <c r="J52" s="551" t="n">
        <v>46207</v>
      </c>
      <c r="K52" s="216" t="inlineStr">
        <is>
          <t xml:space="preserve">RAMZ </t>
        </is>
      </c>
      <c r="L52" s="45" t="inlineStr">
        <is>
          <t>-</t>
        </is>
      </c>
      <c r="N52" s="178" t="n"/>
      <c r="O52" s="178" t="n"/>
      <c r="P52" s="178" t="n"/>
      <c r="Q52" s="178" t="n"/>
      <c r="R52" s="178" t="n"/>
      <c r="S52" s="178" t="n"/>
      <c r="T52" s="178" t="n"/>
    </row>
    <row r="53" ht="15.75" customHeight="1">
      <c r="A53" s="451" t="inlineStr">
        <is>
          <t>AC Technician</t>
        </is>
      </c>
      <c r="B53" s="425" t="n">
        <v>16</v>
      </c>
      <c r="C53" s="426">
        <f>COUNTIF(E53:E64,"&lt;&gt;")</f>
        <v/>
      </c>
      <c r="D53" s="427">
        <f>C53-B53</f>
        <v/>
      </c>
      <c r="E53" s="445" t="inlineStr">
        <is>
          <t>Muhammad Zia-Ur Rehman</t>
        </is>
      </c>
      <c r="F53" s="77" t="inlineStr">
        <is>
          <t>Hard Service</t>
        </is>
      </c>
      <c r="G53" s="445" t="inlineStr">
        <is>
          <t>C00710</t>
        </is>
      </c>
      <c r="H53" s="445" t="n">
        <v>2582102121</v>
      </c>
      <c r="I53" s="446" t="inlineStr">
        <is>
          <t>Approved</t>
        </is>
      </c>
      <c r="J53" s="551" t="n">
        <v>45586</v>
      </c>
      <c r="K53" s="446" t="inlineStr">
        <is>
          <t>MEHAN VISA</t>
        </is>
      </c>
      <c r="L53" s="45" t="inlineStr">
        <is>
          <t>-</t>
        </is>
      </c>
      <c r="N53" s="178" t="n"/>
      <c r="O53" s="178" t="n"/>
      <c r="P53" s="178" t="n"/>
      <c r="Q53" s="178" t="n"/>
      <c r="R53" s="178" t="n"/>
      <c r="S53" s="178" t="n"/>
      <c r="T53" s="178" t="n"/>
    </row>
    <row r="54" ht="15.75" customHeight="1">
      <c r="A54" s="554" t="n"/>
      <c r="B54" s="554" t="n"/>
      <c r="C54" s="554" t="n"/>
      <c r="D54" s="554" t="n"/>
      <c r="E54" s="445" t="inlineStr">
        <is>
          <t>Mohammad Masoom Raza</t>
        </is>
      </c>
      <c r="F54" s="77" t="inlineStr">
        <is>
          <t>Hard Service</t>
        </is>
      </c>
      <c r="G54" s="445" t="inlineStr">
        <is>
          <t>C00762</t>
        </is>
      </c>
      <c r="H54" s="445" t="n">
        <v>2583232232</v>
      </c>
      <c r="I54" s="446" t="inlineStr">
        <is>
          <t>Approved</t>
        </is>
      </c>
      <c r="J54" s="551" t="n">
        <v>45586</v>
      </c>
      <c r="K54" s="446" t="inlineStr">
        <is>
          <t>MEHAN VISA</t>
        </is>
      </c>
      <c r="L54" s="45" t="inlineStr">
        <is>
          <t>-</t>
        </is>
      </c>
      <c r="N54" s="178" t="n"/>
      <c r="O54" s="178" t="n"/>
      <c r="P54" s="178" t="n"/>
      <c r="Q54" s="178" t="n"/>
      <c r="R54" s="178" t="n"/>
      <c r="S54" s="178" t="n"/>
      <c r="T54" s="178" t="n"/>
    </row>
    <row r="55" ht="15.75" customHeight="1">
      <c r="A55" s="554" t="n"/>
      <c r="B55" s="554" t="n"/>
      <c r="C55" s="554" t="n"/>
      <c r="D55" s="554" t="n"/>
      <c r="E55" s="445" t="inlineStr">
        <is>
          <t>Roman Khan</t>
        </is>
      </c>
      <c r="F55" s="77" t="inlineStr">
        <is>
          <t>Hard Service</t>
        </is>
      </c>
      <c r="G55" s="445" t="inlineStr">
        <is>
          <t>C00778</t>
        </is>
      </c>
      <c r="H55" s="445" t="n">
        <v>2584343319</v>
      </c>
      <c r="I55" s="446" t="inlineStr">
        <is>
          <t>Approved</t>
        </is>
      </c>
      <c r="J55" s="551" t="n">
        <v>45586</v>
      </c>
      <c r="K55" s="446" t="inlineStr">
        <is>
          <t>MEHAN VISA</t>
        </is>
      </c>
      <c r="L55" s="45" t="inlineStr">
        <is>
          <t>-</t>
        </is>
      </c>
      <c r="N55" s="178" t="n"/>
      <c r="O55" s="178" t="n"/>
      <c r="P55" s="178" t="n"/>
      <c r="Q55" s="178" t="n"/>
      <c r="R55" s="178" t="n"/>
      <c r="S55" s="178" t="n"/>
      <c r="T55" s="178" t="n"/>
    </row>
    <row r="56" ht="15.75" customHeight="1">
      <c r="A56" s="554" t="n"/>
      <c r="B56" s="554" t="n"/>
      <c r="C56" s="554" t="n"/>
      <c r="D56" s="554" t="n"/>
      <c r="E56" s="445" t="inlineStr">
        <is>
          <t>Mohammad Shahnawaz Alam</t>
        </is>
      </c>
      <c r="F56" s="77" t="inlineStr">
        <is>
          <t>Hard Service</t>
        </is>
      </c>
      <c r="G56" s="445" t="inlineStr">
        <is>
          <t>EM-0002662</t>
        </is>
      </c>
      <c r="H56" s="445" t="n">
        <v>2581031768</v>
      </c>
      <c r="I56" s="446" t="inlineStr">
        <is>
          <t>Approved</t>
        </is>
      </c>
      <c r="J56" s="551" t="n">
        <v>45720</v>
      </c>
      <c r="K56" s="446" t="inlineStr">
        <is>
          <t>AL-FALAK VISA</t>
        </is>
      </c>
      <c r="L56" s="45" t="inlineStr">
        <is>
          <t>-</t>
        </is>
      </c>
      <c r="N56" s="178" t="n"/>
      <c r="O56" s="178" t="n"/>
      <c r="P56" s="178" t="n"/>
      <c r="Q56" s="178" t="n"/>
      <c r="R56" s="178" t="n"/>
      <c r="S56" s="178" t="n"/>
      <c r="T56" s="178" t="n"/>
    </row>
    <row r="57" ht="15.75" customHeight="1">
      <c r="A57" s="554" t="n"/>
      <c r="B57" s="554" t="n"/>
      <c r="C57" s="554" t="n"/>
      <c r="D57" s="554" t="n"/>
      <c r="E57" s="445" t="inlineStr">
        <is>
          <t>Sarfraj Ahamad</t>
        </is>
      </c>
      <c r="F57" s="77" t="inlineStr">
        <is>
          <t>Hard Service</t>
        </is>
      </c>
      <c r="G57" s="445" t="inlineStr">
        <is>
          <t>EM-0002708</t>
        </is>
      </c>
      <c r="H57" s="445" t="n">
        <v>2587449030</v>
      </c>
      <c r="I57" s="446" t="inlineStr">
        <is>
          <t>Approved</t>
        </is>
      </c>
      <c r="J57" s="551" t="n">
        <v>45600</v>
      </c>
      <c r="K57" s="446" t="inlineStr">
        <is>
          <t>AL-FALAK VISA</t>
        </is>
      </c>
      <c r="L57" s="45" t="inlineStr">
        <is>
          <t>-</t>
        </is>
      </c>
      <c r="N57" s="178" t="n"/>
      <c r="O57" s="178" t="n"/>
      <c r="P57" s="178" t="n"/>
      <c r="Q57" s="178" t="n"/>
      <c r="R57" s="178" t="n"/>
      <c r="S57" s="178" t="n"/>
      <c r="T57" s="178" t="n"/>
    </row>
    <row r="58" ht="15.75" customHeight="1">
      <c r="A58" s="554" t="n"/>
      <c r="B58" s="554" t="n"/>
      <c r="C58" s="554" t="n"/>
      <c r="D58" s="554" t="n"/>
      <c r="E58" s="445" t="inlineStr">
        <is>
          <t>Abu Talha</t>
        </is>
      </c>
      <c r="F58" s="77" t="inlineStr">
        <is>
          <t>Hard Service</t>
        </is>
      </c>
      <c r="G58" s="445" t="n">
        <v>703931</v>
      </c>
      <c r="H58" s="445" t="n">
        <v>2586438729</v>
      </c>
      <c r="I58" s="446" t="inlineStr">
        <is>
          <t>Approved</t>
        </is>
      </c>
      <c r="J58" s="551" t="n">
        <v>45599</v>
      </c>
      <c r="K58" s="446" t="inlineStr">
        <is>
          <t>FMCO</t>
        </is>
      </c>
      <c r="L58" s="45" t="inlineStr">
        <is>
          <t>-</t>
        </is>
      </c>
      <c r="N58" s="178" t="n"/>
      <c r="O58" s="178" t="n"/>
      <c r="P58" s="178" t="n"/>
      <c r="Q58" s="178" t="n"/>
      <c r="R58" s="178" t="n"/>
      <c r="S58" s="178" t="n"/>
      <c r="T58" s="178" t="n"/>
    </row>
    <row r="59" ht="15.75" customHeight="1">
      <c r="A59" s="554" t="n"/>
      <c r="B59" s="554" t="n"/>
      <c r="C59" s="554" t="n"/>
      <c r="D59" s="554" t="n"/>
      <c r="E59" s="445" t="inlineStr">
        <is>
          <t>Sahjad Husain</t>
        </is>
      </c>
      <c r="F59" s="77" t="inlineStr">
        <is>
          <t>Hard Service</t>
        </is>
      </c>
      <c r="G59" s="445" t="inlineStr">
        <is>
          <t>C01370</t>
        </is>
      </c>
      <c r="H59" s="445" t="n">
        <v>2618058305</v>
      </c>
      <c r="I59" s="446" t="inlineStr">
        <is>
          <t>Approved</t>
        </is>
      </c>
      <c r="J59" s="551" t="n">
        <v>45954</v>
      </c>
      <c r="K59" s="446" t="inlineStr">
        <is>
          <t>MEHAN VISA</t>
        </is>
      </c>
      <c r="L59" s="45" t="inlineStr">
        <is>
          <t>-</t>
        </is>
      </c>
      <c r="N59" s="178" t="n"/>
      <c r="O59" s="178" t="n"/>
      <c r="P59" s="178" t="n"/>
      <c r="Q59" s="178" t="n"/>
      <c r="R59" s="178" t="n"/>
      <c r="S59" s="178" t="n"/>
      <c r="T59" s="178" t="n"/>
    </row>
    <row r="60" ht="15.75" customHeight="1">
      <c r="A60" s="554" t="n"/>
      <c r="B60" s="554" t="n"/>
      <c r="C60" s="554" t="n"/>
      <c r="D60" s="554" t="n"/>
      <c r="E60" s="445" t="inlineStr">
        <is>
          <t>Kawsar Alam</t>
        </is>
      </c>
      <c r="F60" s="77" t="inlineStr">
        <is>
          <t>Hard Service</t>
        </is>
      </c>
      <c r="G60" s="193" t="inlineStr">
        <is>
          <t>-</t>
        </is>
      </c>
      <c r="H60" s="215" t="n">
        <v>2571571682</v>
      </c>
      <c r="I60" s="446" t="inlineStr">
        <is>
          <t>Approved</t>
        </is>
      </c>
      <c r="J60" s="551" t="n">
        <v>46207</v>
      </c>
      <c r="K60" s="216" t="inlineStr">
        <is>
          <t xml:space="preserve">RAMZ </t>
        </is>
      </c>
      <c r="L60" s="45" t="inlineStr">
        <is>
          <t>-</t>
        </is>
      </c>
      <c r="N60" s="178" t="n"/>
      <c r="O60" s="178" t="n"/>
      <c r="P60" s="178" t="n"/>
      <c r="Q60" s="178" t="n"/>
      <c r="R60" s="178" t="n"/>
      <c r="S60" s="178" t="n"/>
      <c r="T60" s="178" t="n"/>
    </row>
    <row r="61" ht="15.75" customHeight="1">
      <c r="A61" s="554" t="n"/>
      <c r="B61" s="554" t="n"/>
      <c r="C61" s="554" t="n"/>
      <c r="D61" s="554" t="n"/>
      <c r="E61" s="445" t="inlineStr">
        <is>
          <t>Tamim Shihab Khan</t>
        </is>
      </c>
      <c r="F61" s="77" t="inlineStr">
        <is>
          <t>Hard Service</t>
        </is>
      </c>
      <c r="G61" s="193" t="inlineStr">
        <is>
          <t>-</t>
        </is>
      </c>
      <c r="H61" s="215" t="n">
        <v>2604894358</v>
      </c>
      <c r="I61" s="446" t="inlineStr">
        <is>
          <t>Approved</t>
        </is>
      </c>
      <c r="J61" s="551" t="n">
        <v>46207</v>
      </c>
      <c r="K61" s="216" t="inlineStr">
        <is>
          <t xml:space="preserve">RAMZ </t>
        </is>
      </c>
      <c r="L61" s="45" t="inlineStr">
        <is>
          <t>-</t>
        </is>
      </c>
      <c r="N61" s="178" t="n"/>
      <c r="O61" s="178" t="n"/>
      <c r="P61" s="178" t="n"/>
      <c r="Q61" s="178" t="n"/>
      <c r="R61" s="178" t="n"/>
      <c r="S61" s="178" t="n"/>
      <c r="T61" s="178" t="n"/>
    </row>
    <row r="62" ht="15.75" customHeight="1">
      <c r="A62" s="554" t="n"/>
      <c r="B62" s="554" t="n"/>
      <c r="C62" s="554" t="n"/>
      <c r="D62" s="554" t="n"/>
      <c r="E62" s="445" t="inlineStr">
        <is>
          <t>Rayhan Islam</t>
        </is>
      </c>
      <c r="F62" s="77" t="inlineStr">
        <is>
          <t>Hard Service</t>
        </is>
      </c>
      <c r="G62" s="193" t="inlineStr">
        <is>
          <t>-</t>
        </is>
      </c>
      <c r="H62" s="215" t="n">
        <v>2591438425</v>
      </c>
      <c r="I62" s="446" t="inlineStr">
        <is>
          <t>Approved</t>
        </is>
      </c>
      <c r="J62" s="551" t="n">
        <v>46209</v>
      </c>
      <c r="K62" s="216" t="inlineStr">
        <is>
          <t xml:space="preserve">RAMZ </t>
        </is>
      </c>
      <c r="L62" s="45" t="inlineStr">
        <is>
          <t>-</t>
        </is>
      </c>
      <c r="N62" s="178" t="n"/>
      <c r="O62" s="178" t="n"/>
      <c r="P62" s="178" t="n"/>
      <c r="Q62" s="178" t="n"/>
      <c r="R62" s="178" t="n"/>
      <c r="S62" s="178" t="n"/>
      <c r="T62" s="178" t="n"/>
    </row>
    <row r="63" ht="15.75" customHeight="1">
      <c r="A63" s="554" t="n"/>
      <c r="B63" s="554" t="n"/>
      <c r="C63" s="554" t="n"/>
      <c r="D63" s="554" t="n"/>
      <c r="E63" s="445" t="inlineStr">
        <is>
          <t>Md Nasir Uddin</t>
        </is>
      </c>
      <c r="F63" s="77" t="inlineStr">
        <is>
          <t>Hard Service</t>
        </is>
      </c>
      <c r="G63" s="193" t="inlineStr">
        <is>
          <t>-</t>
        </is>
      </c>
      <c r="H63" s="215" t="n">
        <v>2620030672</v>
      </c>
      <c r="I63" s="446" t="inlineStr">
        <is>
          <t>Approved</t>
        </is>
      </c>
      <c r="J63" s="551" t="n">
        <v>46207</v>
      </c>
      <c r="K63" s="216" t="inlineStr">
        <is>
          <t xml:space="preserve">RAMZ </t>
        </is>
      </c>
      <c r="L63" s="45" t="inlineStr">
        <is>
          <t>-</t>
        </is>
      </c>
      <c r="N63" s="178" t="n"/>
      <c r="O63" s="178" t="n"/>
      <c r="P63" s="178" t="n"/>
      <c r="Q63" s="178" t="n"/>
      <c r="R63" s="178" t="n"/>
      <c r="S63" s="178" t="n"/>
      <c r="T63" s="178" t="n"/>
    </row>
    <row r="64" ht="15.75" customHeight="1">
      <c r="A64" s="554" t="n"/>
      <c r="B64" s="554" t="n"/>
      <c r="C64" s="554" t="n"/>
      <c r="D64" s="554" t="n"/>
      <c r="E64" s="445" t="inlineStr">
        <is>
          <t>Maruf Ahamad</t>
        </is>
      </c>
      <c r="F64" s="77" t="inlineStr">
        <is>
          <t>Hard Service</t>
        </is>
      </c>
      <c r="G64" s="193" t="inlineStr">
        <is>
          <t>-</t>
        </is>
      </c>
      <c r="H64" s="439" t="n">
        <v>2536547298</v>
      </c>
      <c r="I64" s="446" t="inlineStr">
        <is>
          <t>Approved</t>
        </is>
      </c>
      <c r="J64" s="551" t="n">
        <v>46207</v>
      </c>
      <c r="K64" s="216" t="inlineStr">
        <is>
          <t xml:space="preserve">RAMZ </t>
        </is>
      </c>
      <c r="L64" s="45" t="inlineStr">
        <is>
          <t>-</t>
        </is>
      </c>
      <c r="N64" s="178" t="n"/>
      <c r="O64" s="178" t="n"/>
      <c r="P64" s="178" t="n"/>
      <c r="Q64" s="178" t="n"/>
      <c r="R64" s="178" t="n"/>
      <c r="S64" s="178" t="n"/>
      <c r="T64" s="178" t="n"/>
    </row>
    <row r="65" ht="15.75" customHeight="1">
      <c r="A65" s="554" t="n"/>
      <c r="B65" s="554" t="n"/>
      <c r="C65" s="554" t="n"/>
      <c r="D65" s="554" t="n"/>
      <c r="E65" s="409" t="n"/>
      <c r="F65" s="77" t="inlineStr">
        <is>
          <t>Hard Service</t>
        </is>
      </c>
      <c r="G65" s="409" t="n"/>
      <c r="H65" s="409" t="n"/>
      <c r="I65" s="446" t="inlineStr">
        <is>
          <t>Vacant</t>
        </is>
      </c>
      <c r="J65" s="582" t="n"/>
      <c r="K65" s="315" t="n"/>
      <c r="L65" s="45" t="inlineStr">
        <is>
          <t>-</t>
        </is>
      </c>
      <c r="N65" s="178" t="n"/>
      <c r="O65" s="178" t="n"/>
      <c r="P65" s="178" t="n"/>
      <c r="Q65" s="178" t="n"/>
      <c r="R65" s="178" t="n"/>
      <c r="S65" s="178" t="n"/>
      <c r="T65" s="178" t="n"/>
    </row>
    <row r="66" ht="15.75" customHeight="1">
      <c r="A66" s="554" t="n"/>
      <c r="B66" s="554" t="n"/>
      <c r="C66" s="554" t="n"/>
      <c r="D66" s="554" t="n"/>
      <c r="E66" s="409" t="n"/>
      <c r="F66" s="77" t="inlineStr">
        <is>
          <t>Hard Service</t>
        </is>
      </c>
      <c r="G66" s="409" t="n"/>
      <c r="H66" s="409" t="n"/>
      <c r="I66" s="446" t="inlineStr">
        <is>
          <t>Vacant</t>
        </is>
      </c>
      <c r="J66" s="582" t="n"/>
      <c r="K66" s="315" t="n"/>
      <c r="L66" s="45" t="inlineStr">
        <is>
          <t>-</t>
        </is>
      </c>
      <c r="N66" s="178" t="n"/>
      <c r="O66" s="178" t="n"/>
      <c r="P66" s="178" t="n"/>
      <c r="Q66" s="178" t="n"/>
      <c r="R66" s="178" t="n"/>
      <c r="S66" s="178" t="n"/>
      <c r="T66" s="178" t="n"/>
    </row>
    <row r="67" ht="15.75" customHeight="1">
      <c r="A67" s="554" t="n"/>
      <c r="B67" s="554" t="n"/>
      <c r="C67" s="554" t="n"/>
      <c r="D67" s="554" t="n"/>
      <c r="E67" s="409" t="n"/>
      <c r="F67" s="77" t="inlineStr">
        <is>
          <t>Hard Service</t>
        </is>
      </c>
      <c r="G67" s="409" t="n"/>
      <c r="H67" s="409" t="n"/>
      <c r="I67" s="446" t="inlineStr">
        <is>
          <t>Vacant</t>
        </is>
      </c>
      <c r="J67" s="582" t="n"/>
      <c r="K67" s="315" t="n"/>
      <c r="L67" s="45" t="inlineStr">
        <is>
          <t>-</t>
        </is>
      </c>
      <c r="N67" s="178" t="n"/>
      <c r="O67" s="178" t="n"/>
      <c r="P67" s="178" t="n"/>
      <c r="Q67" s="178" t="n"/>
      <c r="R67" s="178" t="n"/>
      <c r="S67" s="178" t="n"/>
      <c r="T67" s="178" t="n"/>
    </row>
    <row r="68" ht="15.75" customHeight="1">
      <c r="A68" s="553" t="n"/>
      <c r="B68" s="553" t="n"/>
      <c r="C68" s="553" t="n"/>
      <c r="D68" s="553" t="n"/>
      <c r="E68" s="409" t="n"/>
      <c r="F68" s="77" t="inlineStr">
        <is>
          <t>Hard Service</t>
        </is>
      </c>
      <c r="G68" s="409" t="n"/>
      <c r="H68" s="409" t="n"/>
      <c r="I68" s="446" t="inlineStr">
        <is>
          <t>Vacant</t>
        </is>
      </c>
      <c r="J68" s="582" t="n"/>
      <c r="K68" s="315" t="n"/>
      <c r="L68" s="45" t="inlineStr">
        <is>
          <t>-</t>
        </is>
      </c>
      <c r="N68" s="178" t="n"/>
      <c r="O68" s="178" t="n"/>
      <c r="P68" s="178" t="n"/>
      <c r="Q68" s="178" t="n"/>
      <c r="R68" s="178" t="n"/>
      <c r="S68" s="178" t="n"/>
      <c r="T68" s="178" t="n"/>
    </row>
    <row r="69" ht="15.75" customHeight="1">
      <c r="A69" s="429" t="inlineStr">
        <is>
          <t>Assitant AC Techncian</t>
        </is>
      </c>
      <c r="B69" s="429" t="n">
        <v>6</v>
      </c>
      <c r="C69" s="429">
        <f>COUNTIF(E69:E74,"&lt;&gt;")</f>
        <v/>
      </c>
      <c r="D69" s="430">
        <f>C69-B69</f>
        <v/>
      </c>
      <c r="E69" s="445" t="inlineStr">
        <is>
          <t>Mohd Tarik Mohd Asalam</t>
        </is>
      </c>
      <c r="F69" s="77" t="inlineStr">
        <is>
          <t>Hard Service</t>
        </is>
      </c>
      <c r="G69" s="445" t="inlineStr">
        <is>
          <t>C01321</t>
        </is>
      </c>
      <c r="H69" s="445" t="n">
        <v>2617065988</v>
      </c>
      <c r="I69" s="446" t="inlineStr">
        <is>
          <t>Approved</t>
        </is>
      </c>
      <c r="J69" s="551" t="n">
        <v>46079</v>
      </c>
      <c r="K69" s="446" t="inlineStr">
        <is>
          <t>MEHAN VISA</t>
        </is>
      </c>
      <c r="L69" s="45" t="inlineStr">
        <is>
          <t>-</t>
        </is>
      </c>
      <c r="N69" s="178" t="n"/>
      <c r="O69" s="178" t="n"/>
      <c r="P69" s="178" t="n"/>
      <c r="Q69" s="178" t="n"/>
      <c r="R69" s="178" t="n"/>
      <c r="S69" s="178" t="n"/>
      <c r="T69" s="178" t="n"/>
    </row>
    <row r="70" ht="15.75" customHeight="1">
      <c r="A70" s="554" t="n"/>
      <c r="B70" s="554" t="n"/>
      <c r="C70" s="554" t="n"/>
      <c r="D70" s="554" t="n"/>
      <c r="E70" s="187" t="n"/>
      <c r="F70" s="77" t="inlineStr">
        <is>
          <t>Hard Service</t>
        </is>
      </c>
      <c r="G70" s="446" t="inlineStr">
        <is>
          <t>-</t>
        </is>
      </c>
      <c r="H70" s="45" t="inlineStr">
        <is>
          <t>-</t>
        </is>
      </c>
      <c r="I70" s="446" t="inlineStr">
        <is>
          <t>Vacant</t>
        </is>
      </c>
      <c r="J70" s="446" t="inlineStr">
        <is>
          <t>-</t>
        </is>
      </c>
      <c r="K70" s="446" t="inlineStr">
        <is>
          <t>-</t>
        </is>
      </c>
      <c r="L70" s="45" t="inlineStr">
        <is>
          <t>-</t>
        </is>
      </c>
      <c r="N70" s="178" t="n"/>
      <c r="O70" s="178" t="n"/>
      <c r="P70" s="178" t="n"/>
      <c r="Q70" s="178" t="n"/>
      <c r="R70" s="178" t="n"/>
      <c r="S70" s="178" t="n"/>
      <c r="T70" s="178" t="n"/>
    </row>
    <row r="71" ht="15.75" customHeight="1">
      <c r="A71" s="554" t="n"/>
      <c r="B71" s="554" t="n"/>
      <c r="C71" s="554" t="n"/>
      <c r="D71" s="554" t="n"/>
      <c r="E71" s="187" t="n"/>
      <c r="F71" s="77" t="inlineStr">
        <is>
          <t>Hard Service</t>
        </is>
      </c>
      <c r="G71" s="446" t="inlineStr">
        <is>
          <t>-</t>
        </is>
      </c>
      <c r="H71" s="45" t="inlineStr">
        <is>
          <t>-</t>
        </is>
      </c>
      <c r="I71" s="446" t="inlineStr">
        <is>
          <t>Vacant</t>
        </is>
      </c>
      <c r="J71" s="446" t="inlineStr">
        <is>
          <t>-</t>
        </is>
      </c>
      <c r="K71" s="446" t="inlineStr">
        <is>
          <t>-</t>
        </is>
      </c>
      <c r="L71" s="45" t="inlineStr">
        <is>
          <t>-</t>
        </is>
      </c>
      <c r="N71" s="178" t="n"/>
      <c r="O71" s="178" t="n"/>
      <c r="P71" s="178" t="n"/>
      <c r="Q71" s="178" t="n"/>
      <c r="R71" s="178" t="n"/>
      <c r="S71" s="178" t="n"/>
      <c r="T71" s="178" t="n"/>
    </row>
    <row r="72" ht="15.75" customHeight="1">
      <c r="A72" s="554" t="n"/>
      <c r="B72" s="554" t="n"/>
      <c r="C72" s="554" t="n"/>
      <c r="D72" s="554" t="n"/>
      <c r="E72" s="187" t="n"/>
      <c r="F72" s="77" t="inlineStr">
        <is>
          <t>Hard Service</t>
        </is>
      </c>
      <c r="G72" s="446" t="inlineStr">
        <is>
          <t>-</t>
        </is>
      </c>
      <c r="H72" s="45" t="inlineStr">
        <is>
          <t>-</t>
        </is>
      </c>
      <c r="I72" s="446" t="inlineStr">
        <is>
          <t>Vacant</t>
        </is>
      </c>
      <c r="J72" s="446" t="inlineStr">
        <is>
          <t>-</t>
        </is>
      </c>
      <c r="K72" s="446" t="inlineStr">
        <is>
          <t>-</t>
        </is>
      </c>
      <c r="L72" s="45" t="inlineStr">
        <is>
          <t>-</t>
        </is>
      </c>
      <c r="N72" s="178" t="n"/>
      <c r="O72" s="178" t="n"/>
      <c r="P72" s="178" t="n"/>
      <c r="Q72" s="178" t="n"/>
      <c r="R72" s="178" t="n"/>
      <c r="S72" s="178" t="n"/>
      <c r="T72" s="178" t="n"/>
    </row>
    <row r="73" ht="15.75" customHeight="1">
      <c r="A73" s="554" t="n"/>
      <c r="B73" s="554" t="n"/>
      <c r="C73" s="554" t="n"/>
      <c r="D73" s="554" t="n"/>
      <c r="E73" s="187" t="n"/>
      <c r="F73" s="77" t="inlineStr">
        <is>
          <t>Hard Service</t>
        </is>
      </c>
      <c r="G73" s="446" t="inlineStr">
        <is>
          <t>-</t>
        </is>
      </c>
      <c r="H73" s="45" t="inlineStr">
        <is>
          <t>-</t>
        </is>
      </c>
      <c r="I73" s="446" t="inlineStr">
        <is>
          <t>Vacant</t>
        </is>
      </c>
      <c r="J73" s="446" t="inlineStr">
        <is>
          <t>-</t>
        </is>
      </c>
      <c r="K73" s="446" t="inlineStr">
        <is>
          <t>-</t>
        </is>
      </c>
      <c r="L73" s="45" t="inlineStr">
        <is>
          <t>-</t>
        </is>
      </c>
      <c r="N73" s="178" t="n"/>
      <c r="O73" s="178" t="n"/>
      <c r="P73" s="178" t="n"/>
      <c r="Q73" s="178" t="n"/>
      <c r="R73" s="178" t="n"/>
      <c r="S73" s="178" t="n"/>
      <c r="T73" s="178" t="n"/>
    </row>
    <row r="74" ht="15.75" customHeight="1">
      <c r="A74" s="553" t="n"/>
      <c r="B74" s="553" t="n"/>
      <c r="C74" s="553" t="n"/>
      <c r="D74" s="553" t="n"/>
      <c r="E74" s="187" t="n"/>
      <c r="F74" s="77" t="inlineStr">
        <is>
          <t>Hard Service</t>
        </is>
      </c>
      <c r="G74" s="446" t="inlineStr">
        <is>
          <t>-</t>
        </is>
      </c>
      <c r="H74" s="45" t="inlineStr">
        <is>
          <t>-</t>
        </is>
      </c>
      <c r="I74" s="446" t="inlineStr">
        <is>
          <t>Vacant</t>
        </is>
      </c>
      <c r="J74" s="446" t="inlineStr">
        <is>
          <t>-</t>
        </is>
      </c>
      <c r="K74" s="446" t="inlineStr">
        <is>
          <t>-</t>
        </is>
      </c>
      <c r="L74" s="45" t="inlineStr">
        <is>
          <t>-</t>
        </is>
      </c>
      <c r="N74" s="178" t="n"/>
      <c r="O74" s="178" t="n"/>
      <c r="P74" s="178" t="n"/>
      <c r="Q74" s="178" t="n"/>
      <c r="R74" s="178" t="n"/>
      <c r="S74" s="178" t="n"/>
      <c r="T74" s="178" t="n"/>
    </row>
    <row r="75" ht="15.75" customHeight="1">
      <c r="A75" s="451" t="inlineStr">
        <is>
          <t>Plumber</t>
        </is>
      </c>
      <c r="B75" s="425" t="n">
        <v>14</v>
      </c>
      <c r="C75" s="426">
        <f>COUNTIF(E75:E86,"&lt;&gt;")</f>
        <v/>
      </c>
      <c r="D75" s="427">
        <f>C75-B75</f>
        <v/>
      </c>
      <c r="E75" s="445" t="inlineStr">
        <is>
          <t>Mohammad Azad</t>
        </is>
      </c>
      <c r="F75" s="77" t="inlineStr">
        <is>
          <t>Hard Service</t>
        </is>
      </c>
      <c r="G75" s="445" t="n">
        <v>703907</v>
      </c>
      <c r="H75" s="445" t="n">
        <v>2587607231</v>
      </c>
      <c r="I75" s="446" t="inlineStr">
        <is>
          <t>Approved</t>
        </is>
      </c>
      <c r="J75" s="551" t="n">
        <v>45586</v>
      </c>
      <c r="K75" s="446" t="inlineStr">
        <is>
          <t>FMCO</t>
        </is>
      </c>
      <c r="L75" s="45" t="inlineStr">
        <is>
          <t>-</t>
        </is>
      </c>
      <c r="N75" s="178" t="n"/>
      <c r="O75" s="178" t="n"/>
      <c r="P75" s="178" t="n"/>
      <c r="Q75" s="178" t="n"/>
      <c r="R75" s="178" t="n"/>
      <c r="S75" s="178" t="n"/>
      <c r="T75" s="178" t="n"/>
    </row>
    <row r="76" ht="15.75" customHeight="1">
      <c r="A76" s="554" t="n"/>
      <c r="B76" s="554" t="n"/>
      <c r="C76" s="554" t="n"/>
      <c r="D76" s="554" t="n"/>
      <c r="E76" s="445" t="inlineStr">
        <is>
          <t>Nouman Rasheed</t>
        </is>
      </c>
      <c r="F76" s="77" t="inlineStr">
        <is>
          <t>Hard Service</t>
        </is>
      </c>
      <c r="G76" s="445" t="inlineStr">
        <is>
          <t>C00467</t>
        </is>
      </c>
      <c r="H76" s="445" t="n">
        <v>2581349749</v>
      </c>
      <c r="I76" s="446" t="inlineStr">
        <is>
          <t>Approved</t>
        </is>
      </c>
      <c r="J76" s="551" t="n">
        <v>45720</v>
      </c>
      <c r="K76" s="446" t="inlineStr">
        <is>
          <t>MEHAN VISA</t>
        </is>
      </c>
      <c r="L76" s="45" t="inlineStr">
        <is>
          <t>-</t>
        </is>
      </c>
      <c r="N76" s="178" t="n"/>
      <c r="O76" s="178" t="n"/>
      <c r="P76" s="178" t="n"/>
      <c r="Q76" s="178" t="n"/>
      <c r="R76" s="178" t="n"/>
      <c r="S76" s="178" t="n"/>
      <c r="T76" s="178" t="n"/>
    </row>
    <row r="77" ht="15.75" customHeight="1">
      <c r="A77" s="554" t="n"/>
      <c r="B77" s="554" t="n"/>
      <c r="C77" s="554" t="n"/>
      <c r="D77" s="554" t="n"/>
      <c r="E77" s="445" t="inlineStr">
        <is>
          <t>Mohammad Kasim</t>
        </is>
      </c>
      <c r="F77" s="77" t="inlineStr">
        <is>
          <t>Hard Service</t>
        </is>
      </c>
      <c r="G77" s="445" t="inlineStr">
        <is>
          <t>C00819</t>
        </is>
      </c>
      <c r="H77" s="445" t="n">
        <v>2584702100</v>
      </c>
      <c r="I77" s="446" t="inlineStr">
        <is>
          <t>Approved</t>
        </is>
      </c>
      <c r="J77" s="551" t="n">
        <v>45586</v>
      </c>
      <c r="K77" s="446" t="inlineStr">
        <is>
          <t>MEHAN VISA</t>
        </is>
      </c>
      <c r="L77" s="45" t="inlineStr">
        <is>
          <t>-</t>
        </is>
      </c>
      <c r="N77" s="178" t="n"/>
      <c r="O77" s="178" t="n"/>
      <c r="P77" s="178" t="n"/>
      <c r="Q77" s="178" t="n"/>
      <c r="R77" s="178" t="n"/>
      <c r="S77" s="178" t="n"/>
      <c r="T77" s="178" t="n"/>
    </row>
    <row r="78" ht="15.75" customHeight="1">
      <c r="A78" s="554" t="n"/>
      <c r="B78" s="554" t="n"/>
      <c r="C78" s="554" t="n"/>
      <c r="D78" s="554" t="n"/>
      <c r="E78" s="445" t="inlineStr">
        <is>
          <t>Famin Ahmed Faruk Ahmed</t>
        </is>
      </c>
      <c r="F78" s="77" t="inlineStr">
        <is>
          <t>Hard Service</t>
        </is>
      </c>
      <c r="G78" s="193" t="inlineStr">
        <is>
          <t>-</t>
        </is>
      </c>
      <c r="H78" s="215" t="n">
        <v>2629084688</v>
      </c>
      <c r="I78" s="446" t="inlineStr">
        <is>
          <t>Approved</t>
        </is>
      </c>
      <c r="J78" s="551" t="n">
        <v>46207</v>
      </c>
      <c r="K78" s="216" t="inlineStr">
        <is>
          <t xml:space="preserve">RAMZ </t>
        </is>
      </c>
      <c r="L78" s="45" t="inlineStr">
        <is>
          <t>-</t>
        </is>
      </c>
      <c r="N78" s="178" t="n"/>
      <c r="O78" s="178" t="n"/>
      <c r="P78" s="178" t="n"/>
      <c r="Q78" s="178" t="n"/>
      <c r="R78" s="178" t="n"/>
      <c r="S78" s="178" t="n"/>
      <c r="T78" s="178" t="n"/>
    </row>
    <row r="79" ht="15.75" customHeight="1">
      <c r="A79" s="554" t="n"/>
      <c r="B79" s="554" t="n"/>
      <c r="C79" s="554" t="n"/>
      <c r="D79" s="554" t="n"/>
      <c r="E79" s="445" t="inlineStr">
        <is>
          <t>Md Bayzid Mia Maksodul Haq</t>
        </is>
      </c>
      <c r="F79" s="77" t="inlineStr">
        <is>
          <t>Hard Service</t>
        </is>
      </c>
      <c r="G79" s="193" t="inlineStr">
        <is>
          <t>-</t>
        </is>
      </c>
      <c r="H79" s="215" t="n">
        <v>2633355181</v>
      </c>
      <c r="I79" s="446" t="inlineStr">
        <is>
          <t>Approved</t>
        </is>
      </c>
      <c r="J79" s="551" t="n">
        <v>46207</v>
      </c>
      <c r="K79" s="216" t="inlineStr">
        <is>
          <t xml:space="preserve">RAMZ </t>
        </is>
      </c>
      <c r="L79" s="45" t="inlineStr">
        <is>
          <t>-</t>
        </is>
      </c>
      <c r="N79" s="178" t="n"/>
      <c r="O79" s="178" t="n"/>
      <c r="P79" s="178" t="n"/>
      <c r="Q79" s="178" t="n"/>
      <c r="R79" s="178" t="n"/>
      <c r="S79" s="178" t="n"/>
      <c r="T79" s="178" t="n"/>
    </row>
    <row r="80" ht="15.75" customHeight="1">
      <c r="A80" s="554" t="n"/>
      <c r="B80" s="554" t="n"/>
      <c r="C80" s="554" t="n"/>
      <c r="D80" s="554" t="n"/>
      <c r="E80" s="445" t="inlineStr">
        <is>
          <t>Md Joynal Abedin Hazi Abul Kasem</t>
        </is>
      </c>
      <c r="F80" s="77" t="inlineStr">
        <is>
          <t>Hard Service</t>
        </is>
      </c>
      <c r="G80" s="193" t="inlineStr">
        <is>
          <t>-</t>
        </is>
      </c>
      <c r="H80" s="215" t="n">
        <v>2633414566</v>
      </c>
      <c r="I80" s="446" t="inlineStr">
        <is>
          <t>Approved</t>
        </is>
      </c>
      <c r="J80" s="551" t="n">
        <v>46207</v>
      </c>
      <c r="K80" s="216" t="inlineStr">
        <is>
          <t xml:space="preserve">RAMZ </t>
        </is>
      </c>
      <c r="L80" s="45" t="inlineStr">
        <is>
          <t>-</t>
        </is>
      </c>
      <c r="N80" s="178" t="n"/>
      <c r="O80" s="178" t="n"/>
      <c r="P80" s="178" t="n"/>
      <c r="Q80" s="178" t="n"/>
      <c r="R80" s="178" t="n"/>
      <c r="S80" s="178" t="n"/>
      <c r="T80" s="178" t="n"/>
    </row>
    <row r="81" ht="15.75" customHeight="1">
      <c r="A81" s="554" t="n"/>
      <c r="B81" s="554" t="n"/>
      <c r="C81" s="554" t="n"/>
      <c r="D81" s="554" t="n"/>
      <c r="E81" s="445" t="inlineStr">
        <is>
          <t>Md Foredujjaman</t>
        </is>
      </c>
      <c r="F81" s="77" t="inlineStr">
        <is>
          <t>Hard Service</t>
        </is>
      </c>
      <c r="G81" s="193" t="inlineStr">
        <is>
          <t>-</t>
        </is>
      </c>
      <c r="H81" s="215" t="n">
        <v>2629090578</v>
      </c>
      <c r="I81" s="446" t="inlineStr">
        <is>
          <t>Approved</t>
        </is>
      </c>
      <c r="J81" s="551" t="n">
        <v>46207</v>
      </c>
      <c r="K81" s="216" t="inlineStr">
        <is>
          <t xml:space="preserve">RAMZ </t>
        </is>
      </c>
      <c r="L81" s="45" t="inlineStr">
        <is>
          <t>-</t>
        </is>
      </c>
      <c r="N81" s="178" t="n"/>
      <c r="O81" s="178" t="n"/>
      <c r="P81" s="178" t="n"/>
      <c r="Q81" s="178" t="n"/>
      <c r="R81" s="178" t="n"/>
      <c r="S81" s="178" t="n"/>
      <c r="T81" s="178" t="n"/>
    </row>
    <row r="82" ht="15.75" customHeight="1">
      <c r="A82" s="554" t="n"/>
      <c r="B82" s="554" t="n"/>
      <c r="C82" s="554" t="n"/>
      <c r="D82" s="554" t="n"/>
      <c r="E82" s="445" t="inlineStr">
        <is>
          <t>SAJAN</t>
        </is>
      </c>
      <c r="F82" s="77" t="inlineStr">
        <is>
          <t>Hard Service</t>
        </is>
      </c>
      <c r="G82" s="446" t="inlineStr">
        <is>
          <t>-</t>
        </is>
      </c>
      <c r="H82" s="45" t="inlineStr">
        <is>
          <t>-</t>
        </is>
      </c>
      <c r="I82" s="446" t="inlineStr">
        <is>
          <t>Approved</t>
        </is>
      </c>
      <c r="J82" s="551" t="inlineStr">
        <is>
          <t>27-Jul-26</t>
        </is>
      </c>
      <c r="K82" s="446" t="inlineStr">
        <is>
          <t>-</t>
        </is>
      </c>
      <c r="L82" s="45" t="inlineStr">
        <is>
          <t>-</t>
        </is>
      </c>
      <c r="N82" s="178" t="n"/>
      <c r="O82" s="178" t="n"/>
      <c r="P82" s="178" t="n"/>
      <c r="Q82" s="178" t="n"/>
      <c r="R82" s="178" t="n"/>
      <c r="S82" s="178" t="n"/>
      <c r="T82" s="178" t="n"/>
    </row>
    <row r="83" ht="15.75" customHeight="1">
      <c r="A83" s="554" t="n"/>
      <c r="B83" s="554" t="n"/>
      <c r="C83" s="554" t="n"/>
      <c r="D83" s="554" t="n"/>
      <c r="E83" s="445" t="inlineStr">
        <is>
          <t>MD SHAMSHER MD MOHIUDDIN</t>
        </is>
      </c>
      <c r="F83" s="77" t="inlineStr">
        <is>
          <t>Hard Service</t>
        </is>
      </c>
      <c r="G83" s="446" t="inlineStr">
        <is>
          <t>-</t>
        </is>
      </c>
      <c r="H83" s="45" t="inlineStr">
        <is>
          <t>-</t>
        </is>
      </c>
      <c r="I83" s="446" t="inlineStr">
        <is>
          <t>Approved</t>
        </is>
      </c>
      <c r="J83" s="551" t="inlineStr">
        <is>
          <t>27-Jul-26</t>
        </is>
      </c>
      <c r="K83" s="446" t="inlineStr">
        <is>
          <t>-</t>
        </is>
      </c>
      <c r="L83" s="45" t="inlineStr">
        <is>
          <t>-</t>
        </is>
      </c>
      <c r="N83" s="178" t="n"/>
      <c r="O83" s="178" t="n"/>
      <c r="P83" s="178" t="n"/>
      <c r="Q83" s="178" t="n"/>
      <c r="R83" s="178" t="n"/>
      <c r="S83" s="178" t="n"/>
      <c r="T83" s="178" t="n"/>
    </row>
    <row r="84" ht="15.75" customHeight="1">
      <c r="A84" s="554" t="n"/>
      <c r="B84" s="554" t="n"/>
      <c r="C84" s="554" t="n"/>
      <c r="D84" s="554" t="n"/>
      <c r="E84" s="445" t="inlineStr">
        <is>
          <t>RAFIQUE ANSARI</t>
        </is>
      </c>
      <c r="F84" s="77" t="inlineStr">
        <is>
          <t>Hard Service</t>
        </is>
      </c>
      <c r="G84" s="446" t="inlineStr">
        <is>
          <t>-</t>
        </is>
      </c>
      <c r="H84" s="45" t="inlineStr">
        <is>
          <t>-</t>
        </is>
      </c>
      <c r="I84" s="446" t="inlineStr">
        <is>
          <t>Approved</t>
        </is>
      </c>
      <c r="J84" s="551" t="inlineStr">
        <is>
          <t>30-Jul-26</t>
        </is>
      </c>
      <c r="K84" s="446" t="inlineStr">
        <is>
          <t>-</t>
        </is>
      </c>
      <c r="L84" s="45" t="inlineStr">
        <is>
          <t>-</t>
        </is>
      </c>
      <c r="N84" s="178" t="n"/>
      <c r="O84" s="178" t="n"/>
      <c r="P84" s="178" t="n"/>
      <c r="Q84" s="178" t="n"/>
      <c r="R84" s="178" t="n"/>
      <c r="S84" s="178" t="n"/>
      <c r="T84" s="178" t="n"/>
    </row>
    <row r="85" ht="15.75" customHeight="1">
      <c r="A85" s="554" t="n"/>
      <c r="B85" s="554" t="n"/>
      <c r="C85" s="554" t="n"/>
      <c r="D85" s="554" t="n"/>
      <c r="E85" s="445" t="inlineStr">
        <is>
          <t>ARMAN ALI</t>
        </is>
      </c>
      <c r="F85" s="77" t="inlineStr">
        <is>
          <t>Hard Service</t>
        </is>
      </c>
      <c r="G85" s="446" t="inlineStr">
        <is>
          <t>-</t>
        </is>
      </c>
      <c r="H85" s="45" t="inlineStr">
        <is>
          <t>-</t>
        </is>
      </c>
      <c r="I85" s="446" t="inlineStr">
        <is>
          <t>Approved</t>
        </is>
      </c>
      <c r="J85" s="551" t="n">
        <v>46235</v>
      </c>
      <c r="K85" s="446" t="inlineStr">
        <is>
          <t>-</t>
        </is>
      </c>
      <c r="L85" s="45" t="inlineStr">
        <is>
          <t>-</t>
        </is>
      </c>
      <c r="N85" s="178" t="n"/>
      <c r="O85" s="178" t="n"/>
      <c r="P85" s="178" t="n"/>
      <c r="Q85" s="178" t="n"/>
      <c r="R85" s="178" t="n"/>
      <c r="S85" s="178" t="n"/>
      <c r="T85" s="178" t="n"/>
    </row>
    <row r="86" ht="15.75" customHeight="1">
      <c r="A86" s="554" t="n"/>
      <c r="B86" s="554" t="n"/>
      <c r="C86" s="554" t="n"/>
      <c r="D86" s="554" t="n"/>
      <c r="E86" s="445" t="inlineStr">
        <is>
          <t>CHANDBABU MUSLIM ANSARI</t>
        </is>
      </c>
      <c r="F86" s="71" t="inlineStr">
        <is>
          <t>Hard Service</t>
        </is>
      </c>
      <c r="G86" s="446" t="inlineStr">
        <is>
          <t>-</t>
        </is>
      </c>
      <c r="H86" s="45" t="inlineStr">
        <is>
          <t>-</t>
        </is>
      </c>
      <c r="I86" s="446" t="inlineStr">
        <is>
          <t>Approved</t>
        </is>
      </c>
      <c r="J86" s="218" t="n">
        <v>46235</v>
      </c>
      <c r="K86" s="446" t="inlineStr">
        <is>
          <t>-</t>
        </is>
      </c>
      <c r="L86" s="45" t="inlineStr">
        <is>
          <t>-</t>
        </is>
      </c>
      <c r="N86" s="178" t="n"/>
      <c r="O86" s="178" t="n"/>
      <c r="P86" s="178" t="n"/>
      <c r="Q86" s="178" t="n"/>
      <c r="R86" s="178" t="n"/>
      <c r="S86" s="178" t="n"/>
      <c r="T86" s="178" t="n"/>
    </row>
    <row r="87" ht="15.75" customHeight="1">
      <c r="A87" s="554" t="n"/>
      <c r="B87" s="554" t="n"/>
      <c r="C87" s="554" t="n"/>
      <c r="D87" s="554" t="n"/>
      <c r="E87" s="409" t="inlineStr">
        <is>
          <t>ARMAN ALI</t>
        </is>
      </c>
      <c r="F87" s="71" t="inlineStr">
        <is>
          <t>Hard Service</t>
        </is>
      </c>
      <c r="G87" s="409" t="n">
        <v>704414</v>
      </c>
      <c r="H87" s="409" t="inlineStr">
        <is>
          <t>2641678541</t>
        </is>
      </c>
      <c r="I87" s="446" t="inlineStr">
        <is>
          <t>Approved</t>
        </is>
      </c>
      <c r="J87" s="582" t="inlineStr">
        <is>
          <t>2026-08-01 00:00:00</t>
        </is>
      </c>
      <c r="K87" s="315" t="inlineStr">
        <is>
          <t>FMCO</t>
        </is>
      </c>
      <c r="L87" s="45" t="n"/>
      <c r="N87" s="178" t="n"/>
      <c r="O87" s="178" t="n"/>
      <c r="P87" s="178" t="n"/>
      <c r="Q87" s="178" t="n"/>
      <c r="R87" s="178" t="n"/>
      <c r="S87" s="178" t="n"/>
      <c r="T87" s="178" t="n"/>
    </row>
    <row r="88" ht="15.75" customHeight="1">
      <c r="A88" s="553" t="n"/>
      <c r="B88" s="553" t="n"/>
      <c r="C88" s="553" t="n"/>
      <c r="D88" s="553" t="n"/>
      <c r="E88" s="409" t="inlineStr">
        <is>
          <t>CHANDBABU MUSLIM ANSARI</t>
        </is>
      </c>
      <c r="F88" s="71" t="inlineStr">
        <is>
          <t>Hard Service</t>
        </is>
      </c>
      <c r="G88" s="409" t="n">
        <v>704413</v>
      </c>
      <c r="H88" s="409" t="inlineStr">
        <is>
          <t>2641678574</t>
        </is>
      </c>
      <c r="I88" s="446" t="inlineStr">
        <is>
          <t>Approved</t>
        </is>
      </c>
      <c r="J88" s="582" t="inlineStr">
        <is>
          <t>2026-08-01 00:00:00</t>
        </is>
      </c>
      <c r="K88" s="315" t="inlineStr">
        <is>
          <t>FMCO</t>
        </is>
      </c>
      <c r="L88" s="45" t="n"/>
      <c r="N88" s="178" t="n"/>
      <c r="O88" s="178" t="n"/>
      <c r="P88" s="178" t="n"/>
      <c r="Q88" s="178" t="n"/>
      <c r="R88" s="178" t="n"/>
      <c r="S88" s="178" t="n"/>
      <c r="T88" s="178" t="n"/>
    </row>
    <row r="89" ht="15.75" customHeight="1">
      <c r="A89" s="451" t="inlineStr">
        <is>
          <t>Trade Helper</t>
        </is>
      </c>
      <c r="B89" s="425" t="n">
        <v>14</v>
      </c>
      <c r="C89" s="426">
        <f>COUNTIF(E89:E102,"&lt;&gt;")</f>
        <v/>
      </c>
      <c r="D89" s="427">
        <f>C89-B89</f>
        <v/>
      </c>
      <c r="E89" s="187" t="n"/>
      <c r="F89" s="77" t="inlineStr">
        <is>
          <t>Hard Service</t>
        </is>
      </c>
      <c r="G89" s="445" t="inlineStr">
        <is>
          <t>-</t>
        </is>
      </c>
      <c r="H89" s="445" t="inlineStr">
        <is>
          <t>-</t>
        </is>
      </c>
      <c r="I89" s="446" t="inlineStr">
        <is>
          <t>Vacant</t>
        </is>
      </c>
      <c r="J89" s="552" t="n"/>
      <c r="K89" s="446" t="inlineStr">
        <is>
          <t>-</t>
        </is>
      </c>
      <c r="L89" s="45" t="inlineStr">
        <is>
          <t>-</t>
        </is>
      </c>
      <c r="N89" s="178" t="n"/>
      <c r="O89" s="178" t="n"/>
      <c r="P89" s="178" t="n"/>
      <c r="Q89" s="178" t="n"/>
      <c r="R89" s="178" t="n"/>
      <c r="S89" s="178" t="n"/>
      <c r="T89" s="178" t="n"/>
    </row>
    <row r="90" ht="15.75" customHeight="1">
      <c r="A90" s="554" t="n"/>
      <c r="B90" s="554" t="n"/>
      <c r="C90" s="554" t="n"/>
      <c r="D90" s="554" t="n"/>
      <c r="E90" s="187" t="n"/>
      <c r="F90" s="77" t="inlineStr">
        <is>
          <t>Hard Service</t>
        </is>
      </c>
      <c r="G90" s="445" t="inlineStr">
        <is>
          <t>-</t>
        </is>
      </c>
      <c r="H90" s="445" t="inlineStr">
        <is>
          <t>-</t>
        </is>
      </c>
      <c r="I90" s="446" t="inlineStr">
        <is>
          <t>Vacant</t>
        </is>
      </c>
      <c r="J90" s="552" t="n"/>
      <c r="K90" s="446" t="inlineStr">
        <is>
          <t>-</t>
        </is>
      </c>
      <c r="L90" s="45" t="inlineStr">
        <is>
          <t>-</t>
        </is>
      </c>
      <c r="N90" s="178" t="n"/>
      <c r="O90" s="178" t="n"/>
      <c r="P90" s="178" t="n"/>
      <c r="Q90" s="178" t="n"/>
      <c r="R90" s="178" t="n"/>
      <c r="S90" s="178" t="n"/>
      <c r="T90" s="178" t="n"/>
    </row>
    <row r="91" ht="15.75" customHeight="1">
      <c r="A91" s="554" t="n"/>
      <c r="B91" s="554" t="n"/>
      <c r="C91" s="554" t="n"/>
      <c r="D91" s="554" t="n"/>
      <c r="E91" s="187" t="n"/>
      <c r="F91" s="77" t="inlineStr">
        <is>
          <t>Hard Service</t>
        </is>
      </c>
      <c r="G91" s="446" t="inlineStr">
        <is>
          <t>-</t>
        </is>
      </c>
      <c r="H91" s="45" t="inlineStr">
        <is>
          <t>-</t>
        </is>
      </c>
      <c r="I91" s="446" t="inlineStr">
        <is>
          <t>Vacant</t>
        </is>
      </c>
      <c r="J91" s="552" t="n"/>
      <c r="K91" s="446" t="inlineStr">
        <is>
          <t>-</t>
        </is>
      </c>
      <c r="L91" s="45" t="inlineStr">
        <is>
          <t>-</t>
        </is>
      </c>
      <c r="N91" s="178" t="n"/>
      <c r="O91" s="178" t="n"/>
      <c r="P91" s="178" t="n"/>
      <c r="Q91" s="178" t="n"/>
      <c r="R91" s="178" t="n"/>
      <c r="S91" s="178" t="n"/>
      <c r="T91" s="178" t="n"/>
    </row>
    <row r="92" ht="15.75" customHeight="1">
      <c r="A92" s="554" t="n"/>
      <c r="B92" s="554" t="n"/>
      <c r="C92" s="554" t="n"/>
      <c r="D92" s="554" t="n"/>
      <c r="E92" s="187" t="n"/>
      <c r="F92" s="77" t="inlineStr">
        <is>
          <t>Hard Service</t>
        </is>
      </c>
      <c r="G92" s="446" t="inlineStr">
        <is>
          <t>-</t>
        </is>
      </c>
      <c r="H92" s="45" t="inlineStr">
        <is>
          <t>-</t>
        </is>
      </c>
      <c r="I92" s="446" t="inlineStr">
        <is>
          <t>Vacant</t>
        </is>
      </c>
      <c r="J92" s="552" t="n"/>
      <c r="K92" s="446" t="inlineStr">
        <is>
          <t>-</t>
        </is>
      </c>
      <c r="L92" s="45" t="inlineStr">
        <is>
          <t>-</t>
        </is>
      </c>
      <c r="N92" s="178" t="n"/>
      <c r="O92" s="178" t="n"/>
      <c r="P92" s="178" t="n"/>
      <c r="Q92" s="178" t="n"/>
      <c r="R92" s="178" t="n"/>
      <c r="S92" s="178" t="n"/>
      <c r="T92" s="178" t="n"/>
    </row>
    <row r="93" ht="15.75" customHeight="1">
      <c r="A93" s="554" t="n"/>
      <c r="B93" s="554" t="n"/>
      <c r="C93" s="554" t="n"/>
      <c r="D93" s="554" t="n"/>
      <c r="E93" s="187" t="n"/>
      <c r="F93" s="77" t="inlineStr">
        <is>
          <t>Hard Service</t>
        </is>
      </c>
      <c r="G93" s="446" t="inlineStr">
        <is>
          <t>-</t>
        </is>
      </c>
      <c r="H93" s="45" t="inlineStr">
        <is>
          <t>-</t>
        </is>
      </c>
      <c r="I93" s="446" t="inlineStr">
        <is>
          <t>Vacant</t>
        </is>
      </c>
      <c r="J93" s="552" t="n"/>
      <c r="K93" s="446" t="inlineStr">
        <is>
          <t>-</t>
        </is>
      </c>
      <c r="L93" s="45" t="inlineStr">
        <is>
          <t>-</t>
        </is>
      </c>
      <c r="N93" s="178" t="n"/>
      <c r="O93" s="178" t="n"/>
      <c r="P93" s="178" t="n"/>
      <c r="Q93" s="178" t="n"/>
      <c r="R93" s="178" t="n"/>
      <c r="S93" s="178" t="n"/>
      <c r="T93" s="178" t="n"/>
    </row>
    <row r="94" ht="15.75" customHeight="1">
      <c r="A94" s="554" t="n"/>
      <c r="B94" s="554" t="n"/>
      <c r="C94" s="554" t="n"/>
      <c r="D94" s="554" t="n"/>
      <c r="E94" s="187" t="n"/>
      <c r="F94" s="77" t="inlineStr">
        <is>
          <t>Hard Service</t>
        </is>
      </c>
      <c r="G94" s="446" t="inlineStr">
        <is>
          <t>-</t>
        </is>
      </c>
      <c r="H94" s="45" t="inlineStr">
        <is>
          <t>-</t>
        </is>
      </c>
      <c r="I94" s="446" t="inlineStr">
        <is>
          <t>Vacant</t>
        </is>
      </c>
      <c r="J94" s="552" t="n"/>
      <c r="K94" s="446" t="inlineStr">
        <is>
          <t>-</t>
        </is>
      </c>
      <c r="L94" s="45" t="inlineStr">
        <is>
          <t>-</t>
        </is>
      </c>
      <c r="N94" s="178" t="n"/>
      <c r="O94" s="178" t="n"/>
      <c r="P94" s="178" t="n"/>
      <c r="Q94" s="178" t="n"/>
      <c r="R94" s="178" t="n"/>
      <c r="S94" s="178" t="n"/>
      <c r="T94" s="178" t="n"/>
    </row>
    <row r="95" ht="15.75" customHeight="1">
      <c r="A95" s="554" t="n"/>
      <c r="B95" s="554" t="n"/>
      <c r="C95" s="554" t="n"/>
      <c r="D95" s="554" t="n"/>
      <c r="E95" s="187" t="n"/>
      <c r="F95" s="77" t="inlineStr">
        <is>
          <t>Hard Service</t>
        </is>
      </c>
      <c r="G95" s="446" t="inlineStr">
        <is>
          <t>-</t>
        </is>
      </c>
      <c r="H95" s="45" t="inlineStr">
        <is>
          <t>-</t>
        </is>
      </c>
      <c r="I95" s="446" t="inlineStr">
        <is>
          <t>Vacant</t>
        </is>
      </c>
      <c r="J95" s="552" t="n"/>
      <c r="K95" s="446" t="inlineStr">
        <is>
          <t>-</t>
        </is>
      </c>
      <c r="L95" s="45" t="inlineStr">
        <is>
          <t>-</t>
        </is>
      </c>
      <c r="N95" s="178" t="n"/>
      <c r="O95" s="178" t="n"/>
      <c r="P95" s="178" t="n"/>
      <c r="Q95" s="178" t="n"/>
      <c r="R95" s="178" t="n"/>
      <c r="S95" s="178" t="n"/>
      <c r="T95" s="178" t="n"/>
    </row>
    <row r="96" ht="15.75" customHeight="1">
      <c r="A96" s="554" t="n"/>
      <c r="B96" s="554" t="n"/>
      <c r="C96" s="554" t="n"/>
      <c r="D96" s="554" t="n"/>
      <c r="E96" s="187" t="n"/>
      <c r="F96" s="77" t="inlineStr">
        <is>
          <t>Hard Service</t>
        </is>
      </c>
      <c r="G96" s="446" t="inlineStr">
        <is>
          <t>-</t>
        </is>
      </c>
      <c r="H96" s="45" t="inlineStr">
        <is>
          <t>-</t>
        </is>
      </c>
      <c r="I96" s="446" t="inlineStr">
        <is>
          <t>Vacant</t>
        </is>
      </c>
      <c r="J96" s="552" t="n"/>
      <c r="K96" s="446" t="inlineStr">
        <is>
          <t>-</t>
        </is>
      </c>
      <c r="L96" s="45" t="inlineStr">
        <is>
          <t>-</t>
        </is>
      </c>
      <c r="N96" s="178" t="n"/>
      <c r="O96" s="178" t="n"/>
      <c r="P96" s="178" t="n"/>
      <c r="Q96" s="178" t="n"/>
      <c r="R96" s="178" t="n"/>
      <c r="S96" s="178" t="n"/>
      <c r="T96" s="178" t="n"/>
    </row>
    <row r="97" ht="15.75" customHeight="1">
      <c r="A97" s="554" t="n"/>
      <c r="B97" s="554" t="n"/>
      <c r="C97" s="554" t="n"/>
      <c r="D97" s="554" t="n"/>
      <c r="E97" s="187" t="n"/>
      <c r="F97" s="77" t="inlineStr">
        <is>
          <t>Hard Service</t>
        </is>
      </c>
      <c r="G97" s="446" t="inlineStr">
        <is>
          <t>-</t>
        </is>
      </c>
      <c r="H97" s="45" t="inlineStr">
        <is>
          <t>-</t>
        </is>
      </c>
      <c r="I97" s="446" t="inlineStr">
        <is>
          <t>Vacant</t>
        </is>
      </c>
      <c r="J97" s="552" t="n"/>
      <c r="K97" s="446" t="inlineStr">
        <is>
          <t>-</t>
        </is>
      </c>
      <c r="L97" s="45" t="inlineStr">
        <is>
          <t>-</t>
        </is>
      </c>
      <c r="N97" s="178" t="n"/>
      <c r="O97" s="178" t="n"/>
      <c r="P97" s="178" t="n"/>
      <c r="Q97" s="178" t="n"/>
      <c r="R97" s="178" t="n"/>
      <c r="S97" s="178" t="n"/>
      <c r="T97" s="178" t="n"/>
    </row>
    <row r="98" ht="15.75" customHeight="1">
      <c r="A98" s="554" t="n"/>
      <c r="B98" s="554" t="n"/>
      <c r="C98" s="554" t="n"/>
      <c r="D98" s="554" t="n"/>
      <c r="E98" s="187" t="n"/>
      <c r="F98" s="77" t="inlineStr">
        <is>
          <t>Hard Service</t>
        </is>
      </c>
      <c r="G98" s="446" t="inlineStr">
        <is>
          <t>-</t>
        </is>
      </c>
      <c r="H98" s="45" t="inlineStr">
        <is>
          <t>-</t>
        </is>
      </c>
      <c r="I98" s="446" t="inlineStr">
        <is>
          <t>Vacant</t>
        </is>
      </c>
      <c r="J98" s="552" t="n"/>
      <c r="K98" s="446" t="inlineStr">
        <is>
          <t>-</t>
        </is>
      </c>
      <c r="L98" s="45" t="inlineStr">
        <is>
          <t>-</t>
        </is>
      </c>
      <c r="N98" s="178" t="n"/>
      <c r="O98" s="178" t="n"/>
      <c r="P98" s="178" t="n"/>
      <c r="Q98" s="178" t="n"/>
      <c r="R98" s="178" t="n"/>
      <c r="S98" s="178" t="n"/>
      <c r="T98" s="178" t="n"/>
    </row>
    <row r="99" ht="15.75" customHeight="1">
      <c r="A99" s="554" t="n"/>
      <c r="B99" s="554" t="n"/>
      <c r="C99" s="554" t="n"/>
      <c r="D99" s="554" t="n"/>
      <c r="E99" s="187" t="n"/>
      <c r="F99" s="77" t="inlineStr">
        <is>
          <t>Hard Service</t>
        </is>
      </c>
      <c r="G99" s="446" t="inlineStr">
        <is>
          <t>-</t>
        </is>
      </c>
      <c r="H99" s="45" t="inlineStr">
        <is>
          <t>-</t>
        </is>
      </c>
      <c r="I99" s="446" t="inlineStr">
        <is>
          <t>Vacant</t>
        </is>
      </c>
      <c r="J99" s="552" t="n"/>
      <c r="K99" s="446" t="inlineStr">
        <is>
          <t>-</t>
        </is>
      </c>
      <c r="L99" s="45" t="inlineStr">
        <is>
          <t>-</t>
        </is>
      </c>
      <c r="N99" s="178" t="n"/>
      <c r="O99" s="178" t="n"/>
      <c r="P99" s="178" t="n"/>
      <c r="Q99" s="178" t="n"/>
      <c r="R99" s="178" t="n"/>
      <c r="S99" s="178" t="n"/>
      <c r="T99" s="178" t="n"/>
    </row>
    <row r="100" ht="15.75" customHeight="1">
      <c r="A100" s="554" t="n"/>
      <c r="B100" s="554" t="n"/>
      <c r="C100" s="554" t="n"/>
      <c r="D100" s="554" t="n"/>
      <c r="E100" s="187" t="n"/>
      <c r="F100" s="77" t="inlineStr">
        <is>
          <t>Hard Service</t>
        </is>
      </c>
      <c r="G100" s="446" t="inlineStr">
        <is>
          <t>-</t>
        </is>
      </c>
      <c r="H100" s="45" t="inlineStr">
        <is>
          <t>-</t>
        </is>
      </c>
      <c r="I100" s="446" t="inlineStr">
        <is>
          <t>Vacant</t>
        </is>
      </c>
      <c r="J100" s="552" t="n"/>
      <c r="K100" s="446" t="inlineStr">
        <is>
          <t>-</t>
        </is>
      </c>
      <c r="L100" s="45" t="inlineStr">
        <is>
          <t>-</t>
        </is>
      </c>
      <c r="N100" s="178" t="n"/>
      <c r="O100" s="178" t="n"/>
      <c r="P100" s="178" t="n"/>
      <c r="Q100" s="178" t="n"/>
      <c r="R100" s="178" t="n"/>
      <c r="S100" s="178" t="n"/>
      <c r="T100" s="178" t="n"/>
    </row>
    <row r="101" ht="15.75" customHeight="1">
      <c r="A101" s="554" t="n"/>
      <c r="B101" s="554" t="n"/>
      <c r="C101" s="554" t="n"/>
      <c r="D101" s="554" t="n"/>
      <c r="E101" s="187" t="n"/>
      <c r="F101" s="77" t="inlineStr">
        <is>
          <t>Hard Service</t>
        </is>
      </c>
      <c r="G101" s="446" t="inlineStr">
        <is>
          <t>-</t>
        </is>
      </c>
      <c r="H101" s="45" t="inlineStr">
        <is>
          <t>-</t>
        </is>
      </c>
      <c r="I101" s="446" t="inlineStr">
        <is>
          <t>Vacant</t>
        </is>
      </c>
      <c r="J101" s="552" t="n"/>
      <c r="K101" s="446" t="inlineStr">
        <is>
          <t>-</t>
        </is>
      </c>
      <c r="L101" s="45" t="inlineStr">
        <is>
          <t>-</t>
        </is>
      </c>
      <c r="N101" s="178" t="n"/>
      <c r="O101" s="178" t="n"/>
      <c r="P101" s="178" t="n"/>
      <c r="Q101" s="178" t="n"/>
      <c r="R101" s="178" t="n"/>
      <c r="S101" s="178" t="n"/>
      <c r="T101" s="178" t="n"/>
    </row>
    <row r="102" ht="15.75" customHeight="1">
      <c r="A102" s="553" t="n"/>
      <c r="B102" s="553" t="n"/>
      <c r="C102" s="553" t="n"/>
      <c r="D102" s="553" t="n"/>
      <c r="E102" s="187" t="n"/>
      <c r="F102" s="77" t="inlineStr">
        <is>
          <t>Hard Service</t>
        </is>
      </c>
      <c r="G102" s="446" t="inlineStr">
        <is>
          <t>-</t>
        </is>
      </c>
      <c r="H102" s="45" t="inlineStr">
        <is>
          <t>-</t>
        </is>
      </c>
      <c r="I102" s="446" t="inlineStr">
        <is>
          <t>Vacant</t>
        </is>
      </c>
      <c r="J102" s="552" t="n"/>
      <c r="K102" s="446" t="inlineStr">
        <is>
          <t>-</t>
        </is>
      </c>
      <c r="L102" s="45" t="inlineStr">
        <is>
          <t>-</t>
        </is>
      </c>
      <c r="N102" s="178" t="n"/>
      <c r="O102" s="178" t="n"/>
      <c r="P102" s="178" t="n"/>
      <c r="Q102" s="178" t="n"/>
      <c r="R102" s="178" t="n"/>
      <c r="S102" s="178" t="n"/>
      <c r="T102" s="178" t="n"/>
    </row>
    <row r="103" ht="15.75" customHeight="1">
      <c r="A103" s="451" t="inlineStr">
        <is>
          <t>Supervisor Electrical</t>
        </is>
      </c>
      <c r="B103" s="425" t="n">
        <v>2</v>
      </c>
      <c r="C103" s="426">
        <f>COUNTIF(E103:E104,"&lt;&gt;")</f>
        <v/>
      </c>
      <c r="D103" s="427">
        <f>C103-B103</f>
        <v/>
      </c>
      <c r="E103" s="445" t="inlineStr">
        <is>
          <t>Mohd Uwais Khan</t>
        </is>
      </c>
      <c r="F103" s="77" t="inlineStr">
        <is>
          <t>Hard Service</t>
        </is>
      </c>
      <c r="G103" s="445" t="inlineStr">
        <is>
          <t>-</t>
        </is>
      </c>
      <c r="H103" s="445" t="n">
        <v>2640993032</v>
      </c>
      <c r="I103" s="446" t="inlineStr">
        <is>
          <t>Approved</t>
        </is>
      </c>
      <c r="J103" s="551" t="n">
        <v>46219</v>
      </c>
      <c r="K103" s="446" t="inlineStr">
        <is>
          <t>FMCO</t>
        </is>
      </c>
      <c r="L103" s="45" t="inlineStr">
        <is>
          <t>-</t>
        </is>
      </c>
      <c r="N103" s="178" t="n"/>
      <c r="O103" s="178" t="n"/>
      <c r="P103" s="178" t="n"/>
      <c r="Q103" s="178" t="n"/>
      <c r="R103" s="178" t="n"/>
      <c r="S103" s="178" t="n"/>
      <c r="T103" s="178" t="n"/>
    </row>
    <row r="104" ht="15.75" customHeight="1">
      <c r="A104" s="553" t="n"/>
      <c r="B104" s="553" t="n"/>
      <c r="C104" s="553" t="n"/>
      <c r="D104" s="553" t="n"/>
      <c r="E104" s="187" t="n"/>
      <c r="F104" s="77" t="inlineStr">
        <is>
          <t>Hard Service</t>
        </is>
      </c>
      <c r="G104" s="445" t="inlineStr">
        <is>
          <t>-</t>
        </is>
      </c>
      <c r="H104" s="445" t="inlineStr">
        <is>
          <t>-</t>
        </is>
      </c>
      <c r="I104" s="446" t="inlineStr">
        <is>
          <t>Vacant</t>
        </is>
      </c>
      <c r="J104" s="552" t="n"/>
      <c r="K104" s="446" t="inlineStr">
        <is>
          <t>-</t>
        </is>
      </c>
      <c r="L104" s="45" t="inlineStr">
        <is>
          <t>-</t>
        </is>
      </c>
      <c r="N104" s="178" t="n"/>
      <c r="O104" s="178" t="n"/>
      <c r="P104" s="178" t="n"/>
      <c r="Q104" s="178" t="n"/>
      <c r="R104" s="178" t="n"/>
      <c r="S104" s="178" t="n"/>
      <c r="T104" s="178" t="n"/>
    </row>
    <row r="105" ht="15.75" customHeight="1">
      <c r="A105" s="451" t="inlineStr">
        <is>
          <t>Electrical Team Leader</t>
        </is>
      </c>
      <c r="B105" s="425" t="n">
        <v>2</v>
      </c>
      <c r="C105" s="426">
        <f>COUNTIF(E105:E106,"&lt;&gt;")</f>
        <v/>
      </c>
      <c r="D105" s="427">
        <f>C105-B105</f>
        <v/>
      </c>
      <c r="E105" s="445" t="inlineStr">
        <is>
          <t>Muzammil Hussain Alam Sher</t>
        </is>
      </c>
      <c r="F105" s="77" t="inlineStr">
        <is>
          <t>Hard Service</t>
        </is>
      </c>
      <c r="G105" s="445" t="n">
        <v>701623</v>
      </c>
      <c r="H105" s="445" t="n">
        <v>2535070847</v>
      </c>
      <c r="I105" s="446" t="inlineStr">
        <is>
          <t>Approved</t>
        </is>
      </c>
      <c r="J105" s="551" t="n">
        <v>45902</v>
      </c>
      <c r="K105" s="446" t="inlineStr">
        <is>
          <t>FMCO</t>
        </is>
      </c>
      <c r="L105" s="45" t="inlineStr">
        <is>
          <t>-</t>
        </is>
      </c>
      <c r="N105" s="178" t="n"/>
      <c r="O105" s="178" t="n"/>
      <c r="P105" s="178" t="n"/>
      <c r="Q105" s="178" t="n"/>
      <c r="R105" s="178" t="n"/>
      <c r="S105" s="178" t="n"/>
      <c r="T105" s="178" t="n"/>
    </row>
    <row r="106" ht="15.75" customHeight="1">
      <c r="A106" s="553" t="n"/>
      <c r="B106" s="553" t="n"/>
      <c r="C106" s="553" t="n"/>
      <c r="D106" s="553" t="n"/>
      <c r="E106" s="445" t="inlineStr">
        <is>
          <t>MD AMIR KHAN</t>
        </is>
      </c>
      <c r="F106" s="77" t="inlineStr">
        <is>
          <t>Hard Service</t>
        </is>
      </c>
      <c r="G106" s="446" t="inlineStr">
        <is>
          <t>-</t>
        </is>
      </c>
      <c r="H106" s="45" t="inlineStr">
        <is>
          <t>-</t>
        </is>
      </c>
      <c r="I106" s="446" t="inlineStr">
        <is>
          <t>Approved</t>
        </is>
      </c>
      <c r="J106" s="551" t="n">
        <v>9708</v>
      </c>
      <c r="K106" s="446" t="inlineStr">
        <is>
          <t>-</t>
        </is>
      </c>
      <c r="L106" s="45" t="inlineStr">
        <is>
          <t>-</t>
        </is>
      </c>
      <c r="N106" s="178" t="n"/>
      <c r="O106" s="178" t="n"/>
      <c r="P106" s="178" t="n"/>
      <c r="Q106" s="178" t="n"/>
      <c r="R106" s="178" t="n"/>
      <c r="S106" s="178" t="n"/>
      <c r="T106" s="178" t="n"/>
    </row>
    <row r="107" ht="15.75" customHeight="1">
      <c r="A107" s="451" t="inlineStr">
        <is>
          <t>Electrician</t>
        </is>
      </c>
      <c r="B107" s="425" t="n">
        <v>18</v>
      </c>
      <c r="C107" s="426">
        <f>COUNTIF(E107:E124,"&lt;&gt;")</f>
        <v/>
      </c>
      <c r="D107" s="427">
        <f>C107-B107</f>
        <v/>
      </c>
      <c r="E107" s="445" t="inlineStr">
        <is>
          <t>Md Farid Alam</t>
        </is>
      </c>
      <c r="F107" s="77" t="inlineStr">
        <is>
          <t>Hard Service</t>
        </is>
      </c>
      <c r="G107" s="445" t="n">
        <v>703915</v>
      </c>
      <c r="H107" s="445" t="n">
        <v>2587607132</v>
      </c>
      <c r="I107" s="446" t="inlineStr">
        <is>
          <t>Approved</t>
        </is>
      </c>
      <c r="J107" s="551" t="n">
        <v>45586</v>
      </c>
      <c r="K107" s="446" t="inlineStr">
        <is>
          <t>FMCO</t>
        </is>
      </c>
      <c r="L107" s="45" t="inlineStr">
        <is>
          <t>-</t>
        </is>
      </c>
      <c r="N107" s="178" t="n"/>
      <c r="O107" s="178" t="n"/>
      <c r="P107" s="178" t="n"/>
      <c r="Q107" s="178" t="n"/>
      <c r="R107" s="178" t="n"/>
      <c r="S107" s="178" t="n"/>
      <c r="T107" s="178" t="n"/>
    </row>
    <row r="108" ht="15.75" customHeight="1">
      <c r="A108" s="554" t="n"/>
      <c r="B108" s="554" t="n"/>
      <c r="C108" s="554" t="n"/>
      <c r="D108" s="554" t="n"/>
      <c r="E108" s="445" t="inlineStr">
        <is>
          <t>Mohammad Maquesud Alam</t>
        </is>
      </c>
      <c r="F108" s="77" t="inlineStr">
        <is>
          <t>Hard Service</t>
        </is>
      </c>
      <c r="G108" s="445" t="inlineStr">
        <is>
          <t>C00613</t>
        </is>
      </c>
      <c r="H108" s="445" t="n">
        <v>2581351620</v>
      </c>
      <c r="I108" s="446" t="inlineStr">
        <is>
          <t>Approved</t>
        </is>
      </c>
      <c r="J108" s="551" t="n">
        <v>45720</v>
      </c>
      <c r="K108" s="446" t="inlineStr">
        <is>
          <t>MEHAN VISA</t>
        </is>
      </c>
      <c r="L108" s="45" t="inlineStr">
        <is>
          <t>-</t>
        </is>
      </c>
      <c r="N108" s="178" t="n"/>
      <c r="O108" s="178" t="n"/>
      <c r="P108" s="178" t="n"/>
      <c r="Q108" s="178" t="n"/>
      <c r="R108" s="178" t="n"/>
      <c r="S108" s="178" t="n"/>
      <c r="T108" s="178" t="n"/>
    </row>
    <row r="109" ht="15.75" customHeight="1">
      <c r="A109" s="554" t="n"/>
      <c r="B109" s="554" t="n"/>
      <c r="C109" s="554" t="n"/>
      <c r="D109" s="554" t="n"/>
      <c r="E109" s="445" t="inlineStr">
        <is>
          <t>Mohammad Ragib</t>
        </is>
      </c>
      <c r="F109" s="77" t="inlineStr">
        <is>
          <t>Hard Service</t>
        </is>
      </c>
      <c r="G109" s="445" t="inlineStr">
        <is>
          <t>C00739</t>
        </is>
      </c>
      <c r="H109" s="445" t="n">
        <v>2582900433</v>
      </c>
      <c r="I109" s="446" t="inlineStr">
        <is>
          <t>Approved</t>
        </is>
      </c>
      <c r="J109" s="551" t="n">
        <v>45902</v>
      </c>
      <c r="K109" s="446" t="inlineStr">
        <is>
          <t>MEHAN VISA</t>
        </is>
      </c>
      <c r="L109" s="45" t="inlineStr">
        <is>
          <t>-</t>
        </is>
      </c>
      <c r="N109" s="178" t="n"/>
      <c r="O109" s="178" t="n"/>
      <c r="P109" s="178" t="n"/>
      <c r="Q109" s="178" t="n"/>
      <c r="R109" s="178" t="n"/>
      <c r="S109" s="178" t="n"/>
      <c r="T109" s="178" t="n"/>
    </row>
    <row r="110" ht="15.75" customHeight="1">
      <c r="A110" s="554" t="n"/>
      <c r="B110" s="554" t="n"/>
      <c r="C110" s="554" t="n"/>
      <c r="D110" s="554" t="n"/>
      <c r="E110" s="445" t="inlineStr">
        <is>
          <t>Kohinoor Rahman</t>
        </is>
      </c>
      <c r="F110" s="77" t="inlineStr">
        <is>
          <t>Hard Service</t>
        </is>
      </c>
      <c r="G110" s="445" t="inlineStr">
        <is>
          <t>C00830</t>
        </is>
      </c>
      <c r="H110" s="445" t="n">
        <v>2586455681</v>
      </c>
      <c r="I110" s="446" t="inlineStr">
        <is>
          <t>Approved</t>
        </is>
      </c>
      <c r="J110" s="551" t="n">
        <v>45599</v>
      </c>
      <c r="K110" s="446" t="inlineStr">
        <is>
          <t>MEHAN VISA</t>
        </is>
      </c>
      <c r="L110" s="45" t="inlineStr">
        <is>
          <t>-</t>
        </is>
      </c>
      <c r="N110" s="178" t="n"/>
      <c r="O110" s="178" t="n"/>
      <c r="P110" s="178" t="n"/>
      <c r="Q110" s="178" t="n"/>
      <c r="R110" s="178" t="n"/>
      <c r="S110" s="178" t="n"/>
      <c r="T110" s="178" t="n"/>
    </row>
    <row r="111" ht="15.75" customHeight="1">
      <c r="A111" s="554" t="n"/>
      <c r="B111" s="554" t="n"/>
      <c r="C111" s="554" t="n"/>
      <c r="D111" s="554" t="n"/>
      <c r="E111" s="445" t="inlineStr">
        <is>
          <t>Syed Fakhre Alam</t>
        </is>
      </c>
      <c r="F111" s="77" t="inlineStr">
        <is>
          <t>Hard Service</t>
        </is>
      </c>
      <c r="G111" s="445" t="inlineStr">
        <is>
          <t>EM-0002497</t>
        </is>
      </c>
      <c r="H111" s="445" t="n">
        <v>2582877003</v>
      </c>
      <c r="I111" s="446" t="inlineStr">
        <is>
          <t>Approved</t>
        </is>
      </c>
      <c r="J111" s="551" t="n">
        <v>45586</v>
      </c>
      <c r="K111" s="446" t="inlineStr">
        <is>
          <t>AL-FALAK VISA</t>
        </is>
      </c>
      <c r="L111" s="45" t="inlineStr">
        <is>
          <t>-</t>
        </is>
      </c>
      <c r="N111" s="178" t="n"/>
      <c r="O111" s="178" t="n"/>
      <c r="P111" s="178" t="n"/>
      <c r="Q111" s="178" t="n"/>
      <c r="R111" s="178" t="n"/>
      <c r="S111" s="178" t="n"/>
      <c r="T111" s="178" t="n"/>
    </row>
    <row r="112" ht="15.75" customHeight="1">
      <c r="A112" s="554" t="n"/>
      <c r="B112" s="554" t="n"/>
      <c r="C112" s="554" t="n"/>
      <c r="D112" s="554" t="n"/>
      <c r="E112" s="445" t="inlineStr">
        <is>
          <t>Anamul Hak</t>
        </is>
      </c>
      <c r="F112" s="77" t="inlineStr">
        <is>
          <t>Hard Service</t>
        </is>
      </c>
      <c r="G112" s="445" t="inlineStr">
        <is>
          <t>EM-0002660</t>
        </is>
      </c>
      <c r="H112" s="445" t="n">
        <v>2580699896</v>
      </c>
      <c r="I112" s="446" t="inlineStr">
        <is>
          <t>Approved</t>
        </is>
      </c>
      <c r="J112" s="551" t="n">
        <v>45720</v>
      </c>
      <c r="K112" s="446" t="inlineStr">
        <is>
          <t>AL-FALAK VISA</t>
        </is>
      </c>
      <c r="L112" s="45" t="inlineStr">
        <is>
          <t>-</t>
        </is>
      </c>
      <c r="N112" s="178" t="n"/>
      <c r="O112" s="178" t="n"/>
      <c r="P112" s="178" t="n"/>
      <c r="Q112" s="178" t="n"/>
      <c r="R112" s="178" t="n"/>
      <c r="S112" s="178" t="n"/>
      <c r="T112" s="178" t="n"/>
    </row>
    <row r="113" ht="15.75" customHeight="1">
      <c r="A113" s="554" t="n"/>
      <c r="B113" s="554" t="n"/>
      <c r="C113" s="554" t="n"/>
      <c r="D113" s="554" t="n"/>
      <c r="E113" s="445" t="inlineStr">
        <is>
          <t xml:space="preserve">Ayaan Parvez Khan </t>
        </is>
      </c>
      <c r="F113" s="77" t="inlineStr">
        <is>
          <t>Hard Service</t>
        </is>
      </c>
      <c r="G113" s="445" t="n">
        <v>703916</v>
      </c>
      <c r="H113" s="445" t="n">
        <v>2587530359</v>
      </c>
      <c r="I113" s="446" t="inlineStr">
        <is>
          <t>Approved</t>
        </is>
      </c>
      <c r="J113" s="551" t="n">
        <v>45586</v>
      </c>
      <c r="K113" s="446" t="inlineStr">
        <is>
          <t>FMCO</t>
        </is>
      </c>
      <c r="L113" s="45" t="inlineStr">
        <is>
          <t>-</t>
        </is>
      </c>
      <c r="N113" s="178" t="n"/>
      <c r="O113" s="178" t="n"/>
      <c r="P113" s="178" t="n"/>
      <c r="Q113" s="178" t="n"/>
      <c r="R113" s="178" t="n"/>
      <c r="S113" s="178" t="n"/>
      <c r="T113" s="178" t="n"/>
    </row>
    <row r="114" ht="15.75" customHeight="1">
      <c r="A114" s="554" t="n"/>
      <c r="B114" s="554" t="n"/>
      <c r="C114" s="554" t="n"/>
      <c r="D114" s="554" t="n"/>
      <c r="E114" s="445" t="inlineStr">
        <is>
          <t>Jutun Mian</t>
        </is>
      </c>
      <c r="F114" s="77" t="inlineStr">
        <is>
          <t>Hard Service</t>
        </is>
      </c>
      <c r="G114" s="445" t="n">
        <v>701832</v>
      </c>
      <c r="H114" s="445" t="n">
        <v>2462013018</v>
      </c>
      <c r="I114" s="446" t="inlineStr">
        <is>
          <t>Approved</t>
        </is>
      </c>
      <c r="J114" s="551" t="n">
        <v>46119</v>
      </c>
      <c r="K114" s="446" t="inlineStr">
        <is>
          <t>FMCO</t>
        </is>
      </c>
      <c r="L114" s="45" t="inlineStr">
        <is>
          <t>-</t>
        </is>
      </c>
      <c r="N114" s="178" t="n"/>
      <c r="O114" s="178" t="n"/>
      <c r="P114" s="178" t="n"/>
      <c r="Q114" s="178" t="n"/>
      <c r="R114" s="178" t="n"/>
      <c r="S114" s="178" t="n"/>
      <c r="T114" s="178" t="n"/>
    </row>
    <row r="115" ht="15.75" customHeight="1">
      <c r="A115" s="554" t="n"/>
      <c r="B115" s="554" t="n"/>
      <c r="C115" s="554" t="n"/>
      <c r="D115" s="554" t="n"/>
      <c r="E115" s="445" t="inlineStr">
        <is>
          <t>Mohammad Abu Basar</t>
        </is>
      </c>
      <c r="F115" s="77" t="inlineStr">
        <is>
          <t>Hard Service</t>
        </is>
      </c>
      <c r="G115" s="445" t="inlineStr">
        <is>
          <t>-</t>
        </is>
      </c>
      <c r="H115" s="445" t="n">
        <v>2638610812</v>
      </c>
      <c r="I115" s="446" t="inlineStr">
        <is>
          <t>Approved</t>
        </is>
      </c>
      <c r="J115" s="551" t="n">
        <v>46207</v>
      </c>
      <c r="K115" s="446" t="inlineStr">
        <is>
          <t xml:space="preserve">RAMZ </t>
        </is>
      </c>
      <c r="L115" s="45" t="inlineStr">
        <is>
          <t>-</t>
        </is>
      </c>
      <c r="N115" s="178" t="n"/>
      <c r="O115" s="178" t="n"/>
      <c r="P115" s="178" t="n"/>
      <c r="Q115" s="178" t="n"/>
      <c r="R115" s="178" t="n"/>
      <c r="S115" s="178" t="n"/>
      <c r="T115" s="178" t="n"/>
    </row>
    <row r="116" ht="15.75" customHeight="1">
      <c r="A116" s="554" t="n"/>
      <c r="B116" s="554" t="n"/>
      <c r="C116" s="554" t="n"/>
      <c r="D116" s="554" t="n"/>
      <c r="E116" s="445" t="inlineStr">
        <is>
          <t>Mohammad Saheb Jan</t>
        </is>
      </c>
      <c r="F116" s="77" t="inlineStr">
        <is>
          <t>Hard Service</t>
        </is>
      </c>
      <c r="G116" s="445" t="inlineStr">
        <is>
          <t>-</t>
        </is>
      </c>
      <c r="H116" s="445" t="n">
        <v>2639573746</v>
      </c>
      <c r="I116" s="446" t="inlineStr">
        <is>
          <t>Approved</t>
        </is>
      </c>
      <c r="J116" s="551" t="n">
        <v>46207</v>
      </c>
      <c r="K116" s="446" t="inlineStr">
        <is>
          <t xml:space="preserve">RAMZ </t>
        </is>
      </c>
      <c r="L116" s="45" t="inlineStr">
        <is>
          <t>-</t>
        </is>
      </c>
      <c r="N116" s="178" t="n"/>
      <c r="O116" s="178" t="n"/>
      <c r="P116" s="178" t="n"/>
      <c r="Q116" s="178" t="n"/>
      <c r="R116" s="178" t="n"/>
      <c r="S116" s="178" t="n"/>
      <c r="T116" s="178" t="n"/>
    </row>
    <row r="117" ht="15.75" customHeight="1">
      <c r="A117" s="554" t="n"/>
      <c r="B117" s="554" t="n"/>
      <c r="C117" s="554" t="n"/>
      <c r="D117" s="554" t="n"/>
      <c r="E117" s="445" t="inlineStr">
        <is>
          <t>Md Arman</t>
        </is>
      </c>
      <c r="F117" s="77" t="inlineStr">
        <is>
          <t>Hard Service</t>
        </is>
      </c>
      <c r="G117" s="32" t="inlineStr">
        <is>
          <t>-</t>
        </is>
      </c>
      <c r="H117" s="71" t="n">
        <v>2639574033</v>
      </c>
      <c r="I117" s="446" t="inlineStr">
        <is>
          <t>Approved</t>
        </is>
      </c>
      <c r="J117" s="551" t="n">
        <v>46207</v>
      </c>
      <c r="K117" s="446" t="inlineStr">
        <is>
          <t xml:space="preserve">RAMZ </t>
        </is>
      </c>
      <c r="L117" s="45" t="inlineStr">
        <is>
          <t>-</t>
        </is>
      </c>
      <c r="N117" s="178" t="n"/>
      <c r="O117" s="178" t="n"/>
      <c r="P117" s="178" t="n"/>
      <c r="Q117" s="178" t="n"/>
      <c r="R117" s="178" t="n"/>
      <c r="S117" s="178" t="n"/>
      <c r="T117" s="178" t="n"/>
    </row>
    <row r="118" ht="15.75" customHeight="1">
      <c r="A118" s="554" t="n"/>
      <c r="B118" s="554" t="n"/>
      <c r="C118" s="554" t="n"/>
      <c r="D118" s="554" t="n"/>
      <c r="E118" s="445" t="inlineStr">
        <is>
          <t>Mohammad Qaiyum</t>
        </is>
      </c>
      <c r="F118" s="77" t="inlineStr">
        <is>
          <t>Hard Service</t>
        </is>
      </c>
      <c r="G118" s="446" t="inlineStr">
        <is>
          <t>-</t>
        </is>
      </c>
      <c r="H118" s="45" t="n">
        <v>2639573944</v>
      </c>
      <c r="I118" s="446" t="inlineStr">
        <is>
          <t>Approved</t>
        </is>
      </c>
      <c r="J118" s="551" t="n">
        <v>46207</v>
      </c>
      <c r="K118" s="446" t="inlineStr">
        <is>
          <t xml:space="preserve">RAMZ </t>
        </is>
      </c>
      <c r="L118" s="45" t="inlineStr">
        <is>
          <t>-</t>
        </is>
      </c>
      <c r="N118" s="178" t="n"/>
      <c r="O118" s="178" t="n"/>
      <c r="P118" s="178" t="n"/>
      <c r="Q118" s="178" t="n"/>
      <c r="R118" s="178" t="n"/>
      <c r="S118" s="178" t="n"/>
      <c r="T118" s="178" t="n"/>
    </row>
    <row r="119" ht="15.75" customHeight="1">
      <c r="A119" s="554" t="n"/>
      <c r="B119" s="554" t="n"/>
      <c r="C119" s="554" t="n"/>
      <c r="D119" s="554" t="n"/>
      <c r="E119" s="445" t="inlineStr">
        <is>
          <t>Gulam Gaus</t>
        </is>
      </c>
      <c r="F119" s="77" t="inlineStr">
        <is>
          <t>Hard Service</t>
        </is>
      </c>
      <c r="G119" s="446" t="inlineStr">
        <is>
          <t>-</t>
        </is>
      </c>
      <c r="H119" s="45" t="n">
        <v>2618326587</v>
      </c>
      <c r="I119" s="446" t="inlineStr">
        <is>
          <t>Approved</t>
        </is>
      </c>
      <c r="J119" s="551" t="n">
        <v>46207</v>
      </c>
      <c r="K119" s="446" t="inlineStr">
        <is>
          <t xml:space="preserve">RAMZ </t>
        </is>
      </c>
      <c r="L119" s="45" t="inlineStr">
        <is>
          <t>-</t>
        </is>
      </c>
      <c r="N119" s="178" t="n"/>
      <c r="O119" s="178" t="n"/>
      <c r="P119" s="178" t="n"/>
      <c r="Q119" s="178" t="n"/>
      <c r="R119" s="178" t="n"/>
      <c r="S119" s="178" t="n"/>
      <c r="T119" s="178" t="n"/>
    </row>
    <row r="120" ht="15.75" customHeight="1">
      <c r="A120" s="554" t="n"/>
      <c r="B120" s="554" t="n"/>
      <c r="C120" s="554" t="n"/>
      <c r="D120" s="554" t="n"/>
      <c r="E120" s="445" t="inlineStr">
        <is>
          <t>Moh Kuraish</t>
        </is>
      </c>
      <c r="F120" s="77" t="inlineStr">
        <is>
          <t>Hard Service</t>
        </is>
      </c>
      <c r="G120" s="446" t="inlineStr">
        <is>
          <t>-</t>
        </is>
      </c>
      <c r="H120" s="45" t="n">
        <v>2620446704</v>
      </c>
      <c r="I120" s="446" t="inlineStr">
        <is>
          <t>Approved</t>
        </is>
      </c>
      <c r="J120" s="551" t="n">
        <v>46207</v>
      </c>
      <c r="K120" s="446" t="inlineStr">
        <is>
          <t xml:space="preserve">RAMZ </t>
        </is>
      </c>
      <c r="L120" s="45" t="inlineStr">
        <is>
          <t>-</t>
        </is>
      </c>
      <c r="N120" s="178" t="n"/>
      <c r="O120" s="178" t="n"/>
      <c r="P120" s="178" t="n"/>
      <c r="Q120" s="178" t="n"/>
      <c r="R120" s="178" t="n"/>
      <c r="S120" s="178" t="n"/>
      <c r="T120" s="178" t="n"/>
    </row>
    <row r="121" ht="15.75" customHeight="1">
      <c r="A121" s="554" t="n"/>
      <c r="B121" s="554" t="n"/>
      <c r="C121" s="554" t="n"/>
      <c r="D121" s="554" t="n"/>
      <c r="E121" s="445" t="inlineStr">
        <is>
          <t>SHAMSHAD AHMAD</t>
        </is>
      </c>
      <c r="F121" s="77" t="inlineStr">
        <is>
          <t>Hard Service</t>
        </is>
      </c>
      <c r="G121" s="446" t="inlineStr">
        <is>
          <t>-</t>
        </is>
      </c>
      <c r="H121" s="45" t="inlineStr">
        <is>
          <t>-</t>
        </is>
      </c>
      <c r="I121" s="446" t="inlineStr">
        <is>
          <t>Approved</t>
        </is>
      </c>
      <c r="J121" s="551" t="n">
        <v>9709</v>
      </c>
      <c r="K121" s="446" t="inlineStr">
        <is>
          <t>-</t>
        </is>
      </c>
      <c r="L121" s="45" t="inlineStr">
        <is>
          <t>-</t>
        </is>
      </c>
      <c r="N121" s="178" t="n"/>
      <c r="O121" s="178" t="n"/>
      <c r="P121" s="178" t="n"/>
      <c r="Q121" s="178" t="n"/>
      <c r="R121" s="178" t="n"/>
      <c r="S121" s="178" t="n"/>
      <c r="T121" s="178" t="n"/>
    </row>
    <row r="122" ht="15.75" customHeight="1">
      <c r="A122" s="554" t="n"/>
      <c r="B122" s="554" t="n"/>
      <c r="C122" s="554" t="n"/>
      <c r="D122" s="554" t="n"/>
      <c r="E122" s="445" t="inlineStr">
        <is>
          <t>MOHAMMAD MUNNA</t>
        </is>
      </c>
      <c r="F122" s="77" t="inlineStr">
        <is>
          <t>Hard Service</t>
        </is>
      </c>
      <c r="G122" s="446" t="inlineStr">
        <is>
          <t>-</t>
        </is>
      </c>
      <c r="H122" s="45" t="inlineStr">
        <is>
          <t>-</t>
        </is>
      </c>
      <c r="I122" s="446" t="inlineStr">
        <is>
          <t>Approved</t>
        </is>
      </c>
      <c r="J122" s="551" t="n">
        <v>9709</v>
      </c>
      <c r="K122" s="446" t="inlineStr">
        <is>
          <t>-</t>
        </is>
      </c>
      <c r="L122" s="45" t="inlineStr">
        <is>
          <t>-</t>
        </is>
      </c>
      <c r="N122" s="178" t="n"/>
      <c r="O122" s="178" t="n"/>
      <c r="P122" s="178" t="n"/>
      <c r="Q122" s="178" t="n"/>
      <c r="R122" s="178" t="n"/>
      <c r="S122" s="178" t="n"/>
      <c r="T122" s="178" t="n"/>
    </row>
    <row r="123" ht="15.75" customHeight="1">
      <c r="A123" s="554" t="n"/>
      <c r="B123" s="554" t="n"/>
      <c r="C123" s="554" t="n"/>
      <c r="D123" s="554" t="n"/>
      <c r="E123" s="445" t="inlineStr">
        <is>
          <t>ZEESHAN AHMAD</t>
        </is>
      </c>
      <c r="F123" s="77" t="inlineStr">
        <is>
          <t>Hard Service</t>
        </is>
      </c>
      <c r="G123" s="446" t="inlineStr">
        <is>
          <t>-</t>
        </is>
      </c>
      <c r="H123" s="45" t="inlineStr">
        <is>
          <t>-</t>
        </is>
      </c>
      <c r="I123" s="446" t="inlineStr">
        <is>
          <t>Approved</t>
        </is>
      </c>
      <c r="J123" s="551" t="n">
        <v>9709</v>
      </c>
      <c r="K123" s="446" t="inlineStr">
        <is>
          <t>-</t>
        </is>
      </c>
      <c r="L123" s="45" t="inlineStr">
        <is>
          <t>-</t>
        </is>
      </c>
      <c r="N123" s="178" t="n"/>
      <c r="O123" s="178" t="n"/>
      <c r="P123" s="178" t="n"/>
      <c r="Q123" s="178" t="n"/>
      <c r="R123" s="178" t="n"/>
      <c r="S123" s="178" t="n"/>
      <c r="T123" s="178" t="n"/>
    </row>
    <row r="124" ht="15.75" customHeight="1">
      <c r="A124" s="553" t="n"/>
      <c r="B124" s="553" t="n"/>
      <c r="C124" s="553" t="n"/>
      <c r="D124" s="553" t="n"/>
      <c r="E124" s="445" t="inlineStr">
        <is>
          <t>MOHAMMAD NAZIM HAIDER</t>
        </is>
      </c>
      <c r="F124" s="77" t="inlineStr">
        <is>
          <t>Hard Service</t>
        </is>
      </c>
      <c r="G124" s="446" t="inlineStr">
        <is>
          <t>-</t>
        </is>
      </c>
      <c r="H124" s="45" t="inlineStr">
        <is>
          <t>-</t>
        </is>
      </c>
      <c r="I124" s="446" t="inlineStr">
        <is>
          <t>Approved</t>
        </is>
      </c>
      <c r="J124" s="551" t="n">
        <v>9709</v>
      </c>
      <c r="K124" s="446" t="inlineStr">
        <is>
          <t>-</t>
        </is>
      </c>
      <c r="L124" s="45" t="inlineStr">
        <is>
          <t>-</t>
        </is>
      </c>
      <c r="N124" s="178" t="n"/>
      <c r="O124" s="178" t="n"/>
      <c r="P124" s="178" t="n"/>
      <c r="Q124" s="178" t="n"/>
      <c r="R124" s="178" t="n"/>
      <c r="S124" s="178" t="n"/>
      <c r="T124" s="178" t="n"/>
    </row>
    <row r="125" ht="15.75" customHeight="1">
      <c r="A125" s="429" t="inlineStr">
        <is>
          <t>Appliance Technician</t>
        </is>
      </c>
      <c r="B125" s="429" t="n">
        <v>2</v>
      </c>
      <c r="C125" s="429">
        <f>COUNTIF(E125:E126,"&lt;&gt;")</f>
        <v/>
      </c>
      <c r="D125" s="430">
        <f>C125-B125</f>
        <v/>
      </c>
      <c r="E125" s="187" t="n"/>
      <c r="F125" s="77" t="inlineStr">
        <is>
          <t>Hard Service</t>
        </is>
      </c>
      <c r="G125" s="446" t="inlineStr">
        <is>
          <t>-</t>
        </is>
      </c>
      <c r="H125" s="45" t="inlineStr">
        <is>
          <t>-</t>
        </is>
      </c>
      <c r="I125" s="446" t="inlineStr">
        <is>
          <t>Vacant</t>
        </is>
      </c>
      <c r="J125" s="552" t="n"/>
      <c r="K125" s="446" t="inlineStr">
        <is>
          <t>-</t>
        </is>
      </c>
      <c r="L125" s="45" t="inlineStr">
        <is>
          <t>-</t>
        </is>
      </c>
      <c r="N125" s="178" t="n"/>
      <c r="O125" s="178" t="n"/>
      <c r="P125" s="178" t="n"/>
      <c r="Q125" s="178" t="n"/>
      <c r="R125" s="178" t="n"/>
      <c r="S125" s="178" t="n"/>
      <c r="T125" s="178" t="n"/>
    </row>
    <row r="126" ht="15.75" customHeight="1">
      <c r="A126" s="553" t="n"/>
      <c r="B126" s="553" t="n"/>
      <c r="C126" s="553" t="n"/>
      <c r="D126" s="553" t="n"/>
      <c r="E126" s="187" t="n"/>
      <c r="F126" s="77" t="inlineStr">
        <is>
          <t>Hard Service</t>
        </is>
      </c>
      <c r="G126" s="446" t="inlineStr">
        <is>
          <t>-</t>
        </is>
      </c>
      <c r="H126" s="45" t="inlineStr">
        <is>
          <t>-</t>
        </is>
      </c>
      <c r="I126" s="446" t="inlineStr">
        <is>
          <t>Vacant</t>
        </is>
      </c>
      <c r="J126" s="552" t="n"/>
      <c r="K126" s="446" t="inlineStr">
        <is>
          <t>-</t>
        </is>
      </c>
      <c r="L126" s="45" t="inlineStr">
        <is>
          <t>-</t>
        </is>
      </c>
      <c r="N126" s="178" t="n"/>
      <c r="O126" s="178" t="n"/>
      <c r="P126" s="178" t="n"/>
      <c r="Q126" s="178" t="n"/>
      <c r="R126" s="178" t="n"/>
      <c r="S126" s="178" t="n"/>
      <c r="T126" s="178" t="n"/>
    </row>
    <row r="127" ht="15.75" customHeight="1">
      <c r="A127" s="451" t="inlineStr">
        <is>
          <t>Warehouse Helper</t>
        </is>
      </c>
      <c r="B127" s="425" t="n">
        <v>2</v>
      </c>
      <c r="C127" s="426">
        <f>COUNTIF(E127:E127,"&lt;&gt;")</f>
        <v/>
      </c>
      <c r="D127" s="427">
        <f>C127-B127</f>
        <v/>
      </c>
      <c r="E127" s="445" t="inlineStr">
        <is>
          <t>Altamash Sah Mobin Alam</t>
        </is>
      </c>
      <c r="F127" s="71" t="inlineStr">
        <is>
          <t>Warehouse</t>
        </is>
      </c>
      <c r="G127" s="445" t="inlineStr">
        <is>
          <t>C00724</t>
        </is>
      </c>
      <c r="H127" s="445" t="n">
        <v>2582692121</v>
      </c>
      <c r="I127" s="446" t="inlineStr">
        <is>
          <t>Approved</t>
        </is>
      </c>
      <c r="J127" s="551" t="n">
        <v>45600</v>
      </c>
      <c r="K127" s="446" t="inlineStr">
        <is>
          <t>MEHAN VISA</t>
        </is>
      </c>
      <c r="L127" s="45" t="inlineStr">
        <is>
          <t>-</t>
        </is>
      </c>
      <c r="N127" s="178" t="n"/>
      <c r="O127" s="178" t="n"/>
      <c r="P127" s="178" t="n"/>
      <c r="Q127" s="178" t="n"/>
      <c r="R127" s="178" t="n"/>
      <c r="S127" s="178" t="n"/>
      <c r="T127" s="178" t="n"/>
    </row>
    <row r="128" ht="15.75" customHeight="1">
      <c r="A128" s="553" t="n"/>
      <c r="B128" s="553" t="n"/>
      <c r="C128" s="553" t="n"/>
      <c r="D128" s="553" t="n"/>
      <c r="E128" s="409" t="n"/>
      <c r="F128" s="71" t="inlineStr">
        <is>
          <t>Warehouse</t>
        </is>
      </c>
      <c r="G128" s="446" t="inlineStr">
        <is>
          <t>-</t>
        </is>
      </c>
      <c r="H128" s="45" t="inlineStr">
        <is>
          <t>-</t>
        </is>
      </c>
      <c r="I128" s="446" t="inlineStr">
        <is>
          <t>Vacant</t>
        </is>
      </c>
      <c r="J128" s="582" t="n"/>
      <c r="K128" s="315" t="n"/>
      <c r="L128" s="45" t="inlineStr">
        <is>
          <t>-</t>
        </is>
      </c>
      <c r="N128" s="178" t="n"/>
      <c r="O128" s="178" t="n"/>
      <c r="P128" s="178" t="n"/>
      <c r="Q128" s="178" t="n"/>
      <c r="R128" s="178" t="n"/>
      <c r="S128" s="178" t="n"/>
      <c r="T128" s="178" t="n"/>
    </row>
    <row r="129" ht="15.75" customHeight="1">
      <c r="A129" s="429" t="inlineStr">
        <is>
          <t>IT Engineer</t>
        </is>
      </c>
      <c r="B129" s="429" t="n">
        <v>2</v>
      </c>
      <c r="C129" s="429">
        <f>COUNTIF(E129:E130,"&lt;&gt;")</f>
        <v/>
      </c>
      <c r="D129" s="430">
        <f>C129-B129</f>
        <v/>
      </c>
      <c r="E129" s="445" t="inlineStr">
        <is>
          <t>MD IBRAHEEM</t>
        </is>
      </c>
      <c r="F129" s="77" t="inlineStr">
        <is>
          <t>IT</t>
        </is>
      </c>
      <c r="G129" s="193" t="inlineStr">
        <is>
          <t>EM-0004161</t>
        </is>
      </c>
      <c r="H129" s="193" t="n">
        <v>2643189182</v>
      </c>
      <c r="I129" s="446" t="inlineStr">
        <is>
          <t>Approved</t>
        </is>
      </c>
      <c r="J129" s="551" t="n">
        <v>46245</v>
      </c>
      <c r="K129" s="446" t="inlineStr">
        <is>
          <t>AL-FALAK VISA</t>
        </is>
      </c>
      <c r="L129" s="45" t="inlineStr">
        <is>
          <t>-</t>
        </is>
      </c>
      <c r="N129" s="178" t="n"/>
      <c r="O129" s="178" t="n"/>
      <c r="P129" s="178" t="n"/>
      <c r="Q129" s="178" t="n"/>
      <c r="R129" s="178" t="n"/>
      <c r="S129" s="178" t="n"/>
      <c r="T129" s="178" t="n"/>
    </row>
    <row r="130" ht="15.75" customHeight="1">
      <c r="A130" s="553" t="n"/>
      <c r="B130" s="553" t="n"/>
      <c r="C130" s="553" t="n"/>
      <c r="D130" s="553" t="n"/>
      <c r="E130" s="187" t="n"/>
      <c r="F130" s="77" t="inlineStr">
        <is>
          <t>IT</t>
        </is>
      </c>
      <c r="G130" s="445" t="inlineStr">
        <is>
          <t>-</t>
        </is>
      </c>
      <c r="H130" s="445" t="inlineStr">
        <is>
          <t>-</t>
        </is>
      </c>
      <c r="I130" s="446" t="inlineStr">
        <is>
          <t>Vacant</t>
        </is>
      </c>
      <c r="J130" s="552" t="n"/>
      <c r="K130" s="446" t="inlineStr">
        <is>
          <t>-</t>
        </is>
      </c>
      <c r="L130" s="45" t="inlineStr">
        <is>
          <t>-</t>
        </is>
      </c>
      <c r="N130" s="178" t="n"/>
      <c r="O130" s="178" t="n"/>
      <c r="P130" s="178" t="n"/>
      <c r="Q130" s="178" t="n"/>
      <c r="R130" s="178" t="n"/>
      <c r="S130" s="178" t="n"/>
      <c r="T130" s="178" t="n"/>
    </row>
    <row r="131" ht="15.75" customHeight="1">
      <c r="A131" s="429" t="inlineStr">
        <is>
          <t>LV Techncian (CCTV/IT)</t>
        </is>
      </c>
      <c r="B131" s="429" t="n">
        <v>2</v>
      </c>
      <c r="C131" s="429">
        <f>COUNTIF(E131:E132,"&lt;&gt;")</f>
        <v/>
      </c>
      <c r="D131" s="430">
        <f>C131-B131</f>
        <v/>
      </c>
      <c r="E131" s="445" t="inlineStr">
        <is>
          <t xml:space="preserve">Muhammad Rizwan </t>
        </is>
      </c>
      <c r="F131" s="219" t="inlineStr">
        <is>
          <t>Hard Service</t>
        </is>
      </c>
      <c r="G131" s="219" t="n">
        <v>703357</v>
      </c>
      <c r="H131" s="219" t="n">
        <v>2580806681</v>
      </c>
      <c r="I131" s="446" t="inlineStr">
        <is>
          <t>Approved</t>
        </is>
      </c>
      <c r="J131" s="551" t="n">
        <v>46090</v>
      </c>
      <c r="K131" s="219" t="inlineStr">
        <is>
          <t>FMCO VISA</t>
        </is>
      </c>
      <c r="L131" s="45" t="inlineStr">
        <is>
          <t>-</t>
        </is>
      </c>
      <c r="N131" s="178" t="n"/>
      <c r="O131" s="178" t="n"/>
      <c r="P131" s="178" t="n"/>
      <c r="Q131" s="178" t="n"/>
      <c r="R131" s="178" t="n"/>
      <c r="S131" s="178" t="n"/>
      <c r="T131" s="178" t="n"/>
    </row>
    <row r="132" ht="15.75" customHeight="1">
      <c r="A132" s="553" t="n"/>
      <c r="B132" s="553" t="n"/>
      <c r="C132" s="553" t="n"/>
      <c r="D132" s="553" t="n"/>
      <c r="E132" s="445" t="inlineStr">
        <is>
          <t>Syed Mohd Ghulam Suhaib</t>
        </is>
      </c>
      <c r="F132" s="77" t="inlineStr">
        <is>
          <t>IT</t>
        </is>
      </c>
      <c r="G132" s="445" t="inlineStr">
        <is>
          <t>EM-0002682</t>
        </is>
      </c>
      <c r="H132" s="445" t="n">
        <v>2586129179</v>
      </c>
      <c r="I132" s="446" t="inlineStr">
        <is>
          <t>Approved</t>
        </is>
      </c>
      <c r="J132" s="551" t="n">
        <v>45586</v>
      </c>
      <c r="K132" s="446" t="inlineStr">
        <is>
          <t>AL-FALAK VISA</t>
        </is>
      </c>
      <c r="L132" s="45" t="inlineStr">
        <is>
          <t>-</t>
        </is>
      </c>
      <c r="N132" s="178" t="n"/>
      <c r="O132" s="178" t="n"/>
      <c r="P132" s="178" t="n"/>
      <c r="Q132" s="178" t="n"/>
      <c r="R132" s="178" t="n"/>
      <c r="S132" s="178" t="n"/>
      <c r="T132" s="178" t="n"/>
    </row>
    <row r="133" ht="15.75" customHeight="1">
      <c r="A133" s="429" t="inlineStr">
        <is>
          <t>Civil Supervisor</t>
        </is>
      </c>
      <c r="B133" s="429" t="n">
        <v>2</v>
      </c>
      <c r="C133" s="429">
        <f>COUNTIF(E133:E134,"&lt;&gt;")</f>
        <v/>
      </c>
      <c r="D133" s="430">
        <f>C133-B133</f>
        <v/>
      </c>
      <c r="E133" s="445" t="inlineStr">
        <is>
          <t>Zeeshan Feroz Alam Shaikh</t>
        </is>
      </c>
      <c r="F133" s="77" t="inlineStr">
        <is>
          <t>Hard Service</t>
        </is>
      </c>
      <c r="G133" s="445" t="n">
        <v>703029</v>
      </c>
      <c r="H133" s="445" t="n">
        <v>2568127258</v>
      </c>
      <c r="I133" s="446" t="inlineStr">
        <is>
          <t>Approved</t>
        </is>
      </c>
      <c r="J133" s="551" t="n">
        <v>45472</v>
      </c>
      <c r="K133" s="446" t="inlineStr">
        <is>
          <t>FMCO</t>
        </is>
      </c>
      <c r="L133" s="45" t="inlineStr">
        <is>
          <t>-</t>
        </is>
      </c>
      <c r="N133" s="178" t="n"/>
      <c r="O133" s="178" t="n"/>
      <c r="P133" s="178" t="n"/>
      <c r="Q133" s="178" t="n"/>
      <c r="R133" s="178" t="n"/>
      <c r="S133" s="178" t="n"/>
      <c r="T133" s="178" t="n"/>
    </row>
    <row r="134" ht="15.75" customHeight="1">
      <c r="A134" s="553" t="n"/>
      <c r="B134" s="553" t="n"/>
      <c r="C134" s="553" t="n"/>
      <c r="D134" s="553" t="n"/>
      <c r="E134" s="445" t="inlineStr">
        <is>
          <t>Seenithambi Anvar Niyas</t>
        </is>
      </c>
      <c r="F134" s="77" t="inlineStr">
        <is>
          <t>Hard Service</t>
        </is>
      </c>
      <c r="G134" s="445" t="n">
        <v>703225</v>
      </c>
      <c r="H134" s="445" t="n">
        <v>2578893246</v>
      </c>
      <c r="I134" s="446" t="inlineStr">
        <is>
          <t>Approved</t>
        </is>
      </c>
      <c r="J134" s="551" t="n">
        <v>45491</v>
      </c>
      <c r="K134" s="446" t="inlineStr">
        <is>
          <t>FMCO</t>
        </is>
      </c>
      <c r="L134" s="45" t="inlineStr">
        <is>
          <t>-</t>
        </is>
      </c>
      <c r="N134" s="178" t="n"/>
      <c r="O134" s="178" t="n"/>
      <c r="P134" s="178" t="n"/>
      <c r="Q134" s="178" t="n"/>
      <c r="R134" s="178" t="n"/>
      <c r="S134" s="178" t="n"/>
      <c r="T134" s="178" t="n"/>
    </row>
    <row r="135" ht="15.75" customHeight="1">
      <c r="A135" s="429" t="inlineStr">
        <is>
          <t>Mason</t>
        </is>
      </c>
      <c r="B135" s="429" t="n">
        <v>2</v>
      </c>
      <c r="C135" s="429">
        <f>COUNTIF(E135:E136,"&lt;&gt;")</f>
        <v/>
      </c>
      <c r="D135" s="430">
        <f>C135-B135</f>
        <v/>
      </c>
      <c r="E135" s="445" t="inlineStr">
        <is>
          <t>Mohammad Tanweer Ansari</t>
        </is>
      </c>
      <c r="F135" s="77" t="inlineStr">
        <is>
          <t>Hard Service</t>
        </is>
      </c>
      <c r="G135" s="445" t="inlineStr">
        <is>
          <t>EM-0002690</t>
        </is>
      </c>
      <c r="H135" s="445" t="n">
        <v>2586437366</v>
      </c>
      <c r="I135" s="446" t="inlineStr">
        <is>
          <t>Approved</t>
        </is>
      </c>
      <c r="J135" s="551" t="n">
        <v>45599</v>
      </c>
      <c r="K135" s="446" t="inlineStr">
        <is>
          <t>AL-FALAK VISA</t>
        </is>
      </c>
      <c r="L135" s="45" t="inlineStr">
        <is>
          <t>-</t>
        </is>
      </c>
      <c r="N135" s="178" t="n"/>
      <c r="O135" s="178" t="n"/>
      <c r="P135" s="178" t="n"/>
      <c r="Q135" s="178" t="n"/>
      <c r="R135" s="178" t="n"/>
      <c r="S135" s="178" t="n"/>
      <c r="T135" s="178" t="n"/>
    </row>
    <row r="136" ht="15.75" customHeight="1">
      <c r="A136" s="553" t="n"/>
      <c r="B136" s="553" t="n"/>
      <c r="C136" s="553" t="n"/>
      <c r="D136" s="553" t="n"/>
      <c r="E136" s="445" t="inlineStr">
        <is>
          <t>Pir Zada</t>
        </is>
      </c>
      <c r="F136" s="77" t="inlineStr">
        <is>
          <t>Hard Service</t>
        </is>
      </c>
      <c r="G136" s="445" t="inlineStr">
        <is>
          <t>C00706</t>
        </is>
      </c>
      <c r="H136" s="445" t="n">
        <v>2582098527</v>
      </c>
      <c r="I136" s="446" t="inlineStr">
        <is>
          <t>Approved</t>
        </is>
      </c>
      <c r="J136" s="551" t="n">
        <v>46101</v>
      </c>
      <c r="K136" s="446" t="inlineStr">
        <is>
          <t>MEHAN VISA</t>
        </is>
      </c>
      <c r="L136" s="45" t="inlineStr">
        <is>
          <t>-</t>
        </is>
      </c>
      <c r="N136" s="178" t="n"/>
      <c r="O136" s="178" t="n"/>
      <c r="P136" s="178" t="n"/>
      <c r="Q136" s="178" t="n"/>
      <c r="R136" s="178" t="n"/>
      <c r="S136" s="178" t="n"/>
      <c r="T136" s="178" t="n"/>
    </row>
    <row r="137" ht="15.75" customHeight="1">
      <c r="A137" s="429" t="inlineStr">
        <is>
          <t>Carpenter</t>
        </is>
      </c>
      <c r="B137" s="429" t="n">
        <v>8</v>
      </c>
      <c r="C137" s="429">
        <f>COUNTIF(E137:E144,"&lt;&gt;")</f>
        <v/>
      </c>
      <c r="D137" s="430">
        <f>C137-B137</f>
        <v/>
      </c>
      <c r="E137" s="445" t="inlineStr">
        <is>
          <t xml:space="preserve">MD Yoegkorun </t>
        </is>
      </c>
      <c r="F137" s="77" t="inlineStr">
        <is>
          <t>Hard Service</t>
        </is>
      </c>
      <c r="G137" s="193" t="inlineStr">
        <is>
          <t>-</t>
        </is>
      </c>
      <c r="H137" s="193" t="n">
        <v>2626491563</v>
      </c>
      <c r="I137" s="446" t="inlineStr">
        <is>
          <t>Approved</t>
        </is>
      </c>
      <c r="J137" s="220" t="n">
        <v>46210</v>
      </c>
      <c r="K137" s="193" t="inlineStr">
        <is>
          <t>AB-HOOR</t>
        </is>
      </c>
      <c r="L137" s="45" t="inlineStr">
        <is>
          <t>-</t>
        </is>
      </c>
      <c r="N137" s="178" t="n"/>
      <c r="O137" s="178" t="n"/>
      <c r="P137" s="178" t="n"/>
      <c r="Q137" s="178" t="n"/>
      <c r="R137" s="178" t="n"/>
      <c r="S137" s="178" t="n"/>
      <c r="T137" s="178" t="n"/>
    </row>
    <row r="138" ht="15.75" customHeight="1">
      <c r="A138" s="554" t="n"/>
      <c r="B138" s="554" t="n"/>
      <c r="C138" s="554" t="n"/>
      <c r="D138" s="554" t="n"/>
      <c r="E138" s="445" t="inlineStr">
        <is>
          <t>KURBAN KHAN</t>
        </is>
      </c>
      <c r="F138" s="77" t="inlineStr">
        <is>
          <t>Hard Service</t>
        </is>
      </c>
      <c r="G138" s="45" t="inlineStr">
        <is>
          <t>-</t>
        </is>
      </c>
      <c r="H138" s="45" t="inlineStr">
        <is>
          <t>-</t>
        </is>
      </c>
      <c r="I138" s="446" t="inlineStr">
        <is>
          <t>Approved</t>
        </is>
      </c>
      <c r="J138" s="551" t="n">
        <v>46239</v>
      </c>
      <c r="K138" s="446" t="inlineStr">
        <is>
          <t>-</t>
        </is>
      </c>
      <c r="L138" s="45" t="inlineStr">
        <is>
          <t>-</t>
        </is>
      </c>
      <c r="N138" s="178" t="n"/>
      <c r="O138" s="178" t="n"/>
      <c r="P138" s="178" t="n"/>
      <c r="Q138" s="178" t="n"/>
      <c r="R138" s="178" t="n"/>
      <c r="S138" s="178" t="n"/>
      <c r="T138" s="178" t="n"/>
    </row>
    <row r="139" ht="15.75" customHeight="1">
      <c r="A139" s="554" t="n"/>
      <c r="B139" s="554" t="n"/>
      <c r="C139" s="554" t="n"/>
      <c r="D139" s="554" t="n"/>
      <c r="E139" s="187" t="inlineStr">
        <is>
          <t>MD MINHAZ UDDIN</t>
        </is>
      </c>
      <c r="F139" s="77" t="inlineStr">
        <is>
          <t>Hard Service</t>
        </is>
      </c>
      <c r="G139" s="45" t="inlineStr">
        <is>
          <t>EM-0004118</t>
        </is>
      </c>
      <c r="H139" s="45" t="inlineStr">
        <is>
          <t>2643066687</t>
        </is>
      </c>
      <c r="I139" s="446" t="inlineStr">
        <is>
          <t>Approved</t>
        </is>
      </c>
      <c r="J139" s="552" t="inlineStr">
        <is>
          <t>2026-08-15 00:00:00</t>
        </is>
      </c>
      <c r="K139" s="446" t="inlineStr">
        <is>
          <t>AL-FALAK VISA</t>
        </is>
      </c>
      <c r="L139" s="45" t="n"/>
      <c r="N139" s="178" t="n"/>
      <c r="O139" s="178" t="n"/>
      <c r="P139" s="178" t="n"/>
      <c r="Q139" s="178" t="n"/>
      <c r="R139" s="178" t="n"/>
      <c r="S139" s="178" t="n"/>
      <c r="T139" s="178" t="n"/>
    </row>
    <row r="140" ht="15.75" customHeight="1">
      <c r="A140" s="554" t="n"/>
      <c r="B140" s="554" t="n"/>
      <c r="C140" s="554" t="n"/>
      <c r="D140" s="554" t="n"/>
      <c r="E140" s="187" t="n"/>
      <c r="F140" s="77" t="inlineStr">
        <is>
          <t>Hard Service</t>
        </is>
      </c>
      <c r="G140" s="45" t="inlineStr">
        <is>
          <t>-</t>
        </is>
      </c>
      <c r="H140" s="45" t="inlineStr">
        <is>
          <t>-</t>
        </is>
      </c>
      <c r="I140" s="446" t="inlineStr">
        <is>
          <t>Vacant</t>
        </is>
      </c>
      <c r="J140" s="552" t="n"/>
      <c r="K140" s="446" t="inlineStr">
        <is>
          <t>-</t>
        </is>
      </c>
      <c r="L140" s="45" t="inlineStr">
        <is>
          <t>-</t>
        </is>
      </c>
      <c r="N140" s="178" t="n"/>
      <c r="O140" s="178" t="n"/>
      <c r="P140" s="178" t="n"/>
      <c r="Q140" s="178" t="n"/>
      <c r="R140" s="178" t="n"/>
      <c r="S140" s="178" t="n"/>
      <c r="T140" s="178" t="n"/>
    </row>
    <row r="141" ht="15.75" customHeight="1">
      <c r="A141" s="554" t="n"/>
      <c r="B141" s="554" t="n"/>
      <c r="C141" s="554" t="n"/>
      <c r="D141" s="554" t="n"/>
      <c r="E141" s="187" t="n"/>
      <c r="F141" s="77" t="inlineStr">
        <is>
          <t>Hard Service</t>
        </is>
      </c>
      <c r="G141" s="45" t="inlineStr">
        <is>
          <t>-</t>
        </is>
      </c>
      <c r="H141" s="45" t="inlineStr">
        <is>
          <t>-</t>
        </is>
      </c>
      <c r="I141" s="446" t="inlineStr">
        <is>
          <t>Vacant</t>
        </is>
      </c>
      <c r="J141" s="552" t="n"/>
      <c r="K141" s="446" t="inlineStr">
        <is>
          <t>-</t>
        </is>
      </c>
      <c r="L141" s="45" t="inlineStr">
        <is>
          <t>-</t>
        </is>
      </c>
      <c r="N141" s="178" t="n"/>
      <c r="O141" s="178" t="n"/>
      <c r="P141" s="178" t="n"/>
      <c r="Q141" s="178" t="n"/>
      <c r="R141" s="178" t="n"/>
      <c r="S141" s="178" t="n"/>
      <c r="T141" s="178" t="n"/>
    </row>
    <row r="142" ht="15.75" customHeight="1">
      <c r="A142" s="554" t="n"/>
      <c r="B142" s="554" t="n"/>
      <c r="C142" s="554" t="n"/>
      <c r="D142" s="554" t="n"/>
      <c r="E142" s="187" t="n"/>
      <c r="F142" s="77" t="inlineStr">
        <is>
          <t>Hard Service</t>
        </is>
      </c>
      <c r="G142" s="446" t="inlineStr">
        <is>
          <t>-</t>
        </is>
      </c>
      <c r="H142" s="45" t="inlineStr">
        <is>
          <t>-</t>
        </is>
      </c>
      <c r="I142" s="446" t="inlineStr">
        <is>
          <t>Vacant</t>
        </is>
      </c>
      <c r="J142" s="552" t="n"/>
      <c r="K142" s="446" t="inlineStr">
        <is>
          <t>-</t>
        </is>
      </c>
      <c r="L142" s="45" t="inlineStr">
        <is>
          <t>-</t>
        </is>
      </c>
      <c r="N142" s="178" t="n"/>
      <c r="O142" s="178" t="n"/>
      <c r="P142" s="178" t="n"/>
      <c r="Q142" s="178" t="n"/>
      <c r="R142" s="178" t="n"/>
      <c r="S142" s="178" t="n"/>
      <c r="T142" s="178" t="n"/>
    </row>
    <row r="143" ht="15.75" customHeight="1">
      <c r="A143" s="554" t="n"/>
      <c r="B143" s="554" t="n"/>
      <c r="C143" s="554" t="n"/>
      <c r="D143" s="554" t="n"/>
      <c r="E143" s="187" t="n"/>
      <c r="F143" s="77" t="inlineStr">
        <is>
          <t>Hard Service</t>
        </is>
      </c>
      <c r="G143" s="446" t="inlineStr">
        <is>
          <t>-</t>
        </is>
      </c>
      <c r="H143" s="45" t="inlineStr">
        <is>
          <t>-</t>
        </is>
      </c>
      <c r="I143" s="446" t="inlineStr">
        <is>
          <t>Vacant</t>
        </is>
      </c>
      <c r="J143" s="552" t="n"/>
      <c r="K143" s="446" t="inlineStr">
        <is>
          <t>-</t>
        </is>
      </c>
      <c r="L143" s="45" t="inlineStr">
        <is>
          <t>-</t>
        </is>
      </c>
      <c r="N143" s="178" t="n"/>
      <c r="O143" s="178" t="n"/>
      <c r="P143" s="178" t="n"/>
      <c r="Q143" s="178" t="n"/>
      <c r="R143" s="178" t="n"/>
      <c r="S143" s="178" t="n"/>
      <c r="T143" s="178" t="n"/>
    </row>
    <row r="144" ht="15.75" customHeight="1">
      <c r="A144" s="553" t="n"/>
      <c r="B144" s="553" t="n"/>
      <c r="C144" s="553" t="n"/>
      <c r="D144" s="553" t="n"/>
      <c r="E144" s="187" t="n"/>
      <c r="F144" s="77" t="inlineStr">
        <is>
          <t>Hard Service</t>
        </is>
      </c>
      <c r="G144" s="446" t="inlineStr">
        <is>
          <t>-</t>
        </is>
      </c>
      <c r="H144" s="45" t="inlineStr">
        <is>
          <t>-</t>
        </is>
      </c>
      <c r="I144" s="446" t="inlineStr">
        <is>
          <t>Vacant</t>
        </is>
      </c>
      <c r="J144" s="552" t="n"/>
      <c r="K144" s="446" t="inlineStr">
        <is>
          <t>-</t>
        </is>
      </c>
      <c r="L144" s="45" t="inlineStr">
        <is>
          <t>-</t>
        </is>
      </c>
      <c r="N144" s="178" t="n"/>
      <c r="O144" s="178" t="n"/>
      <c r="P144" s="178" t="n"/>
      <c r="Q144" s="178" t="n"/>
      <c r="R144" s="178" t="n"/>
      <c r="S144" s="178" t="n"/>
      <c r="T144" s="178" t="n"/>
    </row>
    <row r="145" ht="15.75" customHeight="1">
      <c r="A145" s="429" t="inlineStr">
        <is>
          <t>Painter/Handyman (Civil)</t>
        </is>
      </c>
      <c r="B145" s="429" t="n">
        <v>4</v>
      </c>
      <c r="C145" s="429">
        <f>COUNTIF(E145:E148,"&lt;&gt;")</f>
        <v/>
      </c>
      <c r="D145" s="430">
        <f>C145-B145</f>
        <v/>
      </c>
      <c r="E145" s="445" t="inlineStr">
        <is>
          <t>MD ALAM</t>
        </is>
      </c>
      <c r="F145" s="77" t="inlineStr">
        <is>
          <t>Hard Service</t>
        </is>
      </c>
      <c r="G145" s="445" t="inlineStr">
        <is>
          <t>-</t>
        </is>
      </c>
      <c r="H145" s="445" t="inlineStr">
        <is>
          <t>-</t>
        </is>
      </c>
      <c r="I145" s="446" t="inlineStr">
        <is>
          <t>Approved</t>
        </is>
      </c>
      <c r="J145" s="551" t="n">
        <v>9709</v>
      </c>
      <c r="K145" s="446" t="inlineStr">
        <is>
          <t>-</t>
        </is>
      </c>
      <c r="L145" s="45" t="inlineStr">
        <is>
          <t>-</t>
        </is>
      </c>
      <c r="N145" s="178" t="n"/>
      <c r="O145" s="178" t="n"/>
      <c r="P145" s="178" t="n"/>
      <c r="Q145" s="178" t="n"/>
      <c r="R145" s="178" t="n"/>
      <c r="S145" s="178" t="n"/>
      <c r="T145" s="178" t="n"/>
    </row>
    <row r="146" ht="15.75" customHeight="1">
      <c r="A146" s="554" t="n"/>
      <c r="B146" s="554" t="n"/>
      <c r="C146" s="554" t="n"/>
      <c r="D146" s="554" t="n"/>
      <c r="E146" s="445" t="inlineStr">
        <is>
          <t>Md Shahid</t>
        </is>
      </c>
      <c r="F146" s="77" t="inlineStr">
        <is>
          <t>Hard Service</t>
        </is>
      </c>
      <c r="G146" s="445" t="inlineStr">
        <is>
          <t>-</t>
        </is>
      </c>
      <c r="H146" s="445" t="n">
        <v>2573558505</v>
      </c>
      <c r="I146" s="446" t="inlineStr">
        <is>
          <t>Approved</t>
        </is>
      </c>
      <c r="J146" s="551" t="n">
        <v>46149</v>
      </c>
      <c r="K146" s="446" t="inlineStr">
        <is>
          <t>AL-SHARQIYA RENTAL</t>
        </is>
      </c>
      <c r="L146" s="45" t="inlineStr">
        <is>
          <t>-</t>
        </is>
      </c>
      <c r="N146" s="178" t="n"/>
      <c r="O146" s="178" t="n"/>
      <c r="P146" s="178" t="n"/>
      <c r="Q146" s="178" t="n"/>
      <c r="R146" s="178" t="n"/>
      <c r="S146" s="178" t="n"/>
      <c r="T146" s="178" t="n"/>
    </row>
    <row r="147" ht="15.75" customHeight="1">
      <c r="A147" s="554" t="n"/>
      <c r="B147" s="554" t="n"/>
      <c r="C147" s="554" t="n"/>
      <c r="D147" s="554" t="n"/>
      <c r="E147" s="445" t="inlineStr">
        <is>
          <t>Md Abdul Awal</t>
        </is>
      </c>
      <c r="F147" s="77" t="inlineStr">
        <is>
          <t>Hard Service</t>
        </is>
      </c>
      <c r="G147" s="445" t="inlineStr">
        <is>
          <t>-</t>
        </is>
      </c>
      <c r="H147" s="445" t="n">
        <v>2585976711</v>
      </c>
      <c r="I147" s="446" t="inlineStr">
        <is>
          <t>Approved</t>
        </is>
      </c>
      <c r="J147" s="551" t="n">
        <v>46151</v>
      </c>
      <c r="K147" s="446" t="inlineStr">
        <is>
          <t>AL-SHARQIYA RENTAL</t>
        </is>
      </c>
      <c r="L147" s="45" t="inlineStr">
        <is>
          <t>-</t>
        </is>
      </c>
      <c r="N147" s="178" t="n"/>
      <c r="O147" s="178" t="n"/>
      <c r="P147" s="178" t="n"/>
      <c r="Q147" s="178" t="n"/>
      <c r="R147" s="178" t="n"/>
      <c r="S147" s="178" t="n"/>
      <c r="T147" s="178" t="n"/>
    </row>
    <row r="148" ht="15.75" customHeight="1">
      <c r="A148" s="553" t="n"/>
      <c r="B148" s="553" t="n"/>
      <c r="C148" s="553" t="n"/>
      <c r="D148" s="553" t="n"/>
      <c r="E148" s="445" t="inlineStr">
        <is>
          <t>Muhammad Mohsin</t>
        </is>
      </c>
      <c r="F148" s="77" t="inlineStr">
        <is>
          <t>Hard Service</t>
        </is>
      </c>
      <c r="G148" s="193" t="inlineStr">
        <is>
          <t>-</t>
        </is>
      </c>
      <c r="H148" s="215" t="n">
        <v>2533301764</v>
      </c>
      <c r="I148" s="446" t="inlineStr">
        <is>
          <t>Approved</t>
        </is>
      </c>
      <c r="J148" s="220" t="n">
        <v>46208</v>
      </c>
      <c r="K148" s="216" t="inlineStr">
        <is>
          <t>AB-HOOR</t>
        </is>
      </c>
      <c r="L148" s="45" t="inlineStr">
        <is>
          <t>-</t>
        </is>
      </c>
      <c r="N148" s="178" t="n"/>
      <c r="O148" s="178" t="n"/>
      <c r="P148" s="178" t="n"/>
      <c r="Q148" s="178" t="n"/>
      <c r="R148" s="178" t="n"/>
      <c r="S148" s="178" t="n"/>
      <c r="T148" s="178" t="n"/>
    </row>
    <row r="149" ht="15.75" customHeight="1">
      <c r="A149" s="429" t="inlineStr">
        <is>
          <t>STP Supervisor</t>
        </is>
      </c>
      <c r="B149" s="429" t="n">
        <v>2</v>
      </c>
      <c r="C149" s="429">
        <f>COUNTIF(E149:E150,"&lt;&gt;")</f>
        <v/>
      </c>
      <c r="D149" s="430">
        <f>C149-B149</f>
        <v/>
      </c>
      <c r="E149" s="445" t="inlineStr">
        <is>
          <t>Mizanur Rahman</t>
        </is>
      </c>
      <c r="F149" s="77" t="inlineStr">
        <is>
          <t>Hard Service</t>
        </is>
      </c>
      <c r="G149" s="445" t="n">
        <v>704278</v>
      </c>
      <c r="H149" s="445" t="n">
        <v>2637910619</v>
      </c>
      <c r="I149" s="446" t="inlineStr">
        <is>
          <t>Approved</t>
        </is>
      </c>
      <c r="J149" s="551" t="n">
        <v>46176</v>
      </c>
      <c r="K149" s="446" t="inlineStr">
        <is>
          <t>FMCO</t>
        </is>
      </c>
      <c r="L149" s="45" t="inlineStr">
        <is>
          <t>-</t>
        </is>
      </c>
      <c r="N149" s="178" t="n"/>
      <c r="O149" s="178" t="n"/>
      <c r="P149" s="178" t="n"/>
      <c r="Q149" s="178" t="n"/>
      <c r="R149" s="178" t="n"/>
      <c r="S149" s="178" t="n"/>
      <c r="T149" s="178" t="n"/>
    </row>
    <row r="150" ht="15.75" customHeight="1">
      <c r="A150" s="553" t="n"/>
      <c r="B150" s="553" t="n"/>
      <c r="C150" s="553" t="n"/>
      <c r="D150" s="553" t="n"/>
      <c r="E150" s="445" t="inlineStr">
        <is>
          <t>NAUMAN AHMAD</t>
        </is>
      </c>
      <c r="F150" s="77" t="inlineStr">
        <is>
          <t>Hard Service</t>
        </is>
      </c>
      <c r="G150" s="445" t="inlineStr">
        <is>
          <t>-</t>
        </is>
      </c>
      <c r="H150" s="445" t="inlineStr">
        <is>
          <t>-</t>
        </is>
      </c>
      <c r="I150" s="446" t="inlineStr">
        <is>
          <t>Approved</t>
        </is>
      </c>
      <c r="J150" s="551" t="n">
        <v>46241</v>
      </c>
      <c r="K150" s="446" t="inlineStr">
        <is>
          <t>-</t>
        </is>
      </c>
      <c r="L150" s="45" t="inlineStr">
        <is>
          <t>-</t>
        </is>
      </c>
      <c r="N150" s="178" t="n"/>
      <c r="O150" s="178" t="n"/>
      <c r="P150" s="178" t="n"/>
      <c r="Q150" s="178" t="n"/>
      <c r="R150" s="178" t="n"/>
      <c r="S150" s="178" t="n"/>
      <c r="T150" s="178" t="n"/>
    </row>
    <row r="151" ht="15.75" customHeight="1">
      <c r="A151" s="429" t="inlineStr">
        <is>
          <t>STP Operator</t>
        </is>
      </c>
      <c r="B151" s="429" t="n">
        <v>4</v>
      </c>
      <c r="C151" s="429">
        <f>COUNTIF(E151:E154,"&lt;&gt;")</f>
        <v/>
      </c>
      <c r="D151" s="430">
        <f>C151-B151</f>
        <v/>
      </c>
      <c r="E151" s="445" t="inlineStr">
        <is>
          <t xml:space="preserve">Jahangir Khan </t>
        </is>
      </c>
      <c r="F151" s="77" t="inlineStr">
        <is>
          <t>Hard Service</t>
        </is>
      </c>
      <c r="G151" s="221" t="inlineStr">
        <is>
          <t>E-022-852</t>
        </is>
      </c>
      <c r="H151" s="221" t="n">
        <v>2586787422</v>
      </c>
      <c r="I151" s="446" t="inlineStr">
        <is>
          <t>Approved</t>
        </is>
      </c>
      <c r="J151" s="551" t="n">
        <v>45586</v>
      </c>
      <c r="K151" s="446" t="inlineStr">
        <is>
          <t>TALENT VISA</t>
        </is>
      </c>
      <c r="L151" s="45" t="inlineStr">
        <is>
          <t>-</t>
        </is>
      </c>
      <c r="N151" s="178" t="n"/>
      <c r="O151" s="178" t="n"/>
      <c r="P151" s="178" t="n"/>
      <c r="Q151" s="178" t="n"/>
      <c r="R151" s="178" t="n"/>
      <c r="S151" s="178" t="n"/>
      <c r="T151" s="178" t="n"/>
    </row>
    <row r="152" ht="15.75" customHeight="1">
      <c r="A152" s="554" t="n"/>
      <c r="B152" s="554" t="n"/>
      <c r="C152" s="554" t="n"/>
      <c r="D152" s="554" t="n"/>
      <c r="E152" s="445" t="inlineStr">
        <is>
          <t>Md Saif Ali Khan</t>
        </is>
      </c>
      <c r="F152" s="77" t="inlineStr">
        <is>
          <t>Hard Service</t>
        </is>
      </c>
      <c r="G152" s="222" t="n">
        <v>704279</v>
      </c>
      <c r="H152" s="223" t="n">
        <v>2637910817</v>
      </c>
      <c r="I152" s="446" t="inlineStr">
        <is>
          <t>Approved</t>
        </is>
      </c>
      <c r="J152" s="551" t="n">
        <v>46176</v>
      </c>
      <c r="K152" s="446" t="inlineStr">
        <is>
          <t>FMCO</t>
        </is>
      </c>
      <c r="L152" s="45" t="inlineStr">
        <is>
          <t>-</t>
        </is>
      </c>
      <c r="N152" s="178" t="n"/>
      <c r="O152" s="178" t="n"/>
      <c r="P152" s="178" t="n"/>
      <c r="Q152" s="178" t="n"/>
      <c r="R152" s="178" t="n"/>
      <c r="S152" s="178" t="n"/>
      <c r="T152" s="178" t="n"/>
    </row>
    <row r="153" ht="15.75" customHeight="1">
      <c r="A153" s="554" t="n"/>
      <c r="B153" s="554" t="n"/>
      <c r="C153" s="554" t="n"/>
      <c r="D153" s="554" t="n"/>
      <c r="E153" s="445" t="inlineStr">
        <is>
          <t>Sharfaraz Iqbal</t>
        </is>
      </c>
      <c r="F153" s="77" t="inlineStr">
        <is>
          <t>Hard Service</t>
        </is>
      </c>
      <c r="G153" s="222" t="n">
        <v>704280</v>
      </c>
      <c r="H153" s="223" t="n">
        <v>2637910908</v>
      </c>
      <c r="I153" s="446" t="inlineStr">
        <is>
          <t>Approved</t>
        </is>
      </c>
      <c r="J153" s="551" t="n">
        <v>46176</v>
      </c>
      <c r="K153" s="446" t="inlineStr">
        <is>
          <t>FMCO</t>
        </is>
      </c>
      <c r="L153" s="45" t="inlineStr">
        <is>
          <t>-</t>
        </is>
      </c>
      <c r="N153" s="178" t="n"/>
      <c r="O153" s="178" t="n"/>
      <c r="P153" s="178" t="n"/>
      <c r="Q153" s="178" t="n"/>
      <c r="R153" s="178" t="n"/>
      <c r="S153" s="178" t="n"/>
      <c r="T153" s="178" t="n"/>
    </row>
    <row r="154" ht="15.75" customHeight="1">
      <c r="A154" s="553" t="n"/>
      <c r="B154" s="553" t="n"/>
      <c r="C154" s="553" t="n"/>
      <c r="D154" s="553" t="n"/>
      <c r="E154" s="445" t="inlineStr">
        <is>
          <t>VISHAL YADAV</t>
        </is>
      </c>
      <c r="F154" s="77" t="inlineStr">
        <is>
          <t>Hard Service</t>
        </is>
      </c>
      <c r="G154" s="445" t="inlineStr">
        <is>
          <t>-</t>
        </is>
      </c>
      <c r="H154" s="445" t="inlineStr">
        <is>
          <t>-</t>
        </is>
      </c>
      <c r="I154" s="446" t="inlineStr">
        <is>
          <t>Approved</t>
        </is>
      </c>
      <c r="J154" s="551" t="n">
        <v>9709</v>
      </c>
      <c r="K154" s="446" t="inlineStr">
        <is>
          <t>-</t>
        </is>
      </c>
      <c r="L154" s="45" t="inlineStr">
        <is>
          <t>-</t>
        </is>
      </c>
      <c r="N154" s="178" t="n"/>
      <c r="O154" s="178" t="n"/>
      <c r="P154" s="178" t="n"/>
      <c r="Q154" s="178" t="n"/>
      <c r="R154" s="178" t="n"/>
      <c r="S154" s="178" t="n"/>
      <c r="T154" s="178" t="n"/>
    </row>
    <row r="155" ht="15.75" customHeight="1">
      <c r="A155" s="429" t="inlineStr">
        <is>
          <t>Multi-Skilled Technician</t>
        </is>
      </c>
      <c r="B155" s="429" t="n">
        <v>2</v>
      </c>
      <c r="C155" s="429">
        <f>COUNTIF(E155:E156,"&lt;&gt;")</f>
        <v/>
      </c>
      <c r="D155" s="430">
        <f>C155-B155</f>
        <v/>
      </c>
      <c r="E155" s="187" t="n"/>
      <c r="F155" s="77" t="inlineStr">
        <is>
          <t>Hard Service</t>
        </is>
      </c>
      <c r="G155" s="45" t="inlineStr">
        <is>
          <t>-</t>
        </is>
      </c>
      <c r="H155" s="79" t="inlineStr">
        <is>
          <t>-</t>
        </is>
      </c>
      <c r="I155" s="446" t="inlineStr">
        <is>
          <t>Vacant</t>
        </is>
      </c>
      <c r="J155" s="552" t="n"/>
      <c r="K155" s="446" t="inlineStr">
        <is>
          <t>-</t>
        </is>
      </c>
      <c r="L155" s="45" t="inlineStr">
        <is>
          <t>-</t>
        </is>
      </c>
      <c r="N155" s="178" t="n"/>
      <c r="O155" s="178" t="n"/>
      <c r="P155" s="178" t="n"/>
      <c r="Q155" s="178" t="n"/>
      <c r="R155" s="178" t="n"/>
      <c r="S155" s="178" t="n"/>
      <c r="T155" s="178" t="n"/>
    </row>
    <row r="156" ht="15.75" customHeight="1">
      <c r="A156" s="553" t="n"/>
      <c r="B156" s="553" t="n"/>
      <c r="C156" s="553" t="n"/>
      <c r="D156" s="553" t="n"/>
      <c r="E156" s="187" t="n"/>
      <c r="F156" s="77" t="inlineStr">
        <is>
          <t>Hard Service</t>
        </is>
      </c>
      <c r="G156" s="45" t="inlineStr">
        <is>
          <t>-</t>
        </is>
      </c>
      <c r="H156" s="79" t="inlineStr">
        <is>
          <t>-</t>
        </is>
      </c>
      <c r="I156" s="446" t="inlineStr">
        <is>
          <t>Vacant</t>
        </is>
      </c>
      <c r="J156" s="552" t="n"/>
      <c r="K156" s="446" t="inlineStr">
        <is>
          <t>-</t>
        </is>
      </c>
      <c r="L156" s="45" t="inlineStr">
        <is>
          <t>-</t>
        </is>
      </c>
      <c r="N156" s="178" t="n"/>
      <c r="O156" s="178" t="n"/>
      <c r="P156" s="178" t="n"/>
      <c r="Q156" s="178" t="n"/>
      <c r="R156" s="178" t="n"/>
      <c r="S156" s="178" t="n"/>
      <c r="T156" s="178" t="n"/>
    </row>
    <row r="157" ht="26.25" customHeight="1">
      <c r="A157" s="53" t="inlineStr">
        <is>
          <t>Total Team 
Hard Service Management</t>
        </is>
      </c>
      <c r="B157" s="53" t="inlineStr">
        <is>
          <t>Contractual Requirement</t>
        </is>
      </c>
      <c r="C157" s="53" t="inlineStr">
        <is>
          <t>Approved</t>
        </is>
      </c>
      <c r="D157" s="53" t="inlineStr">
        <is>
          <t>Vacant Position</t>
        </is>
      </c>
      <c r="E157" s="55" t="inlineStr">
        <is>
          <t>Rejected</t>
        </is>
      </c>
      <c r="F157" s="55" t="inlineStr">
        <is>
          <t xml:space="preserve">Additional </t>
        </is>
      </c>
      <c r="G157" s="55" t="inlineStr">
        <is>
          <t>ID</t>
        </is>
      </c>
      <c r="H157" s="55" t="inlineStr">
        <is>
          <t>Iqama</t>
        </is>
      </c>
      <c r="I157" s="80" t="inlineStr">
        <is>
          <t>Status</t>
        </is>
      </c>
      <c r="J157" s="555" t="n"/>
      <c r="K157" s="56" t="n"/>
      <c r="L157" s="55" t="inlineStr">
        <is>
          <t>Remark/Notes</t>
        </is>
      </c>
      <c r="N157" s="178" t="n"/>
      <c r="O157" s="178" t="n"/>
      <c r="P157" s="178" t="n"/>
      <c r="Q157" s="178" t="n"/>
      <c r="R157" s="178" t="n"/>
      <c r="S157" s="178" t="n"/>
      <c r="T157" s="178" t="n"/>
    </row>
    <row r="158" ht="15.75" customHeight="1">
      <c r="A158" s="53">
        <f>COUNTIF(E35:E156,"&lt;&gt;")</f>
        <v/>
      </c>
      <c r="B158" s="53">
        <f>SUM(B35:B156)</f>
        <v/>
      </c>
      <c r="C158" s="53">
        <f>COUNTIF(I35:I156,"Approved")</f>
        <v/>
      </c>
      <c r="D158" s="53">
        <f>COUNTIF(I5:I156,"Vacant")</f>
        <v/>
      </c>
      <c r="E158" s="55">
        <f>COUNTIF(I35:I156,"Rejected")</f>
        <v/>
      </c>
      <c r="F158" s="55">
        <f>COUNTIF(I35:I156,"Additional ")</f>
        <v/>
      </c>
      <c r="G158" s="55">
        <f>COUNTIF(G35:G156,"-")</f>
        <v/>
      </c>
      <c r="H158" s="55">
        <f>COUNTIF(H35:H156,"-")</f>
        <v/>
      </c>
      <c r="I158" s="60" t="n"/>
      <c r="J158" s="556" t="n"/>
      <c r="K158" s="60" t="n"/>
      <c r="L158" s="60" t="n"/>
      <c r="N158" s="178" t="n"/>
      <c r="O158" s="178" t="n"/>
      <c r="P158" s="178" t="n"/>
      <c r="Q158" s="178" t="n"/>
      <c r="R158" s="178" t="n"/>
      <c r="S158" s="178" t="n"/>
      <c r="T158" s="178" t="n"/>
    </row>
    <row r="159" ht="15.75" customHeight="1">
      <c r="A159" s="224" t="n"/>
      <c r="B159" s="224" t="n"/>
      <c r="C159" s="224" t="n"/>
      <c r="D159" s="224" t="n"/>
      <c r="E159" s="187" t="n"/>
      <c r="F159" s="225" t="n"/>
      <c r="G159" s="225" t="n"/>
      <c r="H159" s="225" t="n"/>
      <c r="I159" s="225" t="n"/>
      <c r="J159" s="583" t="n"/>
      <c r="K159" s="189" t="n"/>
      <c r="L159" s="225" t="n"/>
      <c r="N159" s="178" t="n"/>
      <c r="O159" s="178" t="n"/>
      <c r="P159" s="178" t="n"/>
      <c r="Q159" s="178" t="n"/>
      <c r="R159" s="178" t="n"/>
      <c r="S159" s="178" t="n"/>
      <c r="T159" s="178" t="n"/>
    </row>
    <row r="160" ht="26.25" customHeight="1">
      <c r="A160" s="185" t="inlineStr">
        <is>
          <t>Position</t>
        </is>
      </c>
      <c r="B160" s="12" t="inlineStr">
        <is>
          <t>Contractual Requirement</t>
        </is>
      </c>
      <c r="C160" s="12" t="inlineStr">
        <is>
          <t>On-Site Availability</t>
        </is>
      </c>
      <c r="D160" s="12" t="inlineStr">
        <is>
          <t>Vacant Position</t>
        </is>
      </c>
      <c r="E160" s="14" t="inlineStr">
        <is>
          <t>Emaployee Name</t>
        </is>
      </c>
      <c r="F160" s="14" t="inlineStr">
        <is>
          <t>Decipline</t>
        </is>
      </c>
      <c r="G160" s="15" t="inlineStr">
        <is>
          <t>ID</t>
        </is>
      </c>
      <c r="H160" s="14" t="inlineStr">
        <is>
          <t>Iqama</t>
        </is>
      </c>
      <c r="I160" s="15" t="inlineStr">
        <is>
          <t>Status</t>
        </is>
      </c>
      <c r="J160" s="558" t="n"/>
      <c r="K160" s="227" t="n"/>
      <c r="L160" s="15" t="inlineStr">
        <is>
          <t>Remarks/Notes</t>
        </is>
      </c>
      <c r="N160" s="178" t="n"/>
      <c r="O160" s="178" t="n"/>
      <c r="P160" s="178" t="n"/>
      <c r="Q160" s="178" t="n"/>
      <c r="R160" s="178" t="n"/>
      <c r="S160" s="178" t="n"/>
      <c r="T160" s="178" t="n"/>
    </row>
    <row r="161" ht="15.75" customHeight="1">
      <c r="A161" s="429" t="inlineStr">
        <is>
          <t>Soft Services  Supervisor</t>
        </is>
      </c>
      <c r="B161" s="430" t="n">
        <v>12</v>
      </c>
      <c r="C161" s="430">
        <f>COUNTIF(E161:E172,"&lt;&gt;")</f>
        <v/>
      </c>
      <c r="D161" s="430">
        <f>C161-B161</f>
        <v/>
      </c>
      <c r="E161" s="445" t="inlineStr">
        <is>
          <t>Mohammad Nowshad Mahmud</t>
        </is>
      </c>
      <c r="F161" s="188" t="inlineStr">
        <is>
          <t>Soft Service</t>
        </is>
      </c>
      <c r="G161" s="86" t="n">
        <v>703453</v>
      </c>
      <c r="H161" s="87" t="n">
        <v>2581991870</v>
      </c>
      <c r="I161" s="446" t="inlineStr">
        <is>
          <t>Approved</t>
        </is>
      </c>
      <c r="J161" s="551" t="n">
        <v>45586</v>
      </c>
      <c r="K161" s="446" t="inlineStr">
        <is>
          <t>FMCO</t>
        </is>
      </c>
      <c r="L161" s="45" t="inlineStr">
        <is>
          <t>-</t>
        </is>
      </c>
      <c r="N161" s="178" t="n"/>
      <c r="O161" s="178" t="n"/>
      <c r="P161" s="178" t="n"/>
      <c r="Q161" s="178" t="n"/>
      <c r="R161" s="178" t="n"/>
      <c r="S161" s="178" t="n"/>
      <c r="T161" s="178" t="n"/>
    </row>
    <row r="162" ht="15.75" customHeight="1">
      <c r="A162" s="554" t="n"/>
      <c r="B162" s="554" t="n"/>
      <c r="C162" s="554" t="n"/>
      <c r="D162" s="554" t="n"/>
      <c r="E162" s="445" t="inlineStr">
        <is>
          <t>Shafiqul Islam</t>
        </is>
      </c>
      <c r="F162" s="188" t="inlineStr">
        <is>
          <t>Soft Service</t>
        </is>
      </c>
      <c r="G162" s="86" t="n">
        <v>703454</v>
      </c>
      <c r="H162" s="87" t="n">
        <v>2581992134</v>
      </c>
      <c r="I162" s="446" t="inlineStr">
        <is>
          <t>Approved</t>
        </is>
      </c>
      <c r="J162" s="551" t="n">
        <v>45586</v>
      </c>
      <c r="K162" s="446" t="inlineStr">
        <is>
          <t>FMCO</t>
        </is>
      </c>
      <c r="L162" s="45" t="inlineStr">
        <is>
          <t>-</t>
        </is>
      </c>
      <c r="N162" s="178" t="n"/>
      <c r="O162" s="178" t="n"/>
      <c r="P162" s="178" t="n"/>
      <c r="Q162" s="178" t="n"/>
      <c r="R162" s="178" t="n"/>
      <c r="S162" s="178" t="n"/>
      <c r="T162" s="178" t="n"/>
    </row>
    <row r="163" ht="15.75" customHeight="1">
      <c r="A163" s="554" t="n"/>
      <c r="B163" s="554" t="n"/>
      <c r="C163" s="554" t="n"/>
      <c r="D163" s="554" t="n"/>
      <c r="E163" s="445" t="inlineStr">
        <is>
          <t>Muhammad Tariq</t>
        </is>
      </c>
      <c r="F163" s="188" t="inlineStr">
        <is>
          <t>Soft Service</t>
        </is>
      </c>
      <c r="G163" s="86" t="inlineStr">
        <is>
          <t>C00709</t>
        </is>
      </c>
      <c r="H163" s="87" t="n">
        <v>2582098899</v>
      </c>
      <c r="I163" s="446" t="inlineStr">
        <is>
          <t>Approved</t>
        </is>
      </c>
      <c r="J163" s="551" t="n">
        <v>45586</v>
      </c>
      <c r="K163" s="446" t="inlineStr">
        <is>
          <t>MEHAN VISA</t>
        </is>
      </c>
      <c r="L163" s="45" t="inlineStr">
        <is>
          <t>-</t>
        </is>
      </c>
      <c r="N163" s="178" t="n"/>
      <c r="O163" s="178" t="n"/>
      <c r="P163" s="178" t="n"/>
      <c r="Q163" s="178" t="n"/>
      <c r="R163" s="178" t="n"/>
      <c r="S163" s="178" t="n"/>
      <c r="T163" s="178" t="n"/>
    </row>
    <row r="164" ht="15.75" customHeight="1">
      <c r="A164" s="554" t="n"/>
      <c r="B164" s="554" t="n"/>
      <c r="C164" s="554" t="n"/>
      <c r="D164" s="554" t="n"/>
      <c r="E164" s="445" t="inlineStr">
        <is>
          <t>Muhammad Farhan</t>
        </is>
      </c>
      <c r="F164" s="188" t="inlineStr">
        <is>
          <t>Soft Service</t>
        </is>
      </c>
      <c r="G164" s="86" t="n">
        <v>701489</v>
      </c>
      <c r="H164" s="87" t="n">
        <v>2534890914</v>
      </c>
      <c r="I164" s="446" t="inlineStr">
        <is>
          <t>Approved</t>
        </is>
      </c>
      <c r="J164" s="551" t="n">
        <v>46028</v>
      </c>
      <c r="K164" s="446" t="inlineStr">
        <is>
          <t>FMCO</t>
        </is>
      </c>
      <c r="L164" s="45" t="inlineStr">
        <is>
          <t>-</t>
        </is>
      </c>
      <c r="N164" s="178" t="n"/>
      <c r="O164" s="178" t="n"/>
      <c r="P164" s="178" t="n"/>
      <c r="Q164" s="178" t="n"/>
      <c r="R164" s="178" t="n"/>
      <c r="S164" s="178" t="n"/>
      <c r="T164" s="178" t="n"/>
    </row>
    <row r="165" ht="15.75" customHeight="1">
      <c r="A165" s="554" t="n"/>
      <c r="B165" s="554" t="n"/>
      <c r="C165" s="554" t="n"/>
      <c r="D165" s="554" t="n"/>
      <c r="E165" s="445" t="inlineStr">
        <is>
          <t>Musharaf Hussain</t>
        </is>
      </c>
      <c r="F165" s="188" t="inlineStr">
        <is>
          <t>Soft Service</t>
        </is>
      </c>
      <c r="G165" s="86" t="inlineStr">
        <is>
          <t>C01824</t>
        </is>
      </c>
      <c r="H165" s="87" t="n">
        <v>2636046076</v>
      </c>
      <c r="I165" s="446" t="inlineStr">
        <is>
          <t>Approved</t>
        </is>
      </c>
      <c r="J165" s="551" t="n">
        <v>46142</v>
      </c>
      <c r="K165" s="446" t="inlineStr">
        <is>
          <t>MEHAN VISA</t>
        </is>
      </c>
      <c r="L165" s="45" t="inlineStr">
        <is>
          <t>-</t>
        </is>
      </c>
      <c r="N165" s="178" t="n"/>
      <c r="O165" s="178" t="n"/>
      <c r="P165" s="178" t="n"/>
      <c r="Q165" s="178" t="n"/>
      <c r="R165" s="178" t="n"/>
      <c r="S165" s="178" t="n"/>
      <c r="T165" s="178" t="n"/>
    </row>
    <row r="166" ht="15.75" customHeight="1">
      <c r="A166" s="554" t="n"/>
      <c r="B166" s="554" t="n"/>
      <c r="C166" s="554" t="n"/>
      <c r="D166" s="554" t="n"/>
      <c r="E166" s="445" t="inlineStr">
        <is>
          <t>Mohammed Danish</t>
        </is>
      </c>
      <c r="F166" s="188" t="inlineStr">
        <is>
          <t>Soft Service</t>
        </is>
      </c>
      <c r="G166" s="86" t="inlineStr">
        <is>
          <t>-</t>
        </is>
      </c>
      <c r="H166" s="87" t="n">
        <v>2640657249</v>
      </c>
      <c r="I166" s="446" t="inlineStr">
        <is>
          <t>Approved</t>
        </is>
      </c>
      <c r="J166" s="551" t="n">
        <v>46219</v>
      </c>
      <c r="K166" s="446" t="inlineStr">
        <is>
          <t>AL-FALAK VISA</t>
        </is>
      </c>
      <c r="L166" s="45" t="inlineStr">
        <is>
          <t>-</t>
        </is>
      </c>
      <c r="N166" s="178" t="n"/>
      <c r="O166" s="178" t="n"/>
      <c r="P166" s="178" t="n"/>
      <c r="Q166" s="178" t="n"/>
      <c r="R166" s="178" t="n"/>
      <c r="S166" s="178" t="n"/>
      <c r="T166" s="178" t="n"/>
    </row>
    <row r="167" ht="15.75" customHeight="1">
      <c r="A167" s="554" t="n"/>
      <c r="B167" s="554" t="n"/>
      <c r="C167" s="554" t="n"/>
      <c r="D167" s="554" t="n"/>
      <c r="E167" s="445" t="inlineStr">
        <is>
          <t xml:space="preserve">Khaja Shahed Hussain </t>
        </is>
      </c>
      <c r="F167" s="188" t="inlineStr">
        <is>
          <t>Soft Service</t>
        </is>
      </c>
      <c r="G167" s="86" t="inlineStr">
        <is>
          <t>-</t>
        </is>
      </c>
      <c r="H167" s="87" t="inlineStr">
        <is>
          <t>-</t>
        </is>
      </c>
      <c r="I167" s="446" t="inlineStr">
        <is>
          <t>Approved</t>
        </is>
      </c>
      <c r="J167" s="551" t="n">
        <v>46228</v>
      </c>
      <c r="K167" s="446" t="inlineStr">
        <is>
          <t>-</t>
        </is>
      </c>
      <c r="L167" s="45" t="inlineStr">
        <is>
          <t>-</t>
        </is>
      </c>
      <c r="N167" s="178" t="n"/>
      <c r="O167" s="178" t="n"/>
      <c r="P167" s="178" t="n"/>
      <c r="Q167" s="178" t="n"/>
      <c r="R167" s="178" t="n"/>
      <c r="S167" s="178" t="n"/>
      <c r="T167" s="178" t="n"/>
    </row>
    <row r="168" ht="15.75" customHeight="1">
      <c r="A168" s="554" t="n"/>
      <c r="B168" s="554" t="n"/>
      <c r="C168" s="554" t="n"/>
      <c r="D168" s="554" t="n"/>
      <c r="E168" s="445" t="inlineStr">
        <is>
          <t>Khizer Ahmed</t>
        </is>
      </c>
      <c r="F168" s="188" t="inlineStr">
        <is>
          <t>Soft Service</t>
        </is>
      </c>
      <c r="G168" s="86" t="inlineStr">
        <is>
          <t>-</t>
        </is>
      </c>
      <c r="H168" s="87" t="inlineStr">
        <is>
          <t>-</t>
        </is>
      </c>
      <c r="I168" s="446" t="inlineStr">
        <is>
          <t>Approved</t>
        </is>
      </c>
      <c r="J168" s="551" t="n">
        <v>46228</v>
      </c>
      <c r="K168" s="446" t="inlineStr">
        <is>
          <t>-</t>
        </is>
      </c>
      <c r="L168" s="45" t="inlineStr">
        <is>
          <t>-</t>
        </is>
      </c>
      <c r="N168" s="178" t="n"/>
      <c r="O168" s="178" t="n"/>
      <c r="P168" s="178" t="n"/>
      <c r="Q168" s="178" t="n"/>
      <c r="R168" s="178" t="n"/>
      <c r="S168" s="178" t="n"/>
      <c r="T168" s="178" t="n"/>
    </row>
    <row r="169" ht="15.75" customHeight="1">
      <c r="A169" s="554" t="n"/>
      <c r="B169" s="554" t="n"/>
      <c r="C169" s="554" t="n"/>
      <c r="D169" s="554" t="n"/>
      <c r="E169" s="445" t="inlineStr">
        <is>
          <t xml:space="preserve">KHAJA SHAHED HUSSAIN </t>
        </is>
      </c>
      <c r="F169" s="188" t="inlineStr">
        <is>
          <t>Soft Service</t>
        </is>
      </c>
      <c r="G169" s="86" t="inlineStr">
        <is>
          <t>-</t>
        </is>
      </c>
      <c r="H169" s="87" t="inlineStr">
        <is>
          <t>-</t>
        </is>
      </c>
      <c r="I169" s="446" t="inlineStr">
        <is>
          <t>Approved</t>
        </is>
      </c>
      <c r="J169" s="551" t="n">
        <v>46228</v>
      </c>
      <c r="K169" s="446" t="inlineStr">
        <is>
          <t>-</t>
        </is>
      </c>
      <c r="L169" s="45" t="inlineStr">
        <is>
          <t>-</t>
        </is>
      </c>
      <c r="N169" s="178" t="n"/>
      <c r="O169" s="178" t="n"/>
      <c r="P169" s="178" t="n"/>
      <c r="Q169" s="178" t="n"/>
      <c r="R169" s="178" t="n"/>
      <c r="S169" s="178" t="n"/>
      <c r="T169" s="178" t="n"/>
    </row>
    <row r="170" ht="15.75" customHeight="1">
      <c r="A170" s="554" t="n"/>
      <c r="B170" s="554" t="n"/>
      <c r="C170" s="554" t="n"/>
      <c r="D170" s="554" t="n"/>
      <c r="E170" s="445" t="inlineStr">
        <is>
          <t>KHIZER AHMED</t>
        </is>
      </c>
      <c r="F170" s="188" t="inlineStr">
        <is>
          <t>Soft Service</t>
        </is>
      </c>
      <c r="G170" s="86" t="inlineStr">
        <is>
          <t>-</t>
        </is>
      </c>
      <c r="H170" s="87" t="inlineStr">
        <is>
          <t>-</t>
        </is>
      </c>
      <c r="I170" s="446" t="inlineStr">
        <is>
          <t>Approved</t>
        </is>
      </c>
      <c r="J170" s="551" t="n">
        <v>46228</v>
      </c>
      <c r="K170" s="446" t="inlineStr">
        <is>
          <t>-</t>
        </is>
      </c>
      <c r="L170" s="45" t="inlineStr">
        <is>
          <t>-</t>
        </is>
      </c>
      <c r="N170" s="178" t="n"/>
      <c r="O170" s="178" t="n"/>
      <c r="P170" s="178" t="n"/>
      <c r="Q170" s="178" t="n"/>
      <c r="R170" s="178" t="n"/>
      <c r="S170" s="178" t="n"/>
      <c r="T170" s="178" t="n"/>
    </row>
    <row r="171" ht="15.75" customHeight="1">
      <c r="A171" s="554" t="n"/>
      <c r="B171" s="554" t="n"/>
      <c r="C171" s="554" t="n"/>
      <c r="D171" s="554" t="n"/>
      <c r="E171" s="445" t="inlineStr">
        <is>
          <t>SUHAIL AHMAD</t>
        </is>
      </c>
      <c r="F171" s="188" t="inlineStr">
        <is>
          <t>Soft Service</t>
        </is>
      </c>
      <c r="G171" s="86" t="inlineStr">
        <is>
          <t>-</t>
        </is>
      </c>
      <c r="H171" s="87" t="inlineStr">
        <is>
          <t>-</t>
        </is>
      </c>
      <c r="I171" s="446" t="inlineStr">
        <is>
          <t>Approved</t>
        </is>
      </c>
      <c r="J171" s="551" t="n">
        <v>9705</v>
      </c>
      <c r="K171" s="446" t="inlineStr">
        <is>
          <t>-</t>
        </is>
      </c>
      <c r="L171" s="45" t="inlineStr">
        <is>
          <t>-</t>
        </is>
      </c>
      <c r="N171" s="178" t="n"/>
      <c r="O171" s="178" t="n"/>
      <c r="P171" s="178" t="n"/>
      <c r="Q171" s="178" t="n"/>
      <c r="R171" s="178" t="n"/>
      <c r="S171" s="178" t="n"/>
      <c r="T171" s="178" t="n"/>
    </row>
    <row r="172" ht="15.75" customHeight="1">
      <c r="A172" s="553" t="n"/>
      <c r="B172" s="553" t="n"/>
      <c r="C172" s="553" t="n"/>
      <c r="D172" s="553" t="n"/>
      <c r="E172" s="445" t="inlineStr">
        <is>
          <t>AMEER AHMAD</t>
        </is>
      </c>
      <c r="F172" s="188" t="inlineStr">
        <is>
          <t>Soft Service</t>
        </is>
      </c>
      <c r="G172" s="446" t="inlineStr">
        <is>
          <t>-</t>
        </is>
      </c>
      <c r="H172" s="45" t="inlineStr">
        <is>
          <t>-</t>
        </is>
      </c>
      <c r="I172" s="446" t="inlineStr">
        <is>
          <t>Approved</t>
        </is>
      </c>
      <c r="J172" s="551" t="n">
        <v>9707</v>
      </c>
      <c r="K172" s="446" t="inlineStr">
        <is>
          <t>-</t>
        </is>
      </c>
      <c r="L172" s="45" t="inlineStr">
        <is>
          <t>-</t>
        </is>
      </c>
      <c r="N172" s="178" t="n"/>
      <c r="O172" s="178" t="n"/>
      <c r="P172" s="178" t="n"/>
      <c r="Q172" s="178" t="n"/>
      <c r="R172" s="178" t="n"/>
      <c r="S172" s="178" t="n"/>
      <c r="T172" s="178" t="n"/>
    </row>
    <row r="173" ht="15.75" customHeight="1">
      <c r="A173" s="429" t="inlineStr">
        <is>
          <t>SS Team Leader</t>
        </is>
      </c>
      <c r="B173" s="430" t="n">
        <v>2</v>
      </c>
      <c r="C173" s="430">
        <f>COUNTIF(E173:E174,"&lt;&gt;")</f>
        <v/>
      </c>
      <c r="D173" s="430">
        <f>C173-B173</f>
        <v/>
      </c>
      <c r="E173" s="187" t="n"/>
      <c r="F173" s="188" t="inlineStr">
        <is>
          <t>Soft Service</t>
        </is>
      </c>
      <c r="G173" s="86" t="inlineStr">
        <is>
          <t>-</t>
        </is>
      </c>
      <c r="H173" s="87" t="inlineStr">
        <is>
          <t>-</t>
        </is>
      </c>
      <c r="I173" s="446" t="inlineStr">
        <is>
          <t>Vacant</t>
        </is>
      </c>
      <c r="J173" s="552" t="n"/>
      <c r="K173" s="446" t="inlineStr">
        <is>
          <t>-</t>
        </is>
      </c>
      <c r="L173" s="45" t="inlineStr">
        <is>
          <t>-</t>
        </is>
      </c>
      <c r="N173" s="178" t="n"/>
      <c r="O173" s="178" t="n"/>
      <c r="P173" s="178" t="n"/>
      <c r="Q173" s="178" t="n"/>
      <c r="R173" s="178" t="n"/>
      <c r="S173" s="178" t="n"/>
      <c r="T173" s="178" t="n"/>
    </row>
    <row r="174" ht="15.75" customHeight="1">
      <c r="A174" s="553" t="n"/>
      <c r="B174" s="553" t="n"/>
      <c r="C174" s="553" t="n"/>
      <c r="D174" s="553" t="n"/>
      <c r="E174" s="187" t="n"/>
      <c r="F174" s="188" t="inlineStr">
        <is>
          <t>Soft Service</t>
        </is>
      </c>
      <c r="G174" s="86" t="inlineStr">
        <is>
          <t>-</t>
        </is>
      </c>
      <c r="H174" s="87" t="inlineStr">
        <is>
          <t>-</t>
        </is>
      </c>
      <c r="I174" s="446" t="inlineStr">
        <is>
          <t>Vacant</t>
        </is>
      </c>
      <c r="J174" s="552" t="n"/>
      <c r="K174" s="446" t="inlineStr">
        <is>
          <t>-</t>
        </is>
      </c>
      <c r="L174" s="45" t="inlineStr">
        <is>
          <t>-</t>
        </is>
      </c>
      <c r="N174" s="178" t="n"/>
      <c r="O174" s="178" t="n"/>
      <c r="P174" s="178" t="n"/>
      <c r="Q174" s="178" t="n"/>
      <c r="R174" s="178" t="n"/>
      <c r="S174" s="178" t="n"/>
      <c r="T174" s="178" t="n"/>
    </row>
    <row r="175" ht="15.75" customHeight="1">
      <c r="A175" s="429" t="inlineStr">
        <is>
          <t>Male Cleaners</t>
        </is>
      </c>
      <c r="B175" s="430" t="n">
        <v>16</v>
      </c>
      <c r="C175" s="430">
        <f>COUNTIF(E175:E190,"&lt;&gt;")</f>
        <v/>
      </c>
      <c r="D175" s="430">
        <f>C175-B175</f>
        <v/>
      </c>
      <c r="E175" s="445" t="inlineStr">
        <is>
          <t>ASARAF ALI - EDU</t>
        </is>
      </c>
      <c r="F175" s="188" t="inlineStr">
        <is>
          <t>Soft Service</t>
        </is>
      </c>
      <c r="G175" s="228" t="inlineStr">
        <is>
          <t>L01859</t>
        </is>
      </c>
      <c r="H175" s="228" t="n">
        <v>2641899774</v>
      </c>
      <c r="I175" s="446" t="inlineStr">
        <is>
          <t>Approved</t>
        </is>
      </c>
      <c r="J175" s="551" t="n">
        <v>9707</v>
      </c>
      <c r="K175" s="217" t="inlineStr">
        <is>
          <t>MEHAN RENTAL</t>
        </is>
      </c>
      <c r="L175" s="45" t="inlineStr">
        <is>
          <t>-</t>
        </is>
      </c>
      <c r="N175" s="178" t="n"/>
      <c r="O175" s="178" t="n"/>
      <c r="P175" s="178" t="n"/>
      <c r="Q175" s="178" t="n"/>
      <c r="R175" s="178" t="n"/>
      <c r="S175" s="178" t="n"/>
      <c r="T175" s="178" t="n"/>
    </row>
    <row r="176" ht="15.75" customHeight="1">
      <c r="A176" s="554" t="n"/>
      <c r="B176" s="554" t="n"/>
      <c r="C176" s="554" t="n"/>
      <c r="D176" s="554" t="n"/>
      <c r="E176" s="445" t="inlineStr">
        <is>
          <t>Yead Ali</t>
        </is>
      </c>
      <c r="F176" s="188" t="inlineStr">
        <is>
          <t>Soft Service</t>
        </is>
      </c>
      <c r="G176" s="91" t="inlineStr">
        <is>
          <t>-</t>
        </is>
      </c>
      <c r="H176" s="445" t="n">
        <v>2520269065</v>
      </c>
      <c r="I176" s="446" t="inlineStr">
        <is>
          <t>Approved</t>
        </is>
      </c>
      <c r="J176" s="551" t="n">
        <v>46169</v>
      </c>
      <c r="K176" s="446" t="inlineStr">
        <is>
          <t>UCC( RENTAL)</t>
        </is>
      </c>
      <c r="L176" s="45" t="inlineStr">
        <is>
          <t>-</t>
        </is>
      </c>
      <c r="N176" s="178" t="n"/>
      <c r="O176" s="178" t="n"/>
      <c r="P176" s="178" t="n"/>
      <c r="Q176" s="178" t="n"/>
      <c r="R176" s="178" t="n"/>
      <c r="S176" s="178" t="n"/>
      <c r="T176" s="178" t="n"/>
    </row>
    <row r="177" ht="15.75" customHeight="1">
      <c r="A177" s="554" t="n"/>
      <c r="B177" s="554" t="n"/>
      <c r="C177" s="554" t="n"/>
      <c r="D177" s="554" t="n"/>
      <c r="E177" s="445" t="inlineStr">
        <is>
          <t>Salim Siddiqui</t>
        </is>
      </c>
      <c r="F177" s="188" t="inlineStr">
        <is>
          <t>Soft Service</t>
        </is>
      </c>
      <c r="G177" s="91" t="inlineStr">
        <is>
          <t>-</t>
        </is>
      </c>
      <c r="H177" s="445" t="n">
        <v>2598079271</v>
      </c>
      <c r="I177" s="446" t="inlineStr">
        <is>
          <t>Approved</t>
        </is>
      </c>
      <c r="J177" s="551" t="n">
        <v>46084</v>
      </c>
      <c r="K177" s="446" t="inlineStr">
        <is>
          <t>Gulf Vision ( RENTAL)</t>
        </is>
      </c>
      <c r="L177" s="45" t="inlineStr">
        <is>
          <t>-</t>
        </is>
      </c>
      <c r="N177" s="178" t="n"/>
      <c r="O177" s="178" t="n"/>
      <c r="P177" s="178" t="n"/>
      <c r="Q177" s="178" t="n"/>
      <c r="R177" s="178" t="n"/>
      <c r="S177" s="178" t="n"/>
      <c r="T177" s="178" t="n"/>
    </row>
    <row r="178" ht="15.75" customHeight="1">
      <c r="A178" s="554" t="n"/>
      <c r="B178" s="554" t="n"/>
      <c r="C178" s="554" t="n"/>
      <c r="D178" s="554" t="n"/>
      <c r="E178" s="445" t="inlineStr">
        <is>
          <t>Sanjay Mahato</t>
        </is>
      </c>
      <c r="F178" s="188" t="inlineStr">
        <is>
          <t>Soft Service</t>
        </is>
      </c>
      <c r="G178" s="91" t="inlineStr">
        <is>
          <t>-</t>
        </is>
      </c>
      <c r="H178" s="445" t="n">
        <v>2598078521</v>
      </c>
      <c r="I178" s="446" t="inlineStr">
        <is>
          <t>Approved</t>
        </is>
      </c>
      <c r="J178" s="551" t="n">
        <v>46084</v>
      </c>
      <c r="K178" s="446" t="inlineStr">
        <is>
          <t>Gulf Vision ( RENTAL)</t>
        </is>
      </c>
      <c r="L178" s="45" t="inlineStr">
        <is>
          <t>-</t>
        </is>
      </c>
      <c r="N178" s="178" t="n"/>
      <c r="O178" s="178" t="n"/>
      <c r="P178" s="178" t="n"/>
      <c r="Q178" s="178" t="n"/>
      <c r="R178" s="178" t="n"/>
      <c r="S178" s="178" t="n"/>
      <c r="T178" s="178" t="n"/>
    </row>
    <row r="179" ht="15.75" customHeight="1">
      <c r="A179" s="554" t="n"/>
      <c r="B179" s="554" t="n"/>
      <c r="C179" s="554" t="n"/>
      <c r="D179" s="554" t="n"/>
      <c r="E179" s="380" t="inlineStr">
        <is>
          <t>SOJIB</t>
        </is>
      </c>
      <c r="F179" s="188" t="inlineStr">
        <is>
          <t>Soft Service</t>
        </is>
      </c>
      <c r="G179" s="91" t="n"/>
      <c r="H179" s="445" t="inlineStr">
        <is>
          <t>A18450671</t>
        </is>
      </c>
      <c r="I179" s="446" t="inlineStr">
        <is>
          <t>Approved</t>
        </is>
      </c>
      <c r="J179" s="551" t="n">
        <v>46263</v>
      </c>
      <c r="K179" s="446" t="inlineStr">
        <is>
          <t>MEHAN RENTAL</t>
        </is>
      </c>
      <c r="L179" s="45" t="inlineStr">
        <is>
          <t>-</t>
        </is>
      </c>
      <c r="N179" s="178" t="n"/>
      <c r="O179" s="178" t="n"/>
      <c r="P179" s="178" t="n"/>
      <c r="Q179" s="178" t="n"/>
      <c r="R179" s="178" t="n"/>
      <c r="S179" s="178" t="n"/>
      <c r="T179" s="178" t="n"/>
    </row>
    <row r="180" ht="15.75" customHeight="1">
      <c r="A180" s="554" t="n"/>
      <c r="B180" s="554" t="n"/>
      <c r="C180" s="554" t="n"/>
      <c r="D180" s="554" t="n"/>
      <c r="E180" s="380" t="inlineStr">
        <is>
          <t>MD SAKIB</t>
        </is>
      </c>
      <c r="F180" s="188" t="inlineStr">
        <is>
          <t>Soft Service</t>
        </is>
      </c>
      <c r="G180" s="91" t="n"/>
      <c r="H180" s="445" t="inlineStr">
        <is>
          <t>A22108980</t>
        </is>
      </c>
      <c r="I180" s="446" t="inlineStr">
        <is>
          <t>Approved</t>
        </is>
      </c>
      <c r="J180" s="551" t="n">
        <v>46263</v>
      </c>
      <c r="K180" s="446" t="inlineStr">
        <is>
          <t>MEHAN RENTAL</t>
        </is>
      </c>
      <c r="L180" s="45" t="inlineStr">
        <is>
          <t>-</t>
        </is>
      </c>
      <c r="N180" s="178" t="n"/>
      <c r="O180" s="178" t="n"/>
      <c r="P180" s="178" t="n"/>
      <c r="Q180" s="178" t="n"/>
      <c r="R180" s="178" t="n"/>
      <c r="S180" s="178" t="n"/>
      <c r="T180" s="178" t="n"/>
    </row>
    <row r="181" ht="15.75" customHeight="1">
      <c r="A181" s="554" t="n"/>
      <c r="B181" s="554" t="n"/>
      <c r="C181" s="554" t="n"/>
      <c r="D181" s="554" t="n"/>
      <c r="E181" s="380" t="inlineStr">
        <is>
          <t>MD RUHUL</t>
        </is>
      </c>
      <c r="F181" s="188" t="inlineStr">
        <is>
          <t>Soft Service</t>
        </is>
      </c>
      <c r="G181" s="91" t="n"/>
      <c r="H181" s="445" t="inlineStr">
        <is>
          <t>A18283299</t>
        </is>
      </c>
      <c r="I181" s="446" t="inlineStr">
        <is>
          <t>Approved</t>
        </is>
      </c>
      <c r="J181" s="551" t="n">
        <v>46263</v>
      </c>
      <c r="K181" s="446" t="inlineStr">
        <is>
          <t>MEHAN RENTAL</t>
        </is>
      </c>
      <c r="L181" s="45" t="inlineStr">
        <is>
          <t>-</t>
        </is>
      </c>
      <c r="N181" s="178" t="n"/>
      <c r="O181" s="178" t="n"/>
      <c r="P181" s="178" t="n"/>
      <c r="Q181" s="178" t="n"/>
      <c r="R181" s="178" t="n"/>
      <c r="S181" s="178" t="n"/>
      <c r="T181" s="178" t="n"/>
    </row>
    <row r="182" ht="15.75" customHeight="1">
      <c r="A182" s="554" t="n"/>
      <c r="B182" s="554" t="n"/>
      <c r="C182" s="554" t="n"/>
      <c r="D182" s="554" t="n"/>
      <c r="E182" s="380" t="inlineStr">
        <is>
          <t>MD IBRAHIM KHONDAKER</t>
        </is>
      </c>
      <c r="F182" s="188" t="inlineStr">
        <is>
          <t>Soft Service</t>
        </is>
      </c>
      <c r="G182" s="91" t="n"/>
      <c r="H182" s="445" t="n">
        <v>2592980805</v>
      </c>
      <c r="I182" s="446" t="inlineStr">
        <is>
          <t>Approved</t>
        </is>
      </c>
      <c r="J182" s="551" t="n">
        <v>46263</v>
      </c>
      <c r="K182" s="446" t="inlineStr">
        <is>
          <t>MEHAN RENTAL</t>
        </is>
      </c>
      <c r="L182" s="45" t="inlineStr">
        <is>
          <t>-</t>
        </is>
      </c>
      <c r="N182" s="178" t="n"/>
      <c r="O182" s="178" t="n"/>
      <c r="P182" s="178" t="n"/>
      <c r="Q182" s="178" t="n"/>
      <c r="R182" s="178" t="n"/>
      <c r="S182" s="178" t="n"/>
      <c r="T182" s="178" t="n"/>
    </row>
    <row r="183" ht="15.75" customHeight="1">
      <c r="A183" s="554" t="n"/>
      <c r="B183" s="554" t="n"/>
      <c r="C183" s="554" t="n"/>
      <c r="D183" s="554" t="n"/>
      <c r="E183" s="380" t="inlineStr">
        <is>
          <t>MD UZZAL</t>
        </is>
      </c>
      <c r="F183" s="188" t="inlineStr">
        <is>
          <t>Soft Service</t>
        </is>
      </c>
      <c r="G183" s="91" t="n"/>
      <c r="H183" s="445" t="inlineStr">
        <is>
          <t>A21280273</t>
        </is>
      </c>
      <c r="I183" s="446" t="inlineStr">
        <is>
          <t>Approved</t>
        </is>
      </c>
      <c r="J183" s="551" t="n">
        <v>46263</v>
      </c>
      <c r="K183" s="446" t="inlineStr">
        <is>
          <t>MEHAN RENTAL</t>
        </is>
      </c>
      <c r="L183" s="45" t="inlineStr">
        <is>
          <t>-</t>
        </is>
      </c>
      <c r="N183" s="178" t="n"/>
      <c r="O183" s="178" t="n"/>
      <c r="P183" s="178" t="n"/>
      <c r="Q183" s="178" t="n"/>
      <c r="R183" s="178" t="n"/>
      <c r="S183" s="178" t="n"/>
      <c r="T183" s="178" t="n"/>
    </row>
    <row r="184" ht="15.75" customHeight="1">
      <c r="A184" s="554" t="n"/>
      <c r="B184" s="554" t="n"/>
      <c r="C184" s="554" t="n"/>
      <c r="D184" s="554" t="n"/>
      <c r="E184" s="380" t="inlineStr">
        <is>
          <t>ALI AKBAR CHANDIO QAMBAR ALI KHAN</t>
        </is>
      </c>
      <c r="F184" s="188" t="inlineStr">
        <is>
          <t>Soft Service</t>
        </is>
      </c>
      <c r="G184" s="91" t="n"/>
      <c r="H184" s="445" t="n">
        <v>2643723766</v>
      </c>
      <c r="I184" s="446" t="inlineStr">
        <is>
          <t>Approved</t>
        </is>
      </c>
      <c r="J184" s="551" t="n">
        <v>46263</v>
      </c>
      <c r="K184" s="446" t="inlineStr">
        <is>
          <t>MEHAN RENTAL</t>
        </is>
      </c>
      <c r="L184" s="45" t="inlineStr">
        <is>
          <t>-</t>
        </is>
      </c>
      <c r="N184" s="178" t="n"/>
      <c r="O184" s="178" t="n"/>
      <c r="P184" s="178" t="n"/>
      <c r="Q184" s="178" t="n"/>
      <c r="R184" s="178" t="n"/>
      <c r="S184" s="178" t="n"/>
      <c r="T184" s="178" t="n"/>
    </row>
    <row r="185" ht="15.75" customHeight="1">
      <c r="A185" s="554" t="n"/>
      <c r="B185" s="554" t="n"/>
      <c r="C185" s="554" t="n"/>
      <c r="D185" s="554" t="n"/>
      <c r="E185" s="380" t="inlineStr">
        <is>
          <t>MAHMUD AHAMAD NAJIR AHAMAD</t>
        </is>
      </c>
      <c r="F185" s="188" t="inlineStr">
        <is>
          <t>Soft Service</t>
        </is>
      </c>
      <c r="G185" s="91" t="n"/>
      <c r="H185" s="445" t="n">
        <v>2613157672</v>
      </c>
      <c r="I185" s="446" t="inlineStr">
        <is>
          <t>Approved</t>
        </is>
      </c>
      <c r="J185" s="551" t="n">
        <v>46263</v>
      </c>
      <c r="K185" s="446" t="inlineStr">
        <is>
          <t>MEHAN RENTAL</t>
        </is>
      </c>
      <c r="L185" s="45" t="inlineStr">
        <is>
          <t>-</t>
        </is>
      </c>
      <c r="N185" s="178" t="n"/>
      <c r="O185" s="178" t="n"/>
      <c r="P185" s="178" t="n"/>
      <c r="Q185" s="178" t="n"/>
      <c r="R185" s="178" t="n"/>
      <c r="S185" s="178" t="n"/>
      <c r="T185" s="178" t="n"/>
    </row>
    <row r="186" ht="15.75" customHeight="1">
      <c r="A186" s="554" t="n"/>
      <c r="B186" s="554" t="n"/>
      <c r="C186" s="554" t="n"/>
      <c r="D186" s="554" t="n"/>
      <c r="E186" s="380" t="inlineStr">
        <is>
          <t>BIRENDRA RAUT GADI</t>
        </is>
      </c>
      <c r="F186" s="188" t="inlineStr">
        <is>
          <t>Soft Service</t>
        </is>
      </c>
      <c r="G186" s="91" t="n"/>
      <c r="H186" s="445" t="n">
        <v>2613294731</v>
      </c>
      <c r="I186" s="446" t="inlineStr">
        <is>
          <t>Approved</t>
        </is>
      </c>
      <c r="J186" s="551" t="n">
        <v>46263</v>
      </c>
      <c r="K186" s="446" t="inlineStr">
        <is>
          <t>MEHAN RENTAL</t>
        </is>
      </c>
      <c r="L186" s="45" t="inlineStr">
        <is>
          <t>-</t>
        </is>
      </c>
      <c r="N186" s="178" t="n"/>
      <c r="O186" s="178" t="n"/>
      <c r="P186" s="178" t="n"/>
      <c r="Q186" s="178" t="n"/>
      <c r="R186" s="178" t="n"/>
      <c r="S186" s="178" t="n"/>
      <c r="T186" s="178" t="n"/>
    </row>
    <row r="187" ht="15.75" customHeight="1">
      <c r="A187" s="554" t="n"/>
      <c r="B187" s="554" t="n"/>
      <c r="C187" s="554" t="n"/>
      <c r="D187" s="554" t="n"/>
      <c r="E187" s="380" t="inlineStr">
        <is>
          <t>ZAFFIR HUSSAIN</t>
        </is>
      </c>
      <c r="F187" s="188" t="inlineStr">
        <is>
          <t>Soft Service</t>
        </is>
      </c>
      <c r="G187" s="91" t="n"/>
      <c r="H187" s="445" t="n">
        <v>2615134398</v>
      </c>
      <c r="I187" s="446" t="inlineStr">
        <is>
          <t>Approved</t>
        </is>
      </c>
      <c r="J187" s="551" t="n">
        <v>46263</v>
      </c>
      <c r="K187" s="446" t="inlineStr">
        <is>
          <t>MEHAN RENTAL</t>
        </is>
      </c>
      <c r="L187" s="45" t="inlineStr">
        <is>
          <t>-</t>
        </is>
      </c>
      <c r="N187" s="178" t="n"/>
      <c r="O187" s="178" t="n"/>
      <c r="P187" s="178" t="n"/>
      <c r="Q187" s="178" t="n"/>
      <c r="R187" s="178" t="n"/>
      <c r="S187" s="178" t="n"/>
      <c r="T187" s="178" t="n"/>
    </row>
    <row r="188" ht="15.75" customHeight="1">
      <c r="A188" s="554" t="n"/>
      <c r="B188" s="554" t="n"/>
      <c r="C188" s="554" t="n"/>
      <c r="D188" s="554" t="n"/>
      <c r="E188" s="380" t="inlineStr">
        <is>
          <t>ROKIB  MOROL</t>
        </is>
      </c>
      <c r="F188" s="188" t="inlineStr">
        <is>
          <t>Soft Service</t>
        </is>
      </c>
      <c r="G188" s="91" t="n"/>
      <c r="H188" s="445" t="n">
        <v>2635108620</v>
      </c>
      <c r="I188" s="446" t="inlineStr">
        <is>
          <t>Approved</t>
        </is>
      </c>
      <c r="J188" s="551" t="n">
        <v>46263</v>
      </c>
      <c r="K188" s="446" t="inlineStr">
        <is>
          <t>MEHAN RENTAL</t>
        </is>
      </c>
      <c r="L188" s="45" t="inlineStr">
        <is>
          <t>-</t>
        </is>
      </c>
      <c r="N188" s="178" t="n"/>
      <c r="O188" s="178" t="n"/>
      <c r="P188" s="178" t="n"/>
      <c r="Q188" s="178" t="n"/>
      <c r="R188" s="178" t="n"/>
      <c r="S188" s="178" t="n"/>
      <c r="T188" s="178" t="n"/>
    </row>
    <row r="189" ht="15.75" customHeight="1">
      <c r="A189" s="554" t="n"/>
      <c r="B189" s="554" t="n"/>
      <c r="C189" s="554" t="n"/>
      <c r="D189" s="554" t="n"/>
      <c r="E189" s="445" t="inlineStr">
        <is>
          <t>MD Rizual Karim</t>
        </is>
      </c>
      <c r="F189" s="188" t="inlineStr">
        <is>
          <t>Soft Service</t>
        </is>
      </c>
      <c r="G189" s="91" t="inlineStr">
        <is>
          <t>-</t>
        </is>
      </c>
      <c r="H189" s="445" t="n">
        <v>2626493163</v>
      </c>
      <c r="I189" s="446" t="inlineStr">
        <is>
          <t>Approved</t>
        </is>
      </c>
      <c r="J189" s="551" t="n">
        <v>46212</v>
      </c>
      <c r="K189" s="446" t="inlineStr">
        <is>
          <t>AB-HOOR RENTAL</t>
        </is>
      </c>
      <c r="L189" s="45" t="inlineStr">
        <is>
          <t>-</t>
        </is>
      </c>
      <c r="N189" s="178" t="n"/>
      <c r="O189" s="178" t="n"/>
      <c r="P189" s="178" t="n"/>
      <c r="Q189" s="178" t="n"/>
      <c r="R189" s="178" t="n"/>
      <c r="S189" s="178" t="n"/>
      <c r="T189" s="178" t="n"/>
    </row>
    <row r="190" ht="15.75" customHeight="1">
      <c r="A190" s="553" t="n"/>
      <c r="B190" s="553" t="n"/>
      <c r="C190" s="553" t="n"/>
      <c r="D190" s="553" t="n"/>
      <c r="E190" s="445" t="inlineStr">
        <is>
          <t>RAJ - - KUMAR</t>
        </is>
      </c>
      <c r="F190" s="188" t="inlineStr">
        <is>
          <t>Soft Service</t>
        </is>
      </c>
      <c r="G190" s="228" t="inlineStr">
        <is>
          <t>L01860</t>
        </is>
      </c>
      <c r="H190" s="228" t="n">
        <v>2641899808</v>
      </c>
      <c r="I190" s="446" t="inlineStr">
        <is>
          <t>Approved</t>
        </is>
      </c>
      <c r="J190" s="551" t="n">
        <v>9707</v>
      </c>
      <c r="K190" s="217" t="inlineStr">
        <is>
          <t>MEHAN RENTAL</t>
        </is>
      </c>
      <c r="L190" s="45" t="inlineStr">
        <is>
          <t>-</t>
        </is>
      </c>
      <c r="N190" s="178" t="n"/>
      <c r="O190" s="178" t="n"/>
      <c r="P190" s="178" t="n"/>
      <c r="Q190" s="178" t="n"/>
      <c r="R190" s="178" t="n"/>
      <c r="S190" s="178" t="n"/>
      <c r="T190" s="178" t="n"/>
    </row>
    <row r="191" ht="15.75" customHeight="1">
      <c r="A191" s="429" t="inlineStr">
        <is>
          <t>Male Housekeepers</t>
        </is>
      </c>
      <c r="B191" s="429" t="n">
        <v>92</v>
      </c>
      <c r="C191" s="429">
        <f>COUNTIF(E191:E282,"&lt;&gt;")</f>
        <v/>
      </c>
      <c r="D191" s="430">
        <f>C191-B191</f>
        <v/>
      </c>
      <c r="E191" s="445" t="inlineStr">
        <is>
          <t>Md Moklas</t>
        </is>
      </c>
      <c r="F191" s="188" t="inlineStr">
        <is>
          <t>Soft Service</t>
        </is>
      </c>
      <c r="G191" s="91" t="inlineStr">
        <is>
          <t>-</t>
        </is>
      </c>
      <c r="H191" s="445" t="n">
        <v>2621754080</v>
      </c>
      <c r="I191" s="446" t="inlineStr">
        <is>
          <t>Approved</t>
        </is>
      </c>
      <c r="J191" s="551" t="n">
        <v>46006</v>
      </c>
      <c r="K191" s="446" t="inlineStr">
        <is>
          <t>SCC ( RENTAL )</t>
        </is>
      </c>
      <c r="L191" s="45" t="inlineStr">
        <is>
          <t>-</t>
        </is>
      </c>
      <c r="N191" s="178" t="n"/>
      <c r="O191" s="178" t="n"/>
      <c r="P191" s="178" t="n"/>
      <c r="Q191" s="178" t="n"/>
      <c r="R191" s="178" t="n"/>
      <c r="S191" s="178" t="n"/>
      <c r="T191" s="178" t="n"/>
    </row>
    <row r="192" ht="15.75" customHeight="1">
      <c r="A192" s="554" t="n"/>
      <c r="B192" s="554" t="n"/>
      <c r="C192" s="554" t="n"/>
      <c r="D192" s="554" t="n"/>
      <c r="E192" s="445" t="inlineStr">
        <is>
          <t>Mohammad Masum Mia</t>
        </is>
      </c>
      <c r="F192" s="188" t="inlineStr">
        <is>
          <t>Soft Service</t>
        </is>
      </c>
      <c r="G192" s="91" t="inlineStr">
        <is>
          <t>-</t>
        </is>
      </c>
      <c r="H192" s="445" t="n">
        <v>2628521185</v>
      </c>
      <c r="I192" s="446" t="inlineStr">
        <is>
          <t>Approved</t>
        </is>
      </c>
      <c r="J192" s="551" t="n">
        <v>46068</v>
      </c>
      <c r="K192" s="446" t="inlineStr">
        <is>
          <t>SCC ( RENTAL )</t>
        </is>
      </c>
      <c r="L192" s="45" t="inlineStr">
        <is>
          <t>-</t>
        </is>
      </c>
      <c r="N192" s="178" t="n"/>
      <c r="O192" s="178" t="n"/>
      <c r="P192" s="178" t="n"/>
      <c r="Q192" s="178" t="n"/>
      <c r="R192" s="178" t="n"/>
      <c r="S192" s="178" t="n"/>
      <c r="T192" s="178" t="n"/>
    </row>
    <row r="193" ht="15.75" customHeight="1">
      <c r="A193" s="554" t="n"/>
      <c r="B193" s="554" t="n"/>
      <c r="C193" s="554" t="n"/>
      <c r="D193" s="554" t="n"/>
      <c r="E193" s="445" t="inlineStr">
        <is>
          <t>Khabir Mia</t>
        </is>
      </c>
      <c r="F193" s="188" t="inlineStr">
        <is>
          <t>Soft Service</t>
        </is>
      </c>
      <c r="G193" s="91" t="inlineStr">
        <is>
          <t>-</t>
        </is>
      </c>
      <c r="H193" s="445" t="n">
        <v>2629944774</v>
      </c>
      <c r="I193" s="446" t="inlineStr">
        <is>
          <t>Approved</t>
        </is>
      </c>
      <c r="J193" s="551" t="n">
        <v>46068</v>
      </c>
      <c r="K193" s="446" t="inlineStr">
        <is>
          <t>SCC ( RENTAL )</t>
        </is>
      </c>
      <c r="L193" s="45" t="inlineStr">
        <is>
          <t>-</t>
        </is>
      </c>
      <c r="N193" s="178" t="n"/>
      <c r="O193" s="178" t="n"/>
      <c r="P193" s="178" t="n"/>
      <c r="Q193" s="178" t="n"/>
      <c r="R193" s="178" t="n"/>
      <c r="S193" s="178" t="n"/>
      <c r="T193" s="178" t="n"/>
    </row>
    <row r="194" ht="15.75" customHeight="1">
      <c r="A194" s="554" t="n"/>
      <c r="B194" s="554" t="n"/>
      <c r="C194" s="554" t="n"/>
      <c r="D194" s="554" t="n"/>
      <c r="E194" s="445" t="inlineStr">
        <is>
          <t>Md Azim</t>
        </is>
      </c>
      <c r="F194" s="188" t="inlineStr">
        <is>
          <t>Soft Service</t>
        </is>
      </c>
      <c r="G194" s="91" t="inlineStr">
        <is>
          <t>-</t>
        </is>
      </c>
      <c r="H194" s="445" t="n">
        <v>2628520724</v>
      </c>
      <c r="I194" s="446" t="inlineStr">
        <is>
          <t>Approved</t>
        </is>
      </c>
      <c r="J194" s="551" t="n">
        <v>46068</v>
      </c>
      <c r="K194" s="446" t="inlineStr">
        <is>
          <t>SCC ( RENTAL )</t>
        </is>
      </c>
      <c r="L194" s="45" t="inlineStr">
        <is>
          <t>-</t>
        </is>
      </c>
      <c r="N194" s="178" t="n"/>
      <c r="O194" s="178" t="n"/>
      <c r="P194" s="178" t="n"/>
      <c r="Q194" s="178" t="n"/>
      <c r="R194" s="178" t="n"/>
      <c r="S194" s="178" t="n"/>
      <c r="T194" s="178" t="n"/>
    </row>
    <row r="195" ht="15.75" customHeight="1">
      <c r="A195" s="554" t="n"/>
      <c r="B195" s="554" t="n"/>
      <c r="C195" s="554" t="n"/>
      <c r="D195" s="554" t="n"/>
      <c r="E195" s="445" t="inlineStr">
        <is>
          <t>Md Bijoy Ahamed</t>
        </is>
      </c>
      <c r="F195" s="188" t="inlineStr">
        <is>
          <t>Soft Service</t>
        </is>
      </c>
      <c r="G195" s="91" t="inlineStr">
        <is>
          <t>-</t>
        </is>
      </c>
      <c r="H195" s="445" t="n">
        <v>2630069207</v>
      </c>
      <c r="I195" s="446" t="inlineStr">
        <is>
          <t>Approved</t>
        </is>
      </c>
      <c r="J195" s="551" t="n">
        <v>46068</v>
      </c>
      <c r="K195" s="446" t="inlineStr">
        <is>
          <t>SCC ( RENTAL )</t>
        </is>
      </c>
      <c r="L195" s="45" t="inlineStr">
        <is>
          <t>-</t>
        </is>
      </c>
      <c r="N195" s="178" t="n"/>
      <c r="O195" s="178" t="n"/>
      <c r="P195" s="178" t="n"/>
      <c r="Q195" s="178" t="n"/>
      <c r="R195" s="178" t="n"/>
      <c r="S195" s="178" t="n"/>
      <c r="T195" s="178" t="n"/>
    </row>
    <row r="196" ht="15.75" customHeight="1">
      <c r="A196" s="554" t="n"/>
      <c r="B196" s="554" t="n"/>
      <c r="C196" s="554" t="n"/>
      <c r="D196" s="554" t="n"/>
      <c r="E196" s="445" t="inlineStr">
        <is>
          <t>Md Emon Mia</t>
        </is>
      </c>
      <c r="F196" s="188" t="inlineStr">
        <is>
          <t>Soft Service</t>
        </is>
      </c>
      <c r="G196" s="91" t="inlineStr">
        <is>
          <t>-</t>
        </is>
      </c>
      <c r="H196" s="445" t="n">
        <v>2630082242</v>
      </c>
      <c r="I196" s="446" t="inlineStr">
        <is>
          <t>Approved</t>
        </is>
      </c>
      <c r="J196" s="551" t="n">
        <v>46068</v>
      </c>
      <c r="K196" s="446" t="inlineStr">
        <is>
          <t>SCC ( RENTAL )</t>
        </is>
      </c>
      <c r="L196" s="45" t="inlineStr">
        <is>
          <t>-</t>
        </is>
      </c>
      <c r="N196" s="178" t="n"/>
      <c r="O196" s="178" t="n"/>
      <c r="P196" s="178" t="n"/>
      <c r="Q196" s="178" t="n"/>
      <c r="R196" s="178" t="n"/>
      <c r="S196" s="178" t="n"/>
      <c r="T196" s="178" t="n"/>
    </row>
    <row r="197" ht="15.75" customHeight="1">
      <c r="A197" s="554" t="n"/>
      <c r="B197" s="554" t="n"/>
      <c r="C197" s="554" t="n"/>
      <c r="D197" s="554" t="n"/>
      <c r="E197" s="445" t="inlineStr">
        <is>
          <t>Md Hanjala</t>
        </is>
      </c>
      <c r="F197" s="188" t="inlineStr">
        <is>
          <t>Soft Service</t>
        </is>
      </c>
      <c r="G197" s="91" t="inlineStr">
        <is>
          <t>-</t>
        </is>
      </c>
      <c r="H197" s="445" t="n">
        <v>2629941424</v>
      </c>
      <c r="I197" s="446" t="inlineStr">
        <is>
          <t>Approved</t>
        </is>
      </c>
      <c r="J197" s="551" t="n">
        <v>46068</v>
      </c>
      <c r="K197" s="446" t="inlineStr">
        <is>
          <t>SCC ( RENTAL )</t>
        </is>
      </c>
      <c r="L197" s="45" t="inlineStr">
        <is>
          <t>-</t>
        </is>
      </c>
      <c r="N197" s="178" t="n"/>
      <c r="O197" s="178" t="n"/>
      <c r="P197" s="178" t="n"/>
      <c r="Q197" s="178" t="n"/>
      <c r="R197" s="178" t="n"/>
      <c r="S197" s="178" t="n"/>
      <c r="T197" s="178" t="n"/>
    </row>
    <row r="198" ht="15.75" customHeight="1">
      <c r="A198" s="554" t="n"/>
      <c r="B198" s="554" t="n"/>
      <c r="C198" s="554" t="n"/>
      <c r="D198" s="554" t="n"/>
      <c r="E198" s="445" t="inlineStr">
        <is>
          <t>Suvas Sarkar</t>
        </is>
      </c>
      <c r="F198" s="188" t="inlineStr">
        <is>
          <t>Soft Service</t>
        </is>
      </c>
      <c r="G198" s="91" t="inlineStr">
        <is>
          <t>S566</t>
        </is>
      </c>
      <c r="H198" s="445" t="n">
        <v>2629184835</v>
      </c>
      <c r="I198" s="446" t="inlineStr">
        <is>
          <t>Approved</t>
        </is>
      </c>
      <c r="J198" s="551" t="n">
        <v>46070</v>
      </c>
      <c r="K198" s="446" t="inlineStr">
        <is>
          <t>SCC ( RENTAL )</t>
        </is>
      </c>
      <c r="L198" s="45" t="inlineStr">
        <is>
          <t>-</t>
        </is>
      </c>
      <c r="N198" s="178" t="n"/>
      <c r="O198" s="178" t="n"/>
      <c r="P198" s="178" t="n"/>
      <c r="Q198" s="178" t="n"/>
      <c r="R198" s="178" t="n"/>
      <c r="S198" s="178" t="n"/>
      <c r="T198" s="178" t="n"/>
    </row>
    <row r="199" ht="15.75" customHeight="1">
      <c r="A199" s="554" t="n"/>
      <c r="B199" s="554" t="n"/>
      <c r="C199" s="554" t="n"/>
      <c r="D199" s="554" t="n"/>
      <c r="E199" s="445" t="inlineStr">
        <is>
          <t>Md Rafiq Miah</t>
        </is>
      </c>
      <c r="F199" s="188" t="inlineStr">
        <is>
          <t>Soft Service</t>
        </is>
      </c>
      <c r="G199" s="91" t="inlineStr">
        <is>
          <t>S567</t>
        </is>
      </c>
      <c r="H199" s="445" t="n">
        <v>2629184827</v>
      </c>
      <c r="I199" s="446" t="inlineStr">
        <is>
          <t>Approved</t>
        </is>
      </c>
      <c r="J199" s="551" t="n">
        <v>46070</v>
      </c>
      <c r="K199" s="446" t="inlineStr">
        <is>
          <t>SCC ( RENTAL )</t>
        </is>
      </c>
      <c r="L199" s="45" t="inlineStr">
        <is>
          <t>-</t>
        </is>
      </c>
      <c r="N199" s="178" t="n"/>
      <c r="O199" s="178" t="n"/>
      <c r="P199" s="178" t="n"/>
      <c r="Q199" s="178" t="n"/>
      <c r="R199" s="178" t="n"/>
      <c r="S199" s="178" t="n"/>
      <c r="T199" s="178" t="n"/>
    </row>
    <row r="200" ht="15.75" customHeight="1">
      <c r="A200" s="554" t="n"/>
      <c r="B200" s="554" t="n"/>
      <c r="C200" s="554" t="n"/>
      <c r="D200" s="554" t="n"/>
      <c r="E200" s="445" t="inlineStr">
        <is>
          <t>Md Shohel Mia</t>
        </is>
      </c>
      <c r="F200" s="188" t="inlineStr">
        <is>
          <t>Soft Service</t>
        </is>
      </c>
      <c r="G200" s="91" t="inlineStr">
        <is>
          <t>S568</t>
        </is>
      </c>
      <c r="H200" s="445" t="n">
        <v>2629274339</v>
      </c>
      <c r="I200" s="446" t="inlineStr">
        <is>
          <t>Approved</t>
        </is>
      </c>
      <c r="J200" s="551" t="n">
        <v>46070</v>
      </c>
      <c r="K200" s="446" t="inlineStr">
        <is>
          <t>SCC ( RENTAL )</t>
        </is>
      </c>
      <c r="L200" s="45" t="inlineStr">
        <is>
          <t>-</t>
        </is>
      </c>
      <c r="N200" s="178" t="n"/>
      <c r="O200" s="178" t="n"/>
      <c r="P200" s="178" t="n"/>
      <c r="Q200" s="178" t="n"/>
      <c r="R200" s="178" t="n"/>
      <c r="S200" s="178" t="n"/>
      <c r="T200" s="178" t="n"/>
    </row>
    <row r="201" ht="15.75" customHeight="1">
      <c r="A201" s="554" t="n"/>
      <c r="B201" s="554" t="n"/>
      <c r="C201" s="554" t="n"/>
      <c r="D201" s="554" t="n"/>
      <c r="E201" s="445" t="inlineStr">
        <is>
          <t>Md S M Asif</t>
        </is>
      </c>
      <c r="F201" s="188" t="inlineStr">
        <is>
          <t>Soft Service</t>
        </is>
      </c>
      <c r="G201" s="91" t="inlineStr">
        <is>
          <t>S570</t>
        </is>
      </c>
      <c r="H201" s="445" t="n">
        <v>2629528981</v>
      </c>
      <c r="I201" s="446" t="inlineStr">
        <is>
          <t>Approved</t>
        </is>
      </c>
      <c r="J201" s="551" t="n">
        <v>46070</v>
      </c>
      <c r="K201" s="446" t="inlineStr">
        <is>
          <t>SCC ( RENTAL )</t>
        </is>
      </c>
      <c r="L201" s="45" t="inlineStr">
        <is>
          <t>-</t>
        </is>
      </c>
      <c r="N201" s="178" t="n"/>
      <c r="O201" s="178" t="n"/>
      <c r="P201" s="178" t="n"/>
      <c r="Q201" s="178" t="n"/>
      <c r="R201" s="178" t="n"/>
      <c r="S201" s="178" t="n"/>
      <c r="T201" s="178" t="n"/>
    </row>
    <row r="202" ht="15.75" customHeight="1">
      <c r="A202" s="554" t="n"/>
      <c r="B202" s="554" t="n"/>
      <c r="C202" s="554" t="n"/>
      <c r="D202" s="554" t="n"/>
      <c r="E202" s="445" t="inlineStr">
        <is>
          <t>Mohammad Tanvir</t>
        </is>
      </c>
      <c r="F202" s="188" t="inlineStr">
        <is>
          <t>Soft Service</t>
        </is>
      </c>
      <c r="G202" s="91" t="inlineStr">
        <is>
          <t>S571</t>
        </is>
      </c>
      <c r="H202" s="445" t="n">
        <v>2629529005</v>
      </c>
      <c r="I202" s="446" t="inlineStr">
        <is>
          <t>Approved</t>
        </is>
      </c>
      <c r="J202" s="551" t="n">
        <v>46070</v>
      </c>
      <c r="K202" s="446" t="inlineStr">
        <is>
          <t>SCC ( RENTAL )</t>
        </is>
      </c>
      <c r="L202" s="45" t="inlineStr">
        <is>
          <t>-</t>
        </is>
      </c>
      <c r="N202" s="178" t="n"/>
      <c r="O202" s="178" t="n"/>
      <c r="P202" s="178" t="n"/>
      <c r="Q202" s="178" t="n"/>
      <c r="R202" s="178" t="n"/>
      <c r="S202" s="178" t="n"/>
      <c r="T202" s="178" t="n"/>
    </row>
    <row r="203" ht="15.75" customHeight="1">
      <c r="A203" s="554" t="n"/>
      <c r="B203" s="554" t="n"/>
      <c r="C203" s="554" t="n"/>
      <c r="D203" s="554" t="n"/>
      <c r="E203" s="445" t="inlineStr">
        <is>
          <t>Md Maiyan</t>
        </is>
      </c>
      <c r="F203" s="188" t="inlineStr">
        <is>
          <t>Soft Service</t>
        </is>
      </c>
      <c r="G203" s="91" t="inlineStr">
        <is>
          <t>S573</t>
        </is>
      </c>
      <c r="H203" s="445" t="n">
        <v>2629529070</v>
      </c>
      <c r="I203" s="446" t="inlineStr">
        <is>
          <t>Approved</t>
        </is>
      </c>
      <c r="J203" s="551" t="n">
        <v>46070</v>
      </c>
      <c r="K203" s="446" t="inlineStr">
        <is>
          <t>SCC ( RENTAL )</t>
        </is>
      </c>
      <c r="L203" s="45" t="inlineStr">
        <is>
          <t>-</t>
        </is>
      </c>
      <c r="N203" s="178" t="n"/>
      <c r="O203" s="178" t="n"/>
      <c r="P203" s="178" t="n"/>
      <c r="Q203" s="178" t="n"/>
      <c r="R203" s="178" t="n"/>
      <c r="S203" s="178" t="n"/>
      <c r="T203" s="178" t="n"/>
    </row>
    <row r="204" ht="15.75" customHeight="1">
      <c r="A204" s="554" t="n"/>
      <c r="B204" s="554" t="n"/>
      <c r="C204" s="554" t="n"/>
      <c r="D204" s="554" t="n"/>
      <c r="E204" s="445" t="inlineStr">
        <is>
          <t>Amir Ali</t>
        </is>
      </c>
      <c r="F204" s="188" t="inlineStr">
        <is>
          <t>Soft Service</t>
        </is>
      </c>
      <c r="G204" s="91" t="inlineStr">
        <is>
          <t>S574</t>
        </is>
      </c>
      <c r="H204" s="445" t="n">
        <v>2630109037</v>
      </c>
      <c r="I204" s="446" t="inlineStr">
        <is>
          <t>Approved</t>
        </is>
      </c>
      <c r="J204" s="551" t="n">
        <v>46070</v>
      </c>
      <c r="K204" s="446" t="inlineStr">
        <is>
          <t>SCC ( RENTAL )</t>
        </is>
      </c>
      <c r="L204" s="45" t="inlineStr">
        <is>
          <t>-</t>
        </is>
      </c>
      <c r="N204" s="178" t="n"/>
      <c r="O204" s="178" t="n"/>
      <c r="P204" s="178" t="n"/>
      <c r="Q204" s="178" t="n"/>
      <c r="R204" s="178" t="n"/>
      <c r="S204" s="178" t="n"/>
      <c r="T204" s="178" t="n"/>
    </row>
    <row r="205" ht="15.75" customHeight="1">
      <c r="A205" s="554" t="n"/>
      <c r="B205" s="554" t="n"/>
      <c r="C205" s="554" t="n"/>
      <c r="D205" s="554" t="n"/>
      <c r="E205" s="445" t="inlineStr">
        <is>
          <t>Sobuj Miah</t>
        </is>
      </c>
      <c r="F205" s="188" t="inlineStr">
        <is>
          <t>Soft Service</t>
        </is>
      </c>
      <c r="G205" s="91" t="inlineStr">
        <is>
          <t>S575</t>
        </is>
      </c>
      <c r="H205" s="445" t="n">
        <v>2629945201</v>
      </c>
      <c r="I205" s="446" t="inlineStr">
        <is>
          <t>Approved</t>
        </is>
      </c>
      <c r="J205" s="551" t="n">
        <v>46070</v>
      </c>
      <c r="K205" s="446" t="inlineStr">
        <is>
          <t>SCC ( RENTAL )</t>
        </is>
      </c>
      <c r="L205" s="45" t="inlineStr">
        <is>
          <t>-</t>
        </is>
      </c>
      <c r="N205" s="178" t="n"/>
      <c r="O205" s="178" t="n"/>
      <c r="P205" s="178" t="n"/>
      <c r="Q205" s="178" t="n"/>
      <c r="R205" s="178" t="n"/>
      <c r="S205" s="178" t="n"/>
      <c r="T205" s="178" t="n"/>
    </row>
    <row r="206" ht="15.75" customHeight="1">
      <c r="A206" s="554" t="n"/>
      <c r="B206" s="554" t="n"/>
      <c r="C206" s="554" t="n"/>
      <c r="D206" s="554" t="n"/>
      <c r="E206" s="445" t="inlineStr">
        <is>
          <t>Samrat Khan</t>
        </is>
      </c>
      <c r="F206" s="188" t="inlineStr">
        <is>
          <t>Soft Service</t>
        </is>
      </c>
      <c r="G206" s="91" t="inlineStr">
        <is>
          <t>S576</t>
        </is>
      </c>
      <c r="H206" s="445" t="n">
        <v>2629944600</v>
      </c>
      <c r="I206" s="446" t="inlineStr">
        <is>
          <t>Approved</t>
        </is>
      </c>
      <c r="J206" s="551" t="n">
        <v>46070</v>
      </c>
      <c r="K206" s="446" t="inlineStr">
        <is>
          <t>SCC ( RENTAL )</t>
        </is>
      </c>
      <c r="L206" s="45" t="inlineStr">
        <is>
          <t>-</t>
        </is>
      </c>
      <c r="N206" s="178" t="n"/>
      <c r="O206" s="178" t="n"/>
      <c r="P206" s="178" t="n"/>
      <c r="Q206" s="178" t="n"/>
      <c r="R206" s="178" t="n"/>
      <c r="S206" s="178" t="n"/>
      <c r="T206" s="178" t="n"/>
    </row>
    <row r="207" ht="15.75" customHeight="1">
      <c r="A207" s="554" t="n"/>
      <c r="B207" s="554" t="n"/>
      <c r="C207" s="554" t="n"/>
      <c r="D207" s="554" t="n"/>
      <c r="E207" s="445" t="inlineStr">
        <is>
          <t>Md Hasan Dorji</t>
        </is>
      </c>
      <c r="F207" s="188" t="inlineStr">
        <is>
          <t>Soft Service</t>
        </is>
      </c>
      <c r="G207" s="91" t="inlineStr">
        <is>
          <t>S578</t>
        </is>
      </c>
      <c r="H207" s="445" t="n">
        <v>2629942133</v>
      </c>
      <c r="I207" s="446" t="inlineStr">
        <is>
          <t>Approved</t>
        </is>
      </c>
      <c r="J207" s="551" t="n">
        <v>46070</v>
      </c>
      <c r="K207" s="446" t="inlineStr">
        <is>
          <t>SCC ( RENTAL )</t>
        </is>
      </c>
      <c r="L207" s="45" t="inlineStr">
        <is>
          <t>-</t>
        </is>
      </c>
      <c r="N207" s="178" t="n"/>
      <c r="O207" s="178" t="n"/>
      <c r="P207" s="178" t="n"/>
      <c r="Q207" s="178" t="n"/>
      <c r="R207" s="178" t="n"/>
      <c r="S207" s="178" t="n"/>
      <c r="T207" s="178" t="n"/>
    </row>
    <row r="208" ht="15.75" customHeight="1">
      <c r="A208" s="554" t="n"/>
      <c r="B208" s="554" t="n"/>
      <c r="C208" s="554" t="n"/>
      <c r="D208" s="554" t="n"/>
      <c r="E208" s="445" t="inlineStr">
        <is>
          <t>Md Abdul Alim</t>
        </is>
      </c>
      <c r="F208" s="188" t="inlineStr">
        <is>
          <t>Soft Service</t>
        </is>
      </c>
      <c r="G208" s="91" t="n">
        <v>1024</v>
      </c>
      <c r="H208" s="445" t="n">
        <v>2569498161</v>
      </c>
      <c r="I208" s="446" t="inlineStr">
        <is>
          <t>Approved</t>
        </is>
      </c>
      <c r="J208" s="551" t="n">
        <v>45648</v>
      </c>
      <c r="K208" s="446" t="inlineStr">
        <is>
          <t>UCC( RENTAL)</t>
        </is>
      </c>
      <c r="L208" s="45" t="inlineStr">
        <is>
          <t>-</t>
        </is>
      </c>
      <c r="N208" s="178" t="n"/>
      <c r="O208" s="178" t="n"/>
      <c r="P208" s="178" t="n"/>
      <c r="Q208" s="178" t="n"/>
      <c r="R208" s="178" t="n"/>
      <c r="S208" s="178" t="n"/>
      <c r="T208" s="178" t="n"/>
    </row>
    <row r="209" ht="15.75" customHeight="1">
      <c r="A209" s="554" t="n"/>
      <c r="B209" s="554" t="n"/>
      <c r="C209" s="554" t="n"/>
      <c r="D209" s="554" t="n"/>
      <c r="E209" s="445" t="inlineStr">
        <is>
          <t>Alomgir Alom Sourov</t>
        </is>
      </c>
      <c r="F209" s="188" t="inlineStr">
        <is>
          <t>Soft Service</t>
        </is>
      </c>
      <c r="G209" s="91" t="n">
        <v>1252</v>
      </c>
      <c r="H209" s="445" t="n">
        <v>2591134818</v>
      </c>
      <c r="I209" s="446" t="inlineStr">
        <is>
          <t>Approved</t>
        </is>
      </c>
      <c r="J209" s="551" t="n">
        <v>45643</v>
      </c>
      <c r="K209" s="446" t="inlineStr">
        <is>
          <t>UCC( RENTAL)</t>
        </is>
      </c>
      <c r="L209" s="45" t="inlineStr">
        <is>
          <t>-</t>
        </is>
      </c>
      <c r="N209" s="178" t="n"/>
      <c r="O209" s="178" t="n"/>
      <c r="P209" s="178" t="n"/>
      <c r="Q209" s="178" t="n"/>
      <c r="R209" s="178" t="n"/>
      <c r="S209" s="178" t="n"/>
      <c r="T209" s="178" t="n"/>
    </row>
    <row r="210" ht="15.75" customHeight="1">
      <c r="A210" s="554" t="n"/>
      <c r="B210" s="554" t="n"/>
      <c r="C210" s="554" t="n"/>
      <c r="D210" s="554" t="n"/>
      <c r="E210" s="445" t="inlineStr">
        <is>
          <t>Md Nazmul Haque</t>
        </is>
      </c>
      <c r="F210" s="188" t="inlineStr">
        <is>
          <t>Soft Service</t>
        </is>
      </c>
      <c r="G210" s="91" t="n">
        <v>1292</v>
      </c>
      <c r="H210" s="445" t="n">
        <v>2598768717</v>
      </c>
      <c r="I210" s="446" t="inlineStr">
        <is>
          <t>Approved</t>
        </is>
      </c>
      <c r="J210" s="551" t="n">
        <v>45769</v>
      </c>
      <c r="K210" s="446" t="inlineStr">
        <is>
          <t>UCC( RENTAL)</t>
        </is>
      </c>
      <c r="L210" s="45" t="inlineStr">
        <is>
          <t>-</t>
        </is>
      </c>
      <c r="N210" s="178" t="n"/>
      <c r="O210" s="178" t="n"/>
      <c r="P210" s="178" t="n"/>
      <c r="Q210" s="178" t="n"/>
      <c r="R210" s="178" t="n"/>
      <c r="S210" s="178" t="n"/>
      <c r="T210" s="178" t="n"/>
    </row>
    <row r="211" ht="15.75" customHeight="1">
      <c r="A211" s="554" t="n"/>
      <c r="B211" s="554" t="n"/>
      <c r="C211" s="554" t="n"/>
      <c r="D211" s="554" t="n"/>
      <c r="E211" s="445" t="inlineStr">
        <is>
          <t>KHURSHID</t>
        </is>
      </c>
      <c r="F211" s="188" t="inlineStr">
        <is>
          <t>Soft Service</t>
        </is>
      </c>
      <c r="G211" s="91" t="n"/>
      <c r="H211" s="445" t="n">
        <v>2610009785</v>
      </c>
      <c r="I211" s="446" t="inlineStr">
        <is>
          <t>Approved</t>
        </is>
      </c>
      <c r="J211" s="551" t="n">
        <v>46263</v>
      </c>
      <c r="K211" s="446" t="n"/>
      <c r="L211" s="45" t="n"/>
      <c r="N211" s="178" t="n"/>
      <c r="O211" s="178" t="n"/>
      <c r="P211" s="178" t="n"/>
      <c r="Q211" s="178" t="n"/>
      <c r="R211" s="178" t="n"/>
      <c r="S211" s="178" t="n"/>
      <c r="T211" s="178" t="n"/>
    </row>
    <row r="212" ht="15.75" customHeight="1">
      <c r="A212" s="554" t="n"/>
      <c r="B212" s="554" t="n"/>
      <c r="C212" s="554" t="n"/>
      <c r="D212" s="554" t="n"/>
      <c r="E212" s="380" t="inlineStr">
        <is>
          <t>SADEK</t>
        </is>
      </c>
      <c r="F212" s="188" t="inlineStr">
        <is>
          <t>Soft Service</t>
        </is>
      </c>
      <c r="G212" s="91" t="n"/>
      <c r="H212" s="445" t="inlineStr">
        <is>
          <t>A1715173</t>
        </is>
      </c>
      <c r="I212" s="446" t="inlineStr">
        <is>
          <t>Approved</t>
        </is>
      </c>
      <c r="J212" s="551" t="n">
        <v>46263</v>
      </c>
      <c r="K212" s="446" t="n"/>
      <c r="L212" s="45" t="n"/>
      <c r="N212" s="178" t="n"/>
      <c r="O212" s="178" t="n"/>
      <c r="P212" s="178" t="n"/>
      <c r="Q212" s="178" t="n"/>
      <c r="R212" s="178" t="n"/>
      <c r="S212" s="178" t="n"/>
      <c r="T212" s="178" t="n"/>
    </row>
    <row r="213" ht="15.75" customHeight="1">
      <c r="A213" s="554" t="n"/>
      <c r="B213" s="554" t="n"/>
      <c r="C213" s="554" t="n"/>
      <c r="D213" s="554" t="n"/>
      <c r="E213" s="380" t="inlineStr">
        <is>
          <t>MD HABEBUR</t>
        </is>
      </c>
      <c r="F213" s="188" t="inlineStr">
        <is>
          <t>Soft Service</t>
        </is>
      </c>
      <c r="G213" s="91" t="n"/>
      <c r="H213" s="445" t="inlineStr">
        <is>
          <t>A13361947</t>
        </is>
      </c>
      <c r="I213" s="446" t="inlineStr">
        <is>
          <t>Approved</t>
        </is>
      </c>
      <c r="J213" s="551" t="n">
        <v>46263</v>
      </c>
      <c r="K213" s="446" t="n"/>
      <c r="L213" s="45" t="n"/>
      <c r="N213" s="178" t="n"/>
      <c r="O213" s="178" t="n"/>
      <c r="P213" s="178" t="n"/>
      <c r="Q213" s="178" t="n"/>
      <c r="R213" s="178" t="n"/>
      <c r="S213" s="178" t="n"/>
      <c r="T213" s="178" t="n"/>
    </row>
    <row r="214" ht="15.75" customHeight="1">
      <c r="A214" s="554" t="n"/>
      <c r="B214" s="554" t="n"/>
      <c r="C214" s="554" t="n"/>
      <c r="D214" s="554" t="n"/>
      <c r="E214" s="380" t="inlineStr">
        <is>
          <t>MD AZAM</t>
        </is>
      </c>
      <c r="F214" s="188" t="inlineStr">
        <is>
          <t>Soft Service</t>
        </is>
      </c>
      <c r="G214" s="91" t="n"/>
      <c r="H214" s="445" t="inlineStr">
        <is>
          <t>A21565017</t>
        </is>
      </c>
      <c r="I214" s="446" t="inlineStr">
        <is>
          <t>Approved</t>
        </is>
      </c>
      <c r="J214" s="551" t="n">
        <v>46263</v>
      </c>
      <c r="K214" s="446" t="n"/>
      <c r="L214" s="45" t="n"/>
      <c r="N214" s="178" t="n"/>
      <c r="O214" s="178" t="n"/>
      <c r="P214" s="178" t="n"/>
      <c r="Q214" s="178" t="n"/>
      <c r="R214" s="178" t="n"/>
      <c r="S214" s="178" t="n"/>
      <c r="T214" s="178" t="n"/>
    </row>
    <row r="215" ht="15.75" customHeight="1">
      <c r="A215" s="554" t="n"/>
      <c r="B215" s="554" t="n"/>
      <c r="C215" s="554" t="n"/>
      <c r="D215" s="554" t="n"/>
      <c r="E215" s="380" t="inlineStr">
        <is>
          <t>ISARUL</t>
        </is>
      </c>
      <c r="F215" s="188" t="inlineStr">
        <is>
          <t>Soft Service</t>
        </is>
      </c>
      <c r="G215" s="91" t="n"/>
      <c r="H215" s="445" t="inlineStr">
        <is>
          <t>C9778322</t>
        </is>
      </c>
      <c r="I215" s="446" t="inlineStr">
        <is>
          <t>Approved</t>
        </is>
      </c>
      <c r="J215" s="551" t="n">
        <v>46263</v>
      </c>
      <c r="K215" s="446" t="n"/>
      <c r="L215" s="45" t="n"/>
      <c r="N215" s="178" t="n"/>
      <c r="O215" s="178" t="n"/>
      <c r="P215" s="178" t="n"/>
      <c r="Q215" s="178" t="n"/>
      <c r="R215" s="178" t="n"/>
      <c r="S215" s="178" t="n"/>
      <c r="T215" s="178" t="n"/>
    </row>
    <row r="216" ht="15.75" customHeight="1">
      <c r="A216" s="554" t="n"/>
      <c r="B216" s="554" t="n"/>
      <c r="C216" s="554" t="n"/>
      <c r="D216" s="554" t="n"/>
      <c r="E216" s="380" t="inlineStr">
        <is>
          <t>FIROJ AHAMAD</t>
        </is>
      </c>
      <c r="F216" s="188" t="inlineStr">
        <is>
          <t>Soft Service</t>
        </is>
      </c>
      <c r="G216" s="91" t="n"/>
      <c r="H216" s="445" t="inlineStr">
        <is>
          <t>AB521167</t>
        </is>
      </c>
      <c r="I216" s="446" t="inlineStr">
        <is>
          <t>Approved</t>
        </is>
      </c>
      <c r="J216" s="551" t="n">
        <v>46263</v>
      </c>
      <c r="K216" s="446" t="n"/>
      <c r="L216" s="45" t="n"/>
      <c r="N216" s="178" t="n"/>
      <c r="O216" s="178" t="n"/>
      <c r="P216" s="178" t="n"/>
      <c r="Q216" s="178" t="n"/>
      <c r="R216" s="178" t="n"/>
      <c r="S216" s="178" t="n"/>
      <c r="T216" s="178" t="n"/>
    </row>
    <row r="217" ht="15.75" customHeight="1">
      <c r="A217" s="554" t="n"/>
      <c r="B217" s="554" t="n"/>
      <c r="C217" s="554" t="n"/>
      <c r="D217" s="554" t="n"/>
      <c r="E217" s="380" t="inlineStr">
        <is>
          <t>MUBASHAR ABBASI GULFRAZ KHAN</t>
        </is>
      </c>
      <c r="F217" s="188" t="inlineStr">
        <is>
          <t>Soft Service</t>
        </is>
      </c>
      <c r="G217" s="91" t="n"/>
      <c r="H217" s="445" t="n">
        <v>2643723212</v>
      </c>
      <c r="I217" s="446" t="inlineStr">
        <is>
          <t>Approved</t>
        </is>
      </c>
      <c r="J217" s="551" t="n">
        <v>46263</v>
      </c>
      <c r="K217" s="446" t="n"/>
      <c r="L217" s="45" t="n"/>
      <c r="N217" s="178" t="n"/>
      <c r="O217" s="178" t="n"/>
      <c r="P217" s="178" t="n"/>
      <c r="Q217" s="178" t="n"/>
      <c r="R217" s="178" t="n"/>
      <c r="S217" s="178" t="n"/>
      <c r="T217" s="178" t="n"/>
    </row>
    <row r="218" ht="15.75" customHeight="1">
      <c r="A218" s="554" t="n"/>
      <c r="B218" s="554" t="n"/>
      <c r="C218" s="554" t="n"/>
      <c r="D218" s="554" t="n"/>
      <c r="E218" s="380" t="inlineStr">
        <is>
          <t>RUHUL AMIN - A05672429</t>
        </is>
      </c>
      <c r="F218" s="188" t="inlineStr">
        <is>
          <t>Soft Service</t>
        </is>
      </c>
      <c r="G218" s="91" t="n"/>
      <c r="H218" s="445" t="inlineStr">
        <is>
          <t>A05672429</t>
        </is>
      </c>
      <c r="I218" s="446" t="inlineStr">
        <is>
          <t>Approved</t>
        </is>
      </c>
      <c r="J218" s="551" t="n">
        <v>46263</v>
      </c>
      <c r="K218" s="446" t="n"/>
      <c r="L218" s="45" t="n"/>
      <c r="N218" s="178" t="n"/>
      <c r="O218" s="178" t="n"/>
      <c r="P218" s="178" t="n"/>
      <c r="Q218" s="178" t="n"/>
      <c r="R218" s="178" t="n"/>
      <c r="S218" s="178" t="n"/>
      <c r="T218" s="178" t="n"/>
    </row>
    <row r="219" ht="15.75" customHeight="1">
      <c r="A219" s="554" t="n"/>
      <c r="B219" s="554" t="n"/>
      <c r="C219" s="554" t="n"/>
      <c r="D219" s="554" t="n"/>
      <c r="E219" s="380" t="inlineStr">
        <is>
          <t>SAROJ KUMAR</t>
        </is>
      </c>
      <c r="F219" s="188" t="inlineStr">
        <is>
          <t>Soft Service</t>
        </is>
      </c>
      <c r="G219" s="91" t="n"/>
      <c r="H219" s="445" t="n">
        <v>2562966826</v>
      </c>
      <c r="I219" s="446" t="inlineStr">
        <is>
          <t>Approved</t>
        </is>
      </c>
      <c r="J219" s="551" t="n">
        <v>46263</v>
      </c>
      <c r="K219" s="446" t="n"/>
      <c r="L219" s="45" t="n"/>
      <c r="N219" s="178" t="n"/>
      <c r="O219" s="178" t="n"/>
      <c r="P219" s="178" t="n"/>
      <c r="Q219" s="178" t="n"/>
      <c r="R219" s="178" t="n"/>
      <c r="S219" s="178" t="n"/>
      <c r="T219" s="178" t="n"/>
    </row>
    <row r="220" ht="15.75" customHeight="1">
      <c r="A220" s="554" t="n"/>
      <c r="B220" s="554" t="n"/>
      <c r="C220" s="554" t="n"/>
      <c r="D220" s="554" t="n"/>
      <c r="E220" s="445" t="inlineStr">
        <is>
          <t>ANIKA GOLAM MUSTAFA</t>
        </is>
      </c>
      <c r="F220" s="188" t="inlineStr">
        <is>
          <t>Soft Service</t>
        </is>
      </c>
      <c r="G220" s="91" t="inlineStr">
        <is>
          <t>-</t>
        </is>
      </c>
      <c r="H220" s="445" t="n">
        <v>2526808817</v>
      </c>
      <c r="I220" s="446" t="inlineStr">
        <is>
          <t>Approved</t>
        </is>
      </c>
      <c r="J220" s="551" t="n">
        <v>46243</v>
      </c>
      <c r="K220" s="446" t="inlineStr">
        <is>
          <t>-</t>
        </is>
      </c>
      <c r="L220" s="45" t="inlineStr">
        <is>
          <t>-</t>
        </is>
      </c>
      <c r="N220" s="178" t="n"/>
      <c r="O220" s="178" t="n"/>
      <c r="P220" s="178" t="n"/>
      <c r="Q220" s="178" t="n"/>
      <c r="R220" s="178" t="n"/>
      <c r="S220" s="178" t="n"/>
      <c r="T220" s="178" t="n"/>
    </row>
    <row r="221" ht="15.75" customHeight="1">
      <c r="A221" s="554" t="n"/>
      <c r="B221" s="554" t="n"/>
      <c r="C221" s="554" t="n"/>
      <c r="D221" s="554" t="n"/>
      <c r="E221" s="380" t="inlineStr">
        <is>
          <t>PANKAJ KUMAR</t>
        </is>
      </c>
      <c r="F221" s="188" t="inlineStr">
        <is>
          <t>Soft Service</t>
        </is>
      </c>
      <c r="G221" s="91" t="n"/>
      <c r="H221" s="445" t="n">
        <v>2608377467</v>
      </c>
      <c r="I221" s="446" t="inlineStr">
        <is>
          <t>Approved</t>
        </is>
      </c>
      <c r="J221" s="551" t="n">
        <v>46263</v>
      </c>
      <c r="K221" s="446" t="n"/>
      <c r="L221" s="45" t="n"/>
      <c r="N221" s="178" t="n"/>
      <c r="O221" s="178" t="n"/>
      <c r="P221" s="178" t="n"/>
      <c r="Q221" s="178" t="n"/>
      <c r="R221" s="178" t="n"/>
      <c r="S221" s="178" t="n"/>
      <c r="T221" s="178" t="n"/>
    </row>
    <row r="222" ht="15.75" customHeight="1">
      <c r="A222" s="554" t="n"/>
      <c r="B222" s="554" t="n"/>
      <c r="C222" s="554" t="n"/>
      <c r="D222" s="554" t="n"/>
      <c r="E222" s="380" t="inlineStr">
        <is>
          <t>MD SHAMSHER MUHAMMED KALUM</t>
        </is>
      </c>
      <c r="F222" s="188" t="inlineStr">
        <is>
          <t>Soft Service</t>
        </is>
      </c>
      <c r="G222" s="91" t="n"/>
      <c r="H222" s="445" t="n">
        <v>2643723154</v>
      </c>
      <c r="I222" s="446" t="inlineStr">
        <is>
          <t>Approved</t>
        </is>
      </c>
      <c r="J222" s="551" t="n">
        <v>46263</v>
      </c>
      <c r="K222" s="446" t="n"/>
      <c r="L222" s="45" t="n"/>
      <c r="N222" s="178" t="n"/>
      <c r="O222" s="178" t="n"/>
      <c r="P222" s="178" t="n"/>
      <c r="Q222" s="178" t="n"/>
      <c r="R222" s="178" t="n"/>
      <c r="S222" s="178" t="n"/>
      <c r="T222" s="178" t="n"/>
    </row>
    <row r="223" ht="15.75" customHeight="1">
      <c r="A223" s="554" t="n"/>
      <c r="B223" s="554" t="n"/>
      <c r="C223" s="554" t="n"/>
      <c r="D223" s="554" t="n"/>
      <c r="E223" s="380" t="inlineStr">
        <is>
          <t>RAJA HASEEB ALI AKHTAR ALI</t>
        </is>
      </c>
      <c r="F223" s="188" t="inlineStr">
        <is>
          <t>Soft Service</t>
        </is>
      </c>
      <c r="G223" s="91" t="n"/>
      <c r="H223" s="445" t="n">
        <v>2613708540</v>
      </c>
      <c r="I223" s="446" t="inlineStr">
        <is>
          <t>Approved</t>
        </is>
      </c>
      <c r="J223" s="551" t="n">
        <v>46263</v>
      </c>
      <c r="K223" s="446" t="n"/>
      <c r="L223" s="45" t="n"/>
      <c r="N223" s="178" t="n"/>
      <c r="O223" s="178" t="n"/>
      <c r="P223" s="178" t="n"/>
      <c r="Q223" s="178" t="n"/>
      <c r="R223" s="178" t="n"/>
      <c r="S223" s="178" t="n"/>
      <c r="T223" s="178" t="n"/>
    </row>
    <row r="224" ht="15.75" customHeight="1">
      <c r="A224" s="554" t="n"/>
      <c r="B224" s="554" t="n"/>
      <c r="C224" s="554" t="n"/>
      <c r="D224" s="554" t="n"/>
      <c r="E224" s="380" t="inlineStr">
        <is>
          <t>PRAMOD MARIK YADAV</t>
        </is>
      </c>
      <c r="F224" s="188" t="inlineStr">
        <is>
          <t>Soft Service</t>
        </is>
      </c>
      <c r="G224" s="91" t="n"/>
      <c r="H224" s="445" t="n"/>
      <c r="I224" s="446" t="inlineStr">
        <is>
          <t>Approved</t>
        </is>
      </c>
      <c r="J224" s="551" t="n">
        <v>46263</v>
      </c>
      <c r="K224" s="446" t="n"/>
      <c r="L224" s="45" t="n"/>
      <c r="N224" s="178" t="n"/>
      <c r="O224" s="178" t="n"/>
      <c r="P224" s="178" t="n"/>
      <c r="Q224" s="178" t="n"/>
      <c r="R224" s="178" t="n"/>
      <c r="S224" s="178" t="n"/>
      <c r="T224" s="178" t="n"/>
    </row>
    <row r="225" ht="15.75" customHeight="1">
      <c r="A225" s="554" t="n"/>
      <c r="B225" s="554" t="n"/>
      <c r="C225" s="554" t="n"/>
      <c r="D225" s="554" t="n"/>
      <c r="E225" s="445" t="inlineStr">
        <is>
          <t>Md Emon Hossen</t>
        </is>
      </c>
      <c r="F225" s="188" t="inlineStr">
        <is>
          <t>Soft Service</t>
        </is>
      </c>
      <c r="G225" s="91" t="inlineStr">
        <is>
          <t>-</t>
        </is>
      </c>
      <c r="H225" s="445" t="n">
        <v>2627130186</v>
      </c>
      <c r="I225" s="446" t="inlineStr">
        <is>
          <t>Approved</t>
        </is>
      </c>
      <c r="J225" s="551" t="n">
        <v>46133</v>
      </c>
      <c r="K225" s="446" t="inlineStr">
        <is>
          <t>SCC ( RENTAL )</t>
        </is>
      </c>
      <c r="L225" s="45" t="inlineStr">
        <is>
          <t>-</t>
        </is>
      </c>
      <c r="N225" s="178" t="n"/>
      <c r="O225" s="178" t="n"/>
      <c r="P225" s="178" t="n"/>
      <c r="Q225" s="178" t="n"/>
      <c r="R225" s="178" t="n"/>
      <c r="S225" s="178" t="n"/>
      <c r="T225" s="178" t="n"/>
    </row>
    <row r="226" ht="15.75" customHeight="1">
      <c r="A226" s="554" t="n"/>
      <c r="B226" s="554" t="n"/>
      <c r="C226" s="554" t="n"/>
      <c r="D226" s="554" t="n"/>
      <c r="E226" s="445" t="inlineStr">
        <is>
          <t>Mohammed Saiful</t>
        </is>
      </c>
      <c r="F226" s="188" t="inlineStr">
        <is>
          <t>Soft Service</t>
        </is>
      </c>
      <c r="G226" s="91" t="inlineStr">
        <is>
          <t>-</t>
        </is>
      </c>
      <c r="H226" s="445" t="n">
        <v>2627129949</v>
      </c>
      <c r="I226" s="446" t="inlineStr">
        <is>
          <t>Approved</t>
        </is>
      </c>
      <c r="J226" s="551" t="n">
        <v>46133</v>
      </c>
      <c r="K226" s="446" t="inlineStr">
        <is>
          <t>SCC ( RENTAL )</t>
        </is>
      </c>
      <c r="L226" s="45" t="inlineStr">
        <is>
          <t>-</t>
        </is>
      </c>
      <c r="N226" s="178" t="n"/>
      <c r="O226" s="178" t="n"/>
      <c r="P226" s="178" t="n"/>
      <c r="Q226" s="178" t="n"/>
      <c r="R226" s="178" t="n"/>
      <c r="S226" s="178" t="n"/>
      <c r="T226" s="178" t="n"/>
    </row>
    <row r="227" ht="15.75" customHeight="1">
      <c r="A227" s="554" t="n"/>
      <c r="B227" s="554" t="n"/>
      <c r="C227" s="554" t="n"/>
      <c r="D227" s="554" t="n"/>
      <c r="E227" s="445" t="inlineStr">
        <is>
          <t>Mohammed Nayem</t>
        </is>
      </c>
      <c r="F227" s="188" t="inlineStr">
        <is>
          <t>Soft Service</t>
        </is>
      </c>
      <c r="G227" s="91" t="inlineStr">
        <is>
          <t>AH02</t>
        </is>
      </c>
      <c r="H227" s="445" t="n">
        <v>2624707945</v>
      </c>
      <c r="I227" s="446" t="inlineStr">
        <is>
          <t>Approved</t>
        </is>
      </c>
      <c r="J227" s="551" t="n">
        <v>46142</v>
      </c>
      <c r="K227" s="446" t="inlineStr">
        <is>
          <t>AB-HOOR RENTAL</t>
        </is>
      </c>
      <c r="L227" s="45" t="inlineStr">
        <is>
          <t>-</t>
        </is>
      </c>
      <c r="N227" s="178" t="n"/>
      <c r="O227" s="178" t="n"/>
      <c r="P227" s="178" t="n"/>
      <c r="Q227" s="178" t="n"/>
      <c r="R227" s="178" t="n"/>
      <c r="S227" s="178" t="n"/>
      <c r="T227" s="178" t="n"/>
    </row>
    <row r="228" ht="15.75" customHeight="1">
      <c r="A228" s="554" t="n"/>
      <c r="B228" s="554" t="n"/>
      <c r="C228" s="554" t="n"/>
      <c r="D228" s="554" t="n"/>
      <c r="E228" s="380" t="inlineStr">
        <is>
          <t>MD JUYEL  MIAH</t>
        </is>
      </c>
      <c r="F228" s="188" t="inlineStr">
        <is>
          <t>Soft Service</t>
        </is>
      </c>
      <c r="G228" s="91" t="n"/>
      <c r="H228" s="445" t="n">
        <v>263503245</v>
      </c>
      <c r="I228" s="446" t="inlineStr">
        <is>
          <t>Approved</t>
        </is>
      </c>
      <c r="J228" s="551" t="n">
        <v>46263</v>
      </c>
      <c r="K228" s="446" t="n"/>
      <c r="L228" s="45" t="n"/>
      <c r="N228" s="178" t="n"/>
      <c r="O228" s="178" t="n"/>
      <c r="P228" s="178" t="n"/>
      <c r="Q228" s="178" t="n"/>
      <c r="R228" s="178" t="n"/>
      <c r="S228" s="178" t="n"/>
      <c r="T228" s="178" t="n"/>
    </row>
    <row r="229" ht="15.75" customHeight="1">
      <c r="A229" s="554" t="n"/>
      <c r="B229" s="554" t="n"/>
      <c r="C229" s="554" t="n"/>
      <c r="D229" s="554" t="n"/>
      <c r="E229" s="380" t="inlineStr">
        <is>
          <t>JOBAYEL MORAL</t>
        </is>
      </c>
      <c r="F229" s="188" t="inlineStr">
        <is>
          <t>Soft Service</t>
        </is>
      </c>
      <c r="G229" s="91" t="n"/>
      <c r="H229" s="445" t="n">
        <v>2588672648</v>
      </c>
      <c r="I229" s="446" t="inlineStr">
        <is>
          <t>Approved</t>
        </is>
      </c>
      <c r="J229" s="551" t="n">
        <v>46263</v>
      </c>
      <c r="K229" s="446" t="n"/>
      <c r="L229" s="45" t="n"/>
      <c r="N229" s="178" t="n"/>
      <c r="O229" s="178" t="n"/>
      <c r="P229" s="178" t="n"/>
      <c r="Q229" s="178" t="n"/>
      <c r="R229" s="178" t="n"/>
      <c r="S229" s="178" t="n"/>
      <c r="T229" s="178" t="n"/>
    </row>
    <row r="230" ht="15.75" customHeight="1">
      <c r="A230" s="554" t="n"/>
      <c r="B230" s="554" t="n"/>
      <c r="C230" s="554" t="n"/>
      <c r="D230" s="554" t="n"/>
      <c r="E230" s="445" t="inlineStr">
        <is>
          <t>MD MUSAREF - - HOSSAIN</t>
        </is>
      </c>
      <c r="F230" s="188" t="inlineStr">
        <is>
          <t>Soft Service</t>
        </is>
      </c>
      <c r="G230" s="228" t="inlineStr">
        <is>
          <t>L01874</t>
        </is>
      </c>
      <c r="H230" s="228" t="n">
        <v>2641899998</v>
      </c>
      <c r="I230" s="446" t="inlineStr">
        <is>
          <t>Approved</t>
        </is>
      </c>
      <c r="J230" s="551" t="n">
        <v>46232</v>
      </c>
      <c r="K230" s="446" t="inlineStr">
        <is>
          <t>MEHAN RENTAL</t>
        </is>
      </c>
      <c r="L230" s="45" t="inlineStr">
        <is>
          <t>-</t>
        </is>
      </c>
      <c r="N230" s="178" t="n"/>
      <c r="O230" s="178" t="n"/>
      <c r="P230" s="178" t="n"/>
      <c r="Q230" s="178" t="n"/>
      <c r="R230" s="178" t="n"/>
      <c r="S230" s="178" t="n"/>
      <c r="T230" s="178" t="n"/>
    </row>
    <row r="231" ht="15.75" customHeight="1">
      <c r="A231" s="554" t="n"/>
      <c r="B231" s="554" t="n"/>
      <c r="C231" s="554" t="n"/>
      <c r="D231" s="554" t="n"/>
      <c r="E231" s="445" t="inlineStr">
        <is>
          <t xml:space="preserve">Md Sekh Farid </t>
        </is>
      </c>
      <c r="F231" s="188" t="inlineStr">
        <is>
          <t>Soft Service</t>
        </is>
      </c>
      <c r="G231" s="91" t="inlineStr">
        <is>
          <t>-</t>
        </is>
      </c>
      <c r="H231" s="445" t="n">
        <v>2631349798</v>
      </c>
      <c r="I231" s="446" t="inlineStr">
        <is>
          <t>Approved</t>
        </is>
      </c>
      <c r="J231" s="551" t="n">
        <v>46153</v>
      </c>
      <c r="K231" s="446" t="inlineStr">
        <is>
          <t>Telal Alhamra (Rental)</t>
        </is>
      </c>
      <c r="L231" s="45" t="inlineStr">
        <is>
          <t>-</t>
        </is>
      </c>
      <c r="N231" s="178" t="n"/>
      <c r="O231" s="178" t="n"/>
      <c r="P231" s="178" t="n"/>
      <c r="Q231" s="178" t="n"/>
      <c r="R231" s="178" t="n"/>
      <c r="S231" s="178" t="n"/>
      <c r="T231" s="178" t="n"/>
    </row>
    <row r="232" ht="15.75" customHeight="1">
      <c r="A232" s="554" t="n"/>
      <c r="B232" s="554" t="n"/>
      <c r="C232" s="554" t="n"/>
      <c r="D232" s="554" t="n"/>
      <c r="E232" s="445" t="inlineStr">
        <is>
          <t>Md Sentu Mia</t>
        </is>
      </c>
      <c r="F232" s="188" t="inlineStr">
        <is>
          <t>Soft Service</t>
        </is>
      </c>
      <c r="G232" s="91" t="inlineStr">
        <is>
          <t>-</t>
        </is>
      </c>
      <c r="H232" s="445" t="n">
        <v>2623592116</v>
      </c>
      <c r="I232" s="446" t="inlineStr">
        <is>
          <t>Approved</t>
        </is>
      </c>
      <c r="J232" s="551" t="n">
        <v>46153</v>
      </c>
      <c r="K232" s="446" t="inlineStr">
        <is>
          <t>Telal Alhamra (Rental)</t>
        </is>
      </c>
      <c r="L232" s="45" t="inlineStr">
        <is>
          <t>-</t>
        </is>
      </c>
      <c r="N232" s="178" t="n"/>
      <c r="O232" s="178" t="n"/>
      <c r="P232" s="178" t="n"/>
      <c r="Q232" s="178" t="n"/>
      <c r="R232" s="178" t="n"/>
      <c r="S232" s="178" t="n"/>
      <c r="T232" s="178" t="n"/>
    </row>
    <row r="233" ht="15.75" customHeight="1">
      <c r="A233" s="554" t="n"/>
      <c r="B233" s="554" t="n"/>
      <c r="C233" s="554" t="n"/>
      <c r="D233" s="554" t="n"/>
      <c r="E233" s="445" t="inlineStr">
        <is>
          <t>Yeamin Ramzan Miha</t>
        </is>
      </c>
      <c r="F233" s="188" t="inlineStr">
        <is>
          <t>Soft Service</t>
        </is>
      </c>
      <c r="G233" s="91" t="inlineStr">
        <is>
          <t>-</t>
        </is>
      </c>
      <c r="H233" s="445" t="n">
        <v>2632767097</v>
      </c>
      <c r="I233" s="446" t="inlineStr">
        <is>
          <t>Approved</t>
        </is>
      </c>
      <c r="J233" s="551" t="n">
        <v>46153</v>
      </c>
      <c r="K233" s="446" t="inlineStr">
        <is>
          <t>Telal Alhamra (Rental)</t>
        </is>
      </c>
      <c r="L233" s="45" t="inlineStr">
        <is>
          <t>-</t>
        </is>
      </c>
      <c r="N233" s="178" t="n"/>
      <c r="O233" s="178" t="n"/>
      <c r="P233" s="178" t="n"/>
      <c r="Q233" s="178" t="n"/>
      <c r="R233" s="178" t="n"/>
      <c r="S233" s="178" t="n"/>
      <c r="T233" s="178" t="n"/>
    </row>
    <row r="234" ht="15.75" customHeight="1">
      <c r="A234" s="554" t="n"/>
      <c r="B234" s="554" t="n"/>
      <c r="C234" s="554" t="n"/>
      <c r="D234" s="554" t="n"/>
      <c r="E234" s="445" t="inlineStr">
        <is>
          <t>MD JUNAYET - - KHAN</t>
        </is>
      </c>
      <c r="F234" s="188" t="inlineStr">
        <is>
          <t>Soft Service</t>
        </is>
      </c>
      <c r="G234" s="228" t="inlineStr">
        <is>
          <t>L01873</t>
        </is>
      </c>
      <c r="H234" s="228" t="n">
        <v>2641899980</v>
      </c>
      <c r="I234" s="446" t="inlineStr">
        <is>
          <t>Approved</t>
        </is>
      </c>
      <c r="J234" s="551" t="n">
        <v>46232</v>
      </c>
      <c r="K234" s="446" t="inlineStr">
        <is>
          <t>MEHAN RENTAL</t>
        </is>
      </c>
      <c r="L234" s="45" t="inlineStr">
        <is>
          <t>-</t>
        </is>
      </c>
      <c r="N234" s="178" t="n"/>
      <c r="O234" s="178" t="n"/>
      <c r="P234" s="178" t="n"/>
      <c r="Q234" s="178" t="n"/>
      <c r="R234" s="178" t="n"/>
      <c r="S234" s="178" t="n"/>
      <c r="T234" s="178" t="n"/>
    </row>
    <row r="235" ht="15.75" customHeight="1">
      <c r="A235" s="554" t="n"/>
      <c r="B235" s="554" t="n"/>
      <c r="C235" s="554" t="n"/>
      <c r="D235" s="554" t="n"/>
      <c r="E235" s="380" t="inlineStr">
        <is>
          <t>MD FORID</t>
        </is>
      </c>
      <c r="F235" s="188" t="inlineStr">
        <is>
          <t>Soft Service</t>
        </is>
      </c>
      <c r="G235" s="91" t="n"/>
      <c r="H235" s="381" t="n">
        <v>2589475660</v>
      </c>
      <c r="I235" s="446" t="inlineStr">
        <is>
          <t>Approved</t>
        </is>
      </c>
      <c r="J235" s="551" t="n">
        <v>46232</v>
      </c>
      <c r="K235" s="446" t="n"/>
      <c r="L235" s="45" t="n"/>
      <c r="N235" s="178" t="n"/>
      <c r="O235" s="178" t="n"/>
      <c r="P235" s="178" t="n"/>
      <c r="Q235" s="178" t="n"/>
      <c r="R235" s="178" t="n"/>
      <c r="S235" s="178" t="n"/>
      <c r="T235" s="178" t="n"/>
    </row>
    <row r="236" ht="15.75" customHeight="1">
      <c r="A236" s="554" t="n"/>
      <c r="B236" s="554" t="n"/>
      <c r="C236" s="554" t="n"/>
      <c r="D236" s="554" t="n"/>
      <c r="E236" s="445" t="inlineStr">
        <is>
          <t xml:space="preserve">Md Ikbal Hossin </t>
        </is>
      </c>
      <c r="F236" s="188" t="inlineStr">
        <is>
          <t>Soft Service</t>
        </is>
      </c>
      <c r="G236" s="91" t="inlineStr">
        <is>
          <t>-</t>
        </is>
      </c>
      <c r="H236" s="445" t="n">
        <v>2623152721</v>
      </c>
      <c r="I236" s="446" t="inlineStr">
        <is>
          <t>Approved</t>
        </is>
      </c>
      <c r="J236" s="551" t="n">
        <v>46153</v>
      </c>
      <c r="K236" s="446" t="inlineStr">
        <is>
          <t>Telal Alhamra (Rental)</t>
        </is>
      </c>
      <c r="L236" s="45" t="inlineStr">
        <is>
          <t>-</t>
        </is>
      </c>
      <c r="N236" s="178" t="n"/>
      <c r="O236" s="178" t="n"/>
      <c r="P236" s="178" t="n"/>
      <c r="Q236" s="178" t="n"/>
      <c r="R236" s="178" t="n"/>
      <c r="S236" s="178" t="n"/>
      <c r="T236" s="178" t="n"/>
    </row>
    <row r="237" ht="15.75" customHeight="1">
      <c r="A237" s="554" t="n"/>
      <c r="B237" s="554" t="n"/>
      <c r="C237" s="554" t="n"/>
      <c r="D237" s="554" t="n"/>
      <c r="E237" s="445" t="inlineStr">
        <is>
          <t xml:space="preserve">Md Sujon Miah </t>
        </is>
      </c>
      <c r="F237" s="188" t="inlineStr">
        <is>
          <t>Soft Service</t>
        </is>
      </c>
      <c r="G237" s="91" t="inlineStr">
        <is>
          <t>-</t>
        </is>
      </c>
      <c r="H237" s="445" t="n">
        <v>2616889628</v>
      </c>
      <c r="I237" s="446" t="inlineStr">
        <is>
          <t>Approved</t>
        </is>
      </c>
      <c r="J237" s="551" t="n">
        <v>46153</v>
      </c>
      <c r="K237" s="446" t="inlineStr">
        <is>
          <t>Telal Alhamra (Rental)</t>
        </is>
      </c>
      <c r="L237" s="45" t="inlineStr">
        <is>
          <t>-</t>
        </is>
      </c>
      <c r="N237" s="178" t="n"/>
      <c r="O237" s="178" t="n"/>
      <c r="P237" s="178" t="n"/>
      <c r="Q237" s="178" t="n"/>
      <c r="R237" s="178" t="n"/>
      <c r="S237" s="178" t="n"/>
      <c r="T237" s="178" t="n"/>
    </row>
    <row r="238" ht="15.75" customHeight="1">
      <c r="A238" s="554" t="n"/>
      <c r="B238" s="554" t="n"/>
      <c r="C238" s="554" t="n"/>
      <c r="D238" s="554" t="n"/>
      <c r="E238" s="445" t="inlineStr">
        <is>
          <t>Rohan Mia</t>
        </is>
      </c>
      <c r="F238" s="188" t="inlineStr">
        <is>
          <t>Soft Service</t>
        </is>
      </c>
      <c r="G238" s="91" t="inlineStr">
        <is>
          <t>-</t>
        </is>
      </c>
      <c r="H238" s="445" t="n">
        <v>2636589877</v>
      </c>
      <c r="I238" s="446" t="inlineStr">
        <is>
          <t>Approved</t>
        </is>
      </c>
      <c r="J238" s="551" t="n">
        <v>46153</v>
      </c>
      <c r="K238" s="446" t="inlineStr">
        <is>
          <t>Telal Alhamra (Rental)</t>
        </is>
      </c>
      <c r="L238" s="45" t="inlineStr">
        <is>
          <t>-</t>
        </is>
      </c>
      <c r="N238" s="178" t="n"/>
      <c r="O238" s="178" t="n"/>
      <c r="P238" s="178" t="n"/>
      <c r="Q238" s="178" t="n"/>
      <c r="R238" s="178" t="n"/>
      <c r="S238" s="178" t="n"/>
      <c r="T238" s="178" t="n"/>
    </row>
    <row r="239" ht="15.75" customHeight="1">
      <c r="A239" s="554" t="n"/>
      <c r="B239" s="554" t="n"/>
      <c r="C239" s="554" t="n"/>
      <c r="D239" s="554" t="n"/>
      <c r="E239" s="445" t="inlineStr">
        <is>
          <t xml:space="preserve">Md Yeasin </t>
        </is>
      </c>
      <c r="F239" s="188" t="inlineStr">
        <is>
          <t>Soft Service</t>
        </is>
      </c>
      <c r="G239" s="91" t="inlineStr">
        <is>
          <t>-</t>
        </is>
      </c>
      <c r="H239" s="445" t="n">
        <v>2634273110</v>
      </c>
      <c r="I239" s="446" t="inlineStr">
        <is>
          <t>Approved</t>
        </is>
      </c>
      <c r="J239" s="551" t="n">
        <v>46153</v>
      </c>
      <c r="K239" s="446" t="inlineStr">
        <is>
          <t>Telal Alhamra (Rental)</t>
        </is>
      </c>
      <c r="L239" s="45" t="inlineStr">
        <is>
          <t>-</t>
        </is>
      </c>
      <c r="N239" s="178" t="n"/>
      <c r="O239" s="178" t="n"/>
      <c r="P239" s="178" t="n"/>
      <c r="Q239" s="178" t="n"/>
      <c r="R239" s="178" t="n"/>
      <c r="S239" s="178" t="n"/>
      <c r="T239" s="178" t="n"/>
    </row>
    <row r="240" ht="15.75" customHeight="1">
      <c r="A240" s="554" t="n"/>
      <c r="B240" s="554" t="n"/>
      <c r="C240" s="554" t="n"/>
      <c r="D240" s="554" t="n"/>
      <c r="E240" s="445" t="inlineStr">
        <is>
          <t>Saiful Islam</t>
        </is>
      </c>
      <c r="F240" s="188" t="inlineStr">
        <is>
          <t>Soft Service</t>
        </is>
      </c>
      <c r="G240" s="91" t="inlineStr">
        <is>
          <t>-</t>
        </is>
      </c>
      <c r="H240" s="445" t="n">
        <v>2635149699</v>
      </c>
      <c r="I240" s="446" t="inlineStr">
        <is>
          <t>Approved</t>
        </is>
      </c>
      <c r="J240" s="551" t="n">
        <v>46153</v>
      </c>
      <c r="K240" s="446" t="inlineStr">
        <is>
          <t>Telal Alhamra (Rental)</t>
        </is>
      </c>
      <c r="L240" s="45" t="inlineStr">
        <is>
          <t>-</t>
        </is>
      </c>
      <c r="N240" s="178" t="n"/>
      <c r="O240" s="178" t="n"/>
      <c r="P240" s="178" t="n"/>
      <c r="Q240" s="178" t="n"/>
      <c r="R240" s="178" t="n"/>
      <c r="S240" s="178" t="n"/>
      <c r="T240" s="178" t="n"/>
    </row>
    <row r="241" ht="15.75" customHeight="1">
      <c r="A241" s="554" t="n"/>
      <c r="B241" s="554" t="n"/>
      <c r="C241" s="554" t="n"/>
      <c r="D241" s="554" t="n"/>
      <c r="E241" s="445" t="inlineStr">
        <is>
          <t xml:space="preserve">Md Masud </t>
        </is>
      </c>
      <c r="F241" s="188" t="inlineStr">
        <is>
          <t>Soft Service</t>
        </is>
      </c>
      <c r="G241" s="91" t="inlineStr">
        <is>
          <t>-</t>
        </is>
      </c>
      <c r="H241" s="445" t="n">
        <v>2634273367</v>
      </c>
      <c r="I241" s="446" t="inlineStr">
        <is>
          <t>Approved</t>
        </is>
      </c>
      <c r="J241" s="551" t="n">
        <v>46153</v>
      </c>
      <c r="K241" s="446" t="inlineStr">
        <is>
          <t>Telal Alhamra (Rental)</t>
        </is>
      </c>
      <c r="L241" s="45" t="inlineStr">
        <is>
          <t>-</t>
        </is>
      </c>
      <c r="N241" s="178" t="n"/>
      <c r="O241" s="178" t="n"/>
      <c r="P241" s="178" t="n"/>
      <c r="Q241" s="178" t="n"/>
      <c r="R241" s="178" t="n"/>
      <c r="S241" s="178" t="n"/>
      <c r="T241" s="178" t="n"/>
    </row>
    <row r="242" ht="15.75" customHeight="1">
      <c r="A242" s="554" t="n"/>
      <c r="B242" s="554" t="n"/>
      <c r="C242" s="554" t="n"/>
      <c r="D242" s="554" t="n"/>
      <c r="E242" s="445" t="inlineStr">
        <is>
          <t xml:space="preserve">Delowar Hossen </t>
        </is>
      </c>
      <c r="F242" s="188" t="inlineStr">
        <is>
          <t>Soft Service</t>
        </is>
      </c>
      <c r="G242" s="91" t="inlineStr">
        <is>
          <t>-</t>
        </is>
      </c>
      <c r="H242" s="445" t="n">
        <v>2625076282</v>
      </c>
      <c r="I242" s="446" t="inlineStr">
        <is>
          <t>Approved</t>
        </is>
      </c>
      <c r="J242" s="551" t="n">
        <v>46153</v>
      </c>
      <c r="K242" s="446" t="inlineStr">
        <is>
          <t>Telal Alhamra (Rental)</t>
        </is>
      </c>
      <c r="L242" s="45" t="inlineStr">
        <is>
          <t>-</t>
        </is>
      </c>
      <c r="N242" s="178" t="n"/>
      <c r="O242" s="178" t="n"/>
      <c r="P242" s="178" t="n"/>
      <c r="Q242" s="178" t="n"/>
      <c r="R242" s="178" t="n"/>
      <c r="S242" s="178" t="n"/>
      <c r="T242" s="178" t="n"/>
    </row>
    <row r="243" ht="15.75" customHeight="1">
      <c r="A243" s="554" t="n"/>
      <c r="B243" s="554" t="n"/>
      <c r="C243" s="554" t="n"/>
      <c r="D243" s="554" t="n"/>
      <c r="E243" s="380" t="inlineStr">
        <is>
          <t>SAMSHAD ANSARI</t>
        </is>
      </c>
      <c r="F243" s="188" t="inlineStr">
        <is>
          <t>Soft Service</t>
        </is>
      </c>
      <c r="G243" s="91" t="n"/>
      <c r="H243" s="381" t="n">
        <v>2636633899</v>
      </c>
      <c r="I243" s="446" t="inlineStr">
        <is>
          <t>Approved</t>
        </is>
      </c>
      <c r="J243" s="551" t="n">
        <v>46263</v>
      </c>
      <c r="K243" s="446" t="n"/>
      <c r="L243" s="45" t="n"/>
      <c r="N243" s="178" t="n"/>
      <c r="O243" s="178" t="n"/>
      <c r="P243" s="178" t="n"/>
      <c r="Q243" s="178" t="n"/>
      <c r="R243" s="178" t="n"/>
      <c r="S243" s="178" t="n"/>
      <c r="T243" s="178" t="n"/>
    </row>
    <row r="244" ht="15.75" customHeight="1">
      <c r="A244" s="554" t="n"/>
      <c r="B244" s="554" t="n"/>
      <c r="C244" s="554" t="n"/>
      <c r="D244" s="554" t="n"/>
      <c r="E244" s="445" t="inlineStr">
        <is>
          <t>Shanto Das</t>
        </is>
      </c>
      <c r="F244" s="188" t="inlineStr">
        <is>
          <t>Soft Service</t>
        </is>
      </c>
      <c r="G244" s="91" t="inlineStr">
        <is>
          <t>-</t>
        </is>
      </c>
      <c r="H244" s="445" t="n">
        <v>2622707186</v>
      </c>
      <c r="I244" s="446" t="inlineStr">
        <is>
          <t>Approved</t>
        </is>
      </c>
      <c r="J244" s="551" t="n">
        <v>46153</v>
      </c>
      <c r="K244" s="446" t="inlineStr">
        <is>
          <t>Telal Alhamra (Rental)</t>
        </is>
      </c>
      <c r="L244" s="45" t="inlineStr">
        <is>
          <t>-</t>
        </is>
      </c>
      <c r="N244" s="178" t="n"/>
      <c r="O244" s="178" t="n"/>
      <c r="P244" s="178" t="n"/>
      <c r="Q244" s="178" t="n"/>
      <c r="R244" s="178" t="n"/>
      <c r="S244" s="178" t="n"/>
      <c r="T244" s="178" t="n"/>
    </row>
    <row r="245" ht="15.75" customHeight="1">
      <c r="A245" s="554" t="n"/>
      <c r="B245" s="554" t="n"/>
      <c r="C245" s="554" t="n"/>
      <c r="D245" s="554" t="n"/>
      <c r="E245" s="445" t="inlineStr">
        <is>
          <t>Sohel Rana</t>
        </is>
      </c>
      <c r="F245" s="188" t="inlineStr">
        <is>
          <t>Soft Service</t>
        </is>
      </c>
      <c r="G245" s="91" t="inlineStr">
        <is>
          <t>-</t>
        </is>
      </c>
      <c r="H245" s="445" t="n">
        <v>2628920551</v>
      </c>
      <c r="I245" s="446" t="inlineStr">
        <is>
          <t>Approved</t>
        </is>
      </c>
      <c r="J245" s="551" t="n">
        <v>46155</v>
      </c>
      <c r="K245" s="446" t="inlineStr">
        <is>
          <t>Telal Alhamra (Rental)</t>
        </is>
      </c>
      <c r="L245" s="45" t="inlineStr">
        <is>
          <t>-</t>
        </is>
      </c>
      <c r="N245" s="178" t="n"/>
      <c r="O245" s="178" t="n"/>
      <c r="P245" s="178" t="n"/>
      <c r="Q245" s="178" t="n"/>
      <c r="R245" s="178" t="n"/>
      <c r="S245" s="178" t="n"/>
      <c r="T245" s="178" t="n"/>
    </row>
    <row r="246" ht="15.75" customHeight="1">
      <c r="A246" s="554" t="n"/>
      <c r="B246" s="554" t="n"/>
      <c r="C246" s="554" t="n"/>
      <c r="D246" s="554" t="n"/>
      <c r="E246" s="445" t="inlineStr">
        <is>
          <t xml:space="preserve">Jakariya Mia </t>
        </is>
      </c>
      <c r="F246" s="188" t="inlineStr">
        <is>
          <t>Soft Service</t>
        </is>
      </c>
      <c r="G246" s="91" t="inlineStr">
        <is>
          <t>-</t>
        </is>
      </c>
      <c r="H246" s="445" t="n">
        <v>2636580009</v>
      </c>
      <c r="I246" s="446" t="inlineStr">
        <is>
          <t>Approved</t>
        </is>
      </c>
      <c r="J246" s="551" t="n">
        <v>46155</v>
      </c>
      <c r="K246" s="446" t="inlineStr">
        <is>
          <t>Telal Alhamra (Rental)</t>
        </is>
      </c>
      <c r="L246" s="45" t="inlineStr">
        <is>
          <t>-</t>
        </is>
      </c>
      <c r="N246" s="178" t="n"/>
      <c r="O246" s="178" t="n"/>
      <c r="P246" s="178" t="n"/>
      <c r="Q246" s="178" t="n"/>
      <c r="R246" s="178" t="n"/>
      <c r="S246" s="178" t="n"/>
      <c r="T246" s="178" t="n"/>
    </row>
    <row r="247" ht="15.75" customHeight="1">
      <c r="A247" s="554" t="n"/>
      <c r="B247" s="554" t="n"/>
      <c r="C247" s="554" t="n"/>
      <c r="D247" s="554" t="n"/>
      <c r="E247" s="445" t="inlineStr">
        <is>
          <t>Md Romjan</t>
        </is>
      </c>
      <c r="F247" s="188" t="inlineStr">
        <is>
          <t>Soft Service</t>
        </is>
      </c>
      <c r="G247" s="91" t="inlineStr">
        <is>
          <t>-</t>
        </is>
      </c>
      <c r="H247" s="445" t="n">
        <v>2635149905</v>
      </c>
      <c r="I247" s="446" t="inlineStr">
        <is>
          <t>Approved</t>
        </is>
      </c>
      <c r="J247" s="551" t="n">
        <v>46155</v>
      </c>
      <c r="K247" s="446" t="inlineStr">
        <is>
          <t>Telal Alhamra (Rental)</t>
        </is>
      </c>
      <c r="L247" s="45" t="inlineStr">
        <is>
          <t>-</t>
        </is>
      </c>
      <c r="N247" s="178" t="n"/>
      <c r="O247" s="178" t="n"/>
      <c r="P247" s="178" t="n"/>
      <c r="Q247" s="178" t="n"/>
      <c r="R247" s="178" t="n"/>
      <c r="S247" s="178" t="n"/>
      <c r="T247" s="178" t="n"/>
    </row>
    <row r="248" ht="15.75" customHeight="1">
      <c r="A248" s="554" t="n"/>
      <c r="B248" s="554" t="n"/>
      <c r="C248" s="554" t="n"/>
      <c r="D248" s="554" t="n"/>
      <c r="E248" s="445" t="inlineStr">
        <is>
          <t>JOSNA AKTER</t>
        </is>
      </c>
      <c r="F248" s="188" t="inlineStr">
        <is>
          <t>Soft Service</t>
        </is>
      </c>
      <c r="G248" s="91" t="inlineStr">
        <is>
          <t>-</t>
        </is>
      </c>
      <c r="H248" s="445" t="inlineStr">
        <is>
          <t>EN0544675</t>
        </is>
      </c>
      <c r="I248" s="446" t="inlineStr">
        <is>
          <t>Approved</t>
        </is>
      </c>
      <c r="J248" s="551" t="n">
        <v>46243</v>
      </c>
      <c r="K248" s="446" t="inlineStr">
        <is>
          <t>-</t>
        </is>
      </c>
      <c r="L248" s="45" t="inlineStr">
        <is>
          <t>-</t>
        </is>
      </c>
      <c r="N248" s="178" t="n"/>
      <c r="O248" s="178" t="n"/>
      <c r="P248" s="178" t="n"/>
      <c r="Q248" s="178" t="n"/>
      <c r="R248" s="178" t="n"/>
      <c r="S248" s="178" t="n"/>
      <c r="T248" s="178" t="n"/>
    </row>
    <row r="249" ht="15.75" customHeight="1">
      <c r="A249" s="554" t="n"/>
      <c r="B249" s="554" t="n"/>
      <c r="C249" s="554" t="n"/>
      <c r="D249" s="554" t="n"/>
      <c r="E249" s="445" t="inlineStr">
        <is>
          <t>Hiralal Paswan</t>
        </is>
      </c>
      <c r="F249" s="188" t="inlineStr">
        <is>
          <t>Soft Service</t>
        </is>
      </c>
      <c r="G249" s="91" t="inlineStr">
        <is>
          <t>L01325</t>
        </is>
      </c>
      <c r="H249" s="445" t="n">
        <v>2636632958</v>
      </c>
      <c r="I249" s="446" t="inlineStr">
        <is>
          <t>Approved</t>
        </is>
      </c>
      <c r="J249" s="551" t="n">
        <v>46163</v>
      </c>
      <c r="K249" s="446" t="inlineStr">
        <is>
          <t>MEHAN RENTAL</t>
        </is>
      </c>
      <c r="L249" s="45" t="inlineStr">
        <is>
          <t>-</t>
        </is>
      </c>
      <c r="N249" s="178" t="n"/>
      <c r="O249" s="178" t="n"/>
      <c r="P249" s="178" t="n"/>
      <c r="Q249" s="178" t="n"/>
      <c r="R249" s="178" t="n"/>
      <c r="S249" s="178" t="n"/>
      <c r="T249" s="178" t="n"/>
    </row>
    <row r="250" ht="15.75" customHeight="1">
      <c r="A250" s="554" t="n"/>
      <c r="B250" s="554" t="n"/>
      <c r="C250" s="554" t="n"/>
      <c r="D250" s="554" t="n"/>
      <c r="E250" s="445" t="inlineStr">
        <is>
          <t>Amir Ali</t>
        </is>
      </c>
      <c r="F250" s="188" t="inlineStr">
        <is>
          <t>Soft Service</t>
        </is>
      </c>
      <c r="G250" s="91" t="inlineStr">
        <is>
          <t>L01319</t>
        </is>
      </c>
      <c r="H250" s="445" t="n">
        <v>2636632602</v>
      </c>
      <c r="I250" s="446" t="inlineStr">
        <is>
          <t>Approved</t>
        </is>
      </c>
      <c r="J250" s="551" t="n">
        <v>46163</v>
      </c>
      <c r="K250" s="446" t="inlineStr">
        <is>
          <t>MEHAN RENTAL</t>
        </is>
      </c>
      <c r="L250" s="45" t="inlineStr">
        <is>
          <t>-</t>
        </is>
      </c>
      <c r="N250" s="178" t="n"/>
      <c r="O250" s="178" t="n"/>
      <c r="P250" s="178" t="n"/>
      <c r="Q250" s="178" t="n"/>
      <c r="R250" s="178" t="n"/>
      <c r="S250" s="178" t="n"/>
      <c r="T250" s="178" t="n"/>
    </row>
    <row r="251" ht="15.75" customHeight="1">
      <c r="A251" s="554" t="n"/>
      <c r="B251" s="554" t="n"/>
      <c r="C251" s="554" t="n"/>
      <c r="D251" s="554" t="n"/>
      <c r="E251" s="445" t="inlineStr">
        <is>
          <t>Ishuf Ali</t>
        </is>
      </c>
      <c r="F251" s="188" t="inlineStr">
        <is>
          <t>Soft Service</t>
        </is>
      </c>
      <c r="G251" s="91" t="inlineStr">
        <is>
          <t>R09742</t>
        </is>
      </c>
      <c r="H251" s="445" t="n">
        <v>2618556068</v>
      </c>
      <c r="I251" s="446" t="inlineStr">
        <is>
          <t>Approved</t>
        </is>
      </c>
      <c r="J251" s="551" t="n">
        <v>46163</v>
      </c>
      <c r="K251" s="446" t="inlineStr">
        <is>
          <t>MEHAN RENTAL</t>
        </is>
      </c>
      <c r="L251" s="45" t="inlineStr">
        <is>
          <t>-</t>
        </is>
      </c>
      <c r="N251" s="178" t="n"/>
      <c r="O251" s="178" t="n"/>
      <c r="P251" s="178" t="n"/>
      <c r="Q251" s="178" t="n"/>
      <c r="R251" s="178" t="n"/>
      <c r="S251" s="178" t="n"/>
      <c r="T251" s="178" t="n"/>
    </row>
    <row r="252" ht="15.75" customHeight="1">
      <c r="A252" s="554" t="n"/>
      <c r="B252" s="554" t="n"/>
      <c r="C252" s="554" t="n"/>
      <c r="D252" s="554" t="n"/>
      <c r="E252" s="445" t="inlineStr">
        <is>
          <t>Rabi Paswan</t>
        </is>
      </c>
      <c r="F252" s="188" t="inlineStr">
        <is>
          <t>Soft Service</t>
        </is>
      </c>
      <c r="G252" s="91" t="inlineStr">
        <is>
          <t>L01297</t>
        </is>
      </c>
      <c r="H252" s="445" t="n">
        <v>2636631562</v>
      </c>
      <c r="I252" s="446" t="inlineStr">
        <is>
          <t>Approved</t>
        </is>
      </c>
      <c r="J252" s="551" t="n">
        <v>46163</v>
      </c>
      <c r="K252" s="446" t="inlineStr">
        <is>
          <t>MEHAN RENTAL</t>
        </is>
      </c>
      <c r="L252" s="45" t="inlineStr">
        <is>
          <t>-</t>
        </is>
      </c>
      <c r="N252" s="178" t="n"/>
      <c r="O252" s="178" t="n"/>
      <c r="P252" s="178" t="n"/>
      <c r="Q252" s="178" t="n"/>
      <c r="R252" s="178" t="n"/>
      <c r="S252" s="178" t="n"/>
      <c r="T252" s="178" t="n"/>
    </row>
    <row r="253" ht="15.75" customHeight="1">
      <c r="A253" s="554" t="n"/>
      <c r="B253" s="554" t="n"/>
      <c r="C253" s="554" t="n"/>
      <c r="D253" s="554" t="n"/>
      <c r="E253" s="445" t="inlineStr">
        <is>
          <t>Pardeep Kumar</t>
        </is>
      </c>
      <c r="F253" s="188" t="inlineStr">
        <is>
          <t>Soft Service</t>
        </is>
      </c>
      <c r="G253" s="91" t="inlineStr">
        <is>
          <t>L01313</t>
        </is>
      </c>
      <c r="H253" s="445" t="n">
        <v>2636632339</v>
      </c>
      <c r="I253" s="446" t="inlineStr">
        <is>
          <t>Approved</t>
        </is>
      </c>
      <c r="J253" s="551" t="n">
        <v>46163</v>
      </c>
      <c r="K253" s="446" t="inlineStr">
        <is>
          <t>MEHAN RENTAL</t>
        </is>
      </c>
      <c r="L253" s="45" t="inlineStr">
        <is>
          <t>-</t>
        </is>
      </c>
      <c r="N253" s="178" t="n"/>
      <c r="O253" s="178" t="n"/>
      <c r="P253" s="178" t="n"/>
      <c r="Q253" s="178" t="n"/>
      <c r="R253" s="178" t="n"/>
      <c r="S253" s="178" t="n"/>
      <c r="T253" s="178" t="n"/>
    </row>
    <row r="254" ht="15.75" customHeight="1">
      <c r="A254" s="554" t="n"/>
      <c r="B254" s="554" t="n"/>
      <c r="C254" s="554" t="n"/>
      <c r="D254" s="554" t="n"/>
      <c r="E254" s="445" t="inlineStr">
        <is>
          <t>Rajeshwar Yadav</t>
        </is>
      </c>
      <c r="F254" s="188" t="inlineStr">
        <is>
          <t>Soft Service</t>
        </is>
      </c>
      <c r="G254" s="91" t="inlineStr">
        <is>
          <t>L01309</t>
        </is>
      </c>
      <c r="H254" s="445" t="n">
        <v>2636632172</v>
      </c>
      <c r="I254" s="446" t="inlineStr">
        <is>
          <t>Approved</t>
        </is>
      </c>
      <c r="J254" s="551" t="n">
        <v>46163</v>
      </c>
      <c r="K254" s="446" t="inlineStr">
        <is>
          <t>MEHAN RENTAL</t>
        </is>
      </c>
      <c r="L254" s="45" t="inlineStr">
        <is>
          <t>-</t>
        </is>
      </c>
      <c r="N254" s="178" t="n"/>
      <c r="O254" s="178" t="n"/>
      <c r="P254" s="178" t="n"/>
      <c r="Q254" s="178" t="n"/>
      <c r="R254" s="178" t="n"/>
      <c r="S254" s="178" t="n"/>
      <c r="T254" s="178" t="n"/>
    </row>
    <row r="255" ht="15.75" customHeight="1">
      <c r="A255" s="554" t="n"/>
      <c r="B255" s="554" t="n"/>
      <c r="C255" s="554" t="n"/>
      <c r="D255" s="554" t="n"/>
      <c r="E255" s="445" t="inlineStr">
        <is>
          <t>Sandip Rajbhar</t>
        </is>
      </c>
      <c r="F255" s="188" t="inlineStr">
        <is>
          <t>Soft Service</t>
        </is>
      </c>
      <c r="G255" s="91" t="inlineStr">
        <is>
          <t>L01314</t>
        </is>
      </c>
      <c r="H255" s="445" t="n">
        <v>2636890663</v>
      </c>
      <c r="I255" s="446" t="inlineStr">
        <is>
          <t>Approved</t>
        </is>
      </c>
      <c r="J255" s="551" t="n">
        <v>46163</v>
      </c>
      <c r="K255" s="446" t="inlineStr">
        <is>
          <t>MEHAN RENTAL</t>
        </is>
      </c>
      <c r="L255" s="45" t="inlineStr">
        <is>
          <t>-</t>
        </is>
      </c>
      <c r="N255" s="178" t="n"/>
      <c r="O255" s="178" t="n"/>
      <c r="P255" s="178" t="n"/>
      <c r="Q255" s="178" t="n"/>
      <c r="R255" s="178" t="n"/>
      <c r="S255" s="178" t="n"/>
      <c r="T255" s="178" t="n"/>
    </row>
    <row r="256" ht="15.75" customHeight="1">
      <c r="A256" s="554" t="n"/>
      <c r="B256" s="554" t="n"/>
      <c r="C256" s="554" t="n"/>
      <c r="D256" s="554" t="n"/>
      <c r="E256" s="445" t="inlineStr">
        <is>
          <t xml:space="preserve">Md Masud </t>
        </is>
      </c>
      <c r="F256" s="188" t="inlineStr">
        <is>
          <t>Soft Service</t>
        </is>
      </c>
      <c r="G256" s="91" t="inlineStr">
        <is>
          <t>-</t>
        </is>
      </c>
      <c r="H256" s="445" t="n">
        <v>2574258568</v>
      </c>
      <c r="I256" s="446" t="inlineStr">
        <is>
          <t>Approved</t>
        </is>
      </c>
      <c r="J256" s="551" t="n">
        <v>46168</v>
      </c>
      <c r="K256" s="446" t="inlineStr">
        <is>
          <t>UCC( RENTAL)</t>
        </is>
      </c>
      <c r="L256" s="45" t="inlineStr">
        <is>
          <t>-</t>
        </is>
      </c>
      <c r="N256" s="178" t="n"/>
      <c r="O256" s="178" t="n"/>
      <c r="P256" s="178" t="n"/>
      <c r="Q256" s="178" t="n"/>
      <c r="R256" s="178" t="n"/>
      <c r="S256" s="178" t="n"/>
      <c r="T256" s="178" t="n"/>
    </row>
    <row r="257" ht="15.75" customHeight="1">
      <c r="A257" s="554" t="n"/>
      <c r="B257" s="554" t="n"/>
      <c r="C257" s="554" t="n"/>
      <c r="D257" s="554" t="n"/>
      <c r="E257" s="445" t="inlineStr">
        <is>
          <t>Md Nazrul Islam</t>
        </is>
      </c>
      <c r="F257" s="188" t="inlineStr">
        <is>
          <t>Soft Service</t>
        </is>
      </c>
      <c r="G257" s="91" t="inlineStr">
        <is>
          <t>-</t>
        </is>
      </c>
      <c r="H257" s="445" t="n">
        <v>2628922607</v>
      </c>
      <c r="I257" s="446" t="inlineStr">
        <is>
          <t>Approved</t>
        </is>
      </c>
      <c r="J257" s="551" t="n">
        <v>46168</v>
      </c>
      <c r="K257" s="446" t="inlineStr">
        <is>
          <t>UCC( RENTAL)</t>
        </is>
      </c>
      <c r="L257" s="45" t="inlineStr">
        <is>
          <t>-</t>
        </is>
      </c>
      <c r="N257" s="178" t="n"/>
      <c r="O257" s="178" t="n"/>
      <c r="P257" s="178" t="n"/>
      <c r="Q257" s="178" t="n"/>
      <c r="R257" s="178" t="n"/>
      <c r="S257" s="178" t="n"/>
      <c r="T257" s="178" t="n"/>
    </row>
    <row r="258" ht="15.75" customHeight="1">
      <c r="A258" s="554" t="n"/>
      <c r="B258" s="554" t="n"/>
      <c r="C258" s="554" t="n"/>
      <c r="D258" s="554" t="n"/>
      <c r="E258" s="445" t="inlineStr">
        <is>
          <t>Md Shoni Mia</t>
        </is>
      </c>
      <c r="F258" s="188" t="inlineStr">
        <is>
          <t>Soft Service</t>
        </is>
      </c>
      <c r="G258" s="91" t="inlineStr">
        <is>
          <t>-</t>
        </is>
      </c>
      <c r="H258" s="445" t="n">
        <v>2573946387</v>
      </c>
      <c r="I258" s="446" t="inlineStr">
        <is>
          <t>Approved</t>
        </is>
      </c>
      <c r="J258" s="551" t="n">
        <v>46168</v>
      </c>
      <c r="K258" s="446" t="inlineStr">
        <is>
          <t>UCC( RENTAL)</t>
        </is>
      </c>
      <c r="L258" s="45" t="inlineStr">
        <is>
          <t>-</t>
        </is>
      </c>
      <c r="N258" s="178" t="n"/>
      <c r="O258" s="178" t="n"/>
      <c r="P258" s="178" t="n"/>
      <c r="Q258" s="178" t="n"/>
      <c r="R258" s="178" t="n"/>
      <c r="S258" s="178" t="n"/>
      <c r="T258" s="178" t="n"/>
    </row>
    <row r="259" ht="15.75" customHeight="1">
      <c r="A259" s="554" t="n"/>
      <c r="B259" s="554" t="n"/>
      <c r="C259" s="554" t="n"/>
      <c r="D259" s="554" t="n"/>
      <c r="E259" s="445" t="inlineStr">
        <is>
          <t>Md Omor Faruqe</t>
        </is>
      </c>
      <c r="F259" s="188" t="inlineStr">
        <is>
          <t>Soft Service</t>
        </is>
      </c>
      <c r="G259" s="91" t="inlineStr">
        <is>
          <t>-</t>
        </is>
      </c>
      <c r="H259" s="445" t="n">
        <v>2597424270</v>
      </c>
      <c r="I259" s="446" t="inlineStr">
        <is>
          <t>Approved</t>
        </is>
      </c>
      <c r="J259" s="551" t="n">
        <v>46168</v>
      </c>
      <c r="K259" s="446" t="inlineStr">
        <is>
          <t>UCC( RENTAL)</t>
        </is>
      </c>
      <c r="L259" s="45" t="inlineStr">
        <is>
          <t>-</t>
        </is>
      </c>
      <c r="N259" s="178" t="n"/>
      <c r="O259" s="178" t="n"/>
      <c r="P259" s="178" t="n"/>
      <c r="Q259" s="178" t="n"/>
      <c r="R259" s="178" t="n"/>
      <c r="S259" s="178" t="n"/>
      <c r="T259" s="178" t="n"/>
    </row>
    <row r="260" ht="15.75" customHeight="1">
      <c r="A260" s="554" t="n"/>
      <c r="B260" s="554" t="n"/>
      <c r="C260" s="554" t="n"/>
      <c r="D260" s="554" t="n"/>
      <c r="E260" s="445" t="inlineStr">
        <is>
          <t>Md Apple Mia</t>
        </is>
      </c>
      <c r="F260" s="188" t="inlineStr">
        <is>
          <t>Soft Service</t>
        </is>
      </c>
      <c r="G260" s="91" t="inlineStr">
        <is>
          <t>-</t>
        </is>
      </c>
      <c r="H260" s="445" t="n">
        <v>2573946114</v>
      </c>
      <c r="I260" s="446" t="inlineStr">
        <is>
          <t>Approved</t>
        </is>
      </c>
      <c r="J260" s="551" t="n">
        <v>46168</v>
      </c>
      <c r="K260" s="446" t="inlineStr">
        <is>
          <t>UCC( RENTAL)</t>
        </is>
      </c>
      <c r="L260" s="45" t="inlineStr">
        <is>
          <t>-</t>
        </is>
      </c>
      <c r="N260" s="178" t="n"/>
      <c r="O260" s="178" t="n"/>
      <c r="P260" s="178" t="n"/>
      <c r="Q260" s="178" t="n"/>
      <c r="R260" s="178" t="n"/>
      <c r="S260" s="178" t="n"/>
      <c r="T260" s="178" t="n"/>
    </row>
    <row r="261" ht="15.75" customHeight="1">
      <c r="A261" s="554" t="n"/>
      <c r="B261" s="554" t="n"/>
      <c r="C261" s="554" t="n"/>
      <c r="D261" s="554" t="n"/>
      <c r="E261" s="445" t="inlineStr">
        <is>
          <t>Ravi Shiv - Narayan</t>
        </is>
      </c>
      <c r="F261" s="188" t="inlineStr">
        <is>
          <t>Soft Service</t>
        </is>
      </c>
      <c r="G261" s="193" t="inlineStr">
        <is>
          <t>R08797</t>
        </is>
      </c>
      <c r="H261" s="193" t="n">
        <v>2608383416</v>
      </c>
      <c r="I261" s="446" t="inlineStr">
        <is>
          <t>Approved</t>
        </is>
      </c>
      <c r="J261" s="220" t="n">
        <v>46208</v>
      </c>
      <c r="K261" s="193" t="inlineStr">
        <is>
          <t>MEHAN RENTAL</t>
        </is>
      </c>
      <c r="L261" s="45" t="inlineStr">
        <is>
          <t>-</t>
        </is>
      </c>
      <c r="N261" s="178" t="n"/>
      <c r="O261" s="178" t="n"/>
      <c r="P261" s="178" t="n"/>
      <c r="Q261" s="178" t="n"/>
      <c r="R261" s="178" t="n"/>
      <c r="S261" s="178" t="n"/>
      <c r="T261" s="178" t="n"/>
    </row>
    <row r="262" ht="15.75" customHeight="1">
      <c r="A262" s="554" t="n"/>
      <c r="B262" s="554" t="n"/>
      <c r="C262" s="554" t="n"/>
      <c r="D262" s="554" t="n"/>
      <c r="E262" s="445" t="inlineStr">
        <is>
          <t>Akhlaq - - Jamal</t>
        </is>
      </c>
      <c r="F262" s="188" t="inlineStr">
        <is>
          <t>Soft Service</t>
        </is>
      </c>
      <c r="G262" s="193" t="inlineStr">
        <is>
          <t>R09519</t>
        </is>
      </c>
      <c r="H262" s="193" t="n">
        <v>2615134067</v>
      </c>
      <c r="I262" s="446" t="inlineStr">
        <is>
          <t>Approved</t>
        </is>
      </c>
      <c r="J262" s="220" t="n">
        <v>46208</v>
      </c>
      <c r="K262" s="193" t="inlineStr">
        <is>
          <t>MEHAN RENTAL</t>
        </is>
      </c>
      <c r="L262" s="45" t="inlineStr">
        <is>
          <t>-</t>
        </is>
      </c>
      <c r="N262" s="178" t="n"/>
      <c r="O262" s="178" t="n"/>
      <c r="P262" s="178" t="n"/>
      <c r="Q262" s="178" t="n"/>
      <c r="R262" s="178" t="n"/>
      <c r="S262" s="178" t="n"/>
      <c r="T262" s="178" t="n"/>
    </row>
    <row r="263" ht="15.75" customHeight="1">
      <c r="A263" s="554" t="n"/>
      <c r="B263" s="554" t="n"/>
      <c r="C263" s="554" t="n"/>
      <c r="D263" s="554" t="n"/>
      <c r="E263" s="445" t="inlineStr">
        <is>
          <t>Kamal - - Sekh</t>
        </is>
      </c>
      <c r="F263" s="188" t="inlineStr">
        <is>
          <t>Soft Service</t>
        </is>
      </c>
      <c r="G263" s="193" t="inlineStr">
        <is>
          <t>R09520</t>
        </is>
      </c>
      <c r="H263" s="193" t="n">
        <v>2615134190</v>
      </c>
      <c r="I263" s="446" t="inlineStr">
        <is>
          <t>Approved</t>
        </is>
      </c>
      <c r="J263" s="220" t="n">
        <v>46208</v>
      </c>
      <c r="K263" s="193" t="inlineStr">
        <is>
          <t>MEHAN RENTAL</t>
        </is>
      </c>
      <c r="L263" s="45" t="inlineStr">
        <is>
          <t>-</t>
        </is>
      </c>
      <c r="N263" s="178" t="n"/>
      <c r="O263" s="178" t="n"/>
      <c r="P263" s="178" t="n"/>
      <c r="Q263" s="178" t="n"/>
      <c r="R263" s="178" t="n"/>
      <c r="S263" s="178" t="n"/>
      <c r="T263" s="178" t="n"/>
    </row>
    <row r="264" ht="15.75" customHeight="1">
      <c r="A264" s="554" t="n"/>
      <c r="B264" s="554" t="n"/>
      <c r="C264" s="554" t="n"/>
      <c r="D264" s="554" t="n"/>
      <c r="E264" s="445" t="inlineStr">
        <is>
          <t>Indrajeet Kumar - Parsaadi</t>
        </is>
      </c>
      <c r="F264" s="188" t="inlineStr">
        <is>
          <t>Soft Service</t>
        </is>
      </c>
      <c r="G264" s="193" t="inlineStr">
        <is>
          <t>R08550</t>
        </is>
      </c>
      <c r="H264" s="193" t="n">
        <v>2607220312</v>
      </c>
      <c r="I264" s="446" t="inlineStr">
        <is>
          <t>Approved</t>
        </is>
      </c>
      <c r="J264" s="220" t="n">
        <v>46208</v>
      </c>
      <c r="K264" s="193" t="inlineStr">
        <is>
          <t>MEHAN RENTAL</t>
        </is>
      </c>
      <c r="L264" s="45" t="inlineStr">
        <is>
          <t>-</t>
        </is>
      </c>
      <c r="N264" s="178" t="n"/>
      <c r="O264" s="178" t="n"/>
      <c r="P264" s="178" t="n"/>
      <c r="Q264" s="178" t="n"/>
      <c r="R264" s="178" t="n"/>
      <c r="S264" s="178" t="n"/>
      <c r="T264" s="178" t="n"/>
    </row>
    <row r="265" ht="15.75" customHeight="1">
      <c r="A265" s="554" t="n"/>
      <c r="B265" s="554" t="n"/>
      <c r="C265" s="554" t="n"/>
      <c r="D265" s="554" t="n"/>
      <c r="E265" s="445" t="inlineStr">
        <is>
          <t>Vidyakant Chandra - Bhushan</t>
        </is>
      </c>
      <c r="F265" s="188" t="inlineStr">
        <is>
          <t>Soft Service</t>
        </is>
      </c>
      <c r="G265" s="193" t="inlineStr">
        <is>
          <t>R09606</t>
        </is>
      </c>
      <c r="H265" s="193" t="n">
        <v>2616699506</v>
      </c>
      <c r="I265" s="446" t="inlineStr">
        <is>
          <t>Approved</t>
        </is>
      </c>
      <c r="J265" s="220" t="n">
        <v>46208</v>
      </c>
      <c r="K265" s="193" t="inlineStr">
        <is>
          <t>MEHAN RENTAL</t>
        </is>
      </c>
      <c r="L265" s="45" t="inlineStr">
        <is>
          <t>-</t>
        </is>
      </c>
      <c r="N265" s="178" t="n"/>
      <c r="O265" s="178" t="n"/>
      <c r="P265" s="178" t="n"/>
      <c r="Q265" s="178" t="n"/>
      <c r="R265" s="178" t="n"/>
      <c r="S265" s="178" t="n"/>
      <c r="T265" s="178" t="n"/>
    </row>
    <row r="266" ht="15.75" customHeight="1">
      <c r="A266" s="554" t="n"/>
      <c r="B266" s="554" t="n"/>
      <c r="C266" s="554" t="n"/>
      <c r="D266" s="554" t="n"/>
      <c r="E266" s="445" t="inlineStr">
        <is>
          <t>Adil - - Asharaf</t>
        </is>
      </c>
      <c r="F266" s="188" t="inlineStr">
        <is>
          <t>Soft Service</t>
        </is>
      </c>
      <c r="G266" s="193" t="inlineStr">
        <is>
          <t>R09886</t>
        </is>
      </c>
      <c r="H266" s="193" t="n">
        <v>2621396197</v>
      </c>
      <c r="I266" s="446" t="inlineStr">
        <is>
          <t>Approved</t>
        </is>
      </c>
      <c r="J266" s="220" t="n">
        <v>46208</v>
      </c>
      <c r="K266" s="193" t="inlineStr">
        <is>
          <t>MEHAN RENTAL</t>
        </is>
      </c>
      <c r="L266" s="45" t="inlineStr">
        <is>
          <t>-</t>
        </is>
      </c>
      <c r="N266" s="178" t="n"/>
      <c r="O266" s="178" t="n"/>
      <c r="P266" s="178" t="n"/>
      <c r="Q266" s="178" t="n"/>
      <c r="R266" s="178" t="n"/>
      <c r="S266" s="178" t="n"/>
      <c r="T266" s="178" t="n"/>
    </row>
    <row r="267" ht="15.75" customHeight="1">
      <c r="A267" s="554" t="n"/>
      <c r="B267" s="554" t="n"/>
      <c r="C267" s="554" t="n"/>
      <c r="D267" s="554" t="n"/>
      <c r="E267" s="445" t="inlineStr">
        <is>
          <t>Mohd - - Ahmad</t>
        </is>
      </c>
      <c r="F267" s="188" t="inlineStr">
        <is>
          <t>Soft Service</t>
        </is>
      </c>
      <c r="G267" s="193" t="inlineStr">
        <is>
          <t>R07515</t>
        </is>
      </c>
      <c r="H267" s="193" t="n">
        <v>2590401176</v>
      </c>
      <c r="I267" s="446" t="inlineStr">
        <is>
          <t>Approved</t>
        </is>
      </c>
      <c r="J267" s="220" t="n">
        <v>46208</v>
      </c>
      <c r="K267" s="193" t="inlineStr">
        <is>
          <t>MEHAN RENTAL</t>
        </is>
      </c>
      <c r="L267" s="45" t="inlineStr">
        <is>
          <t>-</t>
        </is>
      </c>
      <c r="N267" s="178" t="n"/>
      <c r="O267" s="178" t="n"/>
      <c r="P267" s="178" t="n"/>
      <c r="Q267" s="178" t="n"/>
      <c r="R267" s="178" t="n"/>
      <c r="S267" s="178" t="n"/>
      <c r="T267" s="178" t="n"/>
    </row>
    <row r="268" ht="15.75" customHeight="1">
      <c r="A268" s="554" t="n"/>
      <c r="B268" s="554" t="n"/>
      <c r="C268" s="554" t="n"/>
      <c r="D268" s="554" t="n"/>
      <c r="E268" s="445" t="inlineStr">
        <is>
          <t>Shabban - - Israil</t>
        </is>
      </c>
      <c r="F268" s="188" t="inlineStr">
        <is>
          <t>Soft Service</t>
        </is>
      </c>
      <c r="G268" s="193" t="inlineStr">
        <is>
          <t>R08890</t>
        </is>
      </c>
      <c r="H268" s="193" t="n">
        <v>2609033762</v>
      </c>
      <c r="I268" s="446" t="inlineStr">
        <is>
          <t>Approved</t>
        </is>
      </c>
      <c r="J268" s="220" t="n">
        <v>46208</v>
      </c>
      <c r="K268" s="193" t="inlineStr">
        <is>
          <t>MEHAN RENTAL</t>
        </is>
      </c>
      <c r="L268" s="45" t="inlineStr">
        <is>
          <t>-</t>
        </is>
      </c>
      <c r="N268" s="178" t="n"/>
      <c r="O268" s="178" t="n"/>
      <c r="P268" s="178" t="n"/>
      <c r="Q268" s="178" t="n"/>
      <c r="R268" s="178" t="n"/>
      <c r="S268" s="178" t="n"/>
      <c r="T268" s="178" t="n"/>
    </row>
    <row r="269" ht="15.75" customHeight="1">
      <c r="A269" s="554" t="n"/>
      <c r="B269" s="554" t="n"/>
      <c r="C269" s="554" t="n"/>
      <c r="D269" s="554" t="n"/>
      <c r="E269" s="445" t="inlineStr">
        <is>
          <t>Qayamuddin - - Islamuddin</t>
        </is>
      </c>
      <c r="F269" s="188" t="inlineStr">
        <is>
          <t>Soft Service</t>
        </is>
      </c>
      <c r="G269" s="193" t="inlineStr">
        <is>
          <t>R08549</t>
        </is>
      </c>
      <c r="H269" s="193" t="n">
        <v>2607220197</v>
      </c>
      <c r="I269" s="446" t="inlineStr">
        <is>
          <t>Approved</t>
        </is>
      </c>
      <c r="J269" s="220" t="n">
        <v>46208</v>
      </c>
      <c r="K269" s="193" t="inlineStr">
        <is>
          <t>MEHAN RENTAL</t>
        </is>
      </c>
      <c r="L269" s="45" t="inlineStr">
        <is>
          <t>-</t>
        </is>
      </c>
      <c r="N269" s="178" t="n"/>
      <c r="O269" s="178" t="n"/>
      <c r="P269" s="178" t="n"/>
      <c r="Q269" s="178" t="n"/>
      <c r="R269" s="178" t="n"/>
      <c r="S269" s="178" t="n"/>
      <c r="T269" s="178" t="n"/>
    </row>
    <row r="270" ht="15.75" customHeight="1">
      <c r="A270" s="554" t="n"/>
      <c r="B270" s="554" t="n"/>
      <c r="C270" s="554" t="n"/>
      <c r="D270" s="554" t="n"/>
      <c r="E270" s="445" t="inlineStr">
        <is>
          <t>Juber   Alam</t>
        </is>
      </c>
      <c r="F270" s="188" t="inlineStr">
        <is>
          <t>Soft Service</t>
        </is>
      </c>
      <c r="G270" s="193" t="inlineStr">
        <is>
          <t>R05213</t>
        </is>
      </c>
      <c r="H270" s="193" t="n">
        <v>2518629759</v>
      </c>
      <c r="I270" s="446" t="inlineStr">
        <is>
          <t>Approved</t>
        </is>
      </c>
      <c r="J270" s="220" t="n">
        <v>46208</v>
      </c>
      <c r="K270" s="193" t="inlineStr">
        <is>
          <t>MEHAN RENTAL</t>
        </is>
      </c>
      <c r="L270" s="45" t="inlineStr">
        <is>
          <t>-</t>
        </is>
      </c>
      <c r="N270" s="178" t="n"/>
      <c r="O270" s="178" t="n"/>
      <c r="P270" s="178" t="n"/>
      <c r="Q270" s="178" t="n"/>
      <c r="R270" s="178" t="n"/>
      <c r="S270" s="178" t="n"/>
      <c r="T270" s="178" t="n"/>
    </row>
    <row r="271" ht="15.75" customHeight="1">
      <c r="A271" s="554" t="n"/>
      <c r="B271" s="554" t="n"/>
      <c r="C271" s="554" t="n"/>
      <c r="D271" s="554" t="n"/>
      <c r="E271" s="445" t="inlineStr">
        <is>
          <t>Bandhu - - Sah</t>
        </is>
      </c>
      <c r="F271" s="188" t="inlineStr">
        <is>
          <t>Soft Service</t>
        </is>
      </c>
      <c r="G271" s="193" t="inlineStr">
        <is>
          <t>R07994</t>
        </is>
      </c>
      <c r="H271" s="193" t="n">
        <v>2597485651</v>
      </c>
      <c r="I271" s="446" t="inlineStr">
        <is>
          <t>Approved</t>
        </is>
      </c>
      <c r="J271" s="220" t="n">
        <v>46208</v>
      </c>
      <c r="K271" s="193" t="inlineStr">
        <is>
          <t>MEHAN RENTAL</t>
        </is>
      </c>
      <c r="L271" s="45" t="inlineStr">
        <is>
          <t>-</t>
        </is>
      </c>
      <c r="N271" s="178" t="n"/>
      <c r="O271" s="178" t="n"/>
      <c r="P271" s="178" t="n"/>
      <c r="Q271" s="178" t="n"/>
      <c r="R271" s="178" t="n"/>
      <c r="S271" s="178" t="n"/>
      <c r="T271" s="178" t="n"/>
    </row>
    <row r="272" ht="15.75" customHeight="1">
      <c r="A272" s="554" t="n"/>
      <c r="B272" s="554" t="n"/>
      <c r="C272" s="554" t="n"/>
      <c r="D272" s="554" t="n"/>
      <c r="E272" s="445" t="inlineStr">
        <is>
          <t>Salam - - Momin</t>
        </is>
      </c>
      <c r="F272" s="188" t="inlineStr">
        <is>
          <t>Soft Service</t>
        </is>
      </c>
      <c r="G272" s="193" t="inlineStr">
        <is>
          <t>R08595</t>
        </is>
      </c>
      <c r="H272" s="193" t="n">
        <v>2607738313</v>
      </c>
      <c r="I272" s="446" t="inlineStr">
        <is>
          <t>Approved</t>
        </is>
      </c>
      <c r="J272" s="220" t="n">
        <v>46208</v>
      </c>
      <c r="K272" s="193" t="inlineStr">
        <is>
          <t>MEHAN RENTAL</t>
        </is>
      </c>
      <c r="L272" s="45" t="inlineStr">
        <is>
          <t>-</t>
        </is>
      </c>
      <c r="N272" s="178" t="n"/>
      <c r="O272" s="178" t="n"/>
      <c r="P272" s="178" t="n"/>
      <c r="Q272" s="178" t="n"/>
      <c r="R272" s="178" t="n"/>
      <c r="S272" s="178" t="n"/>
      <c r="T272" s="178" t="n"/>
    </row>
    <row r="273" ht="15.75" customHeight="1">
      <c r="A273" s="554" t="n"/>
      <c r="B273" s="554" t="n"/>
      <c r="C273" s="554" t="n"/>
      <c r="D273" s="554" t="n"/>
      <c r="E273" s="445" t="inlineStr">
        <is>
          <t>HANIFA MD MAJIBUR - RAHMAN</t>
        </is>
      </c>
      <c r="F273" s="188" t="inlineStr">
        <is>
          <t>Soft Service</t>
        </is>
      </c>
      <c r="G273" s="228" t="inlineStr">
        <is>
          <t>L01871</t>
        </is>
      </c>
      <c r="H273" s="228" t="n">
        <v>2641899865</v>
      </c>
      <c r="I273" s="446" t="inlineStr">
        <is>
          <t>Approved</t>
        </is>
      </c>
      <c r="J273" s="220" t="n">
        <v>46232</v>
      </c>
      <c r="K273" s="193" t="inlineStr">
        <is>
          <t>MEHAN RENTAL</t>
        </is>
      </c>
      <c r="L273" s="45" t="inlineStr">
        <is>
          <t>-</t>
        </is>
      </c>
      <c r="N273" s="178" t="n"/>
      <c r="O273" s="178" t="n"/>
      <c r="P273" s="178" t="n"/>
      <c r="Q273" s="178" t="n"/>
      <c r="R273" s="178" t="n"/>
      <c r="S273" s="178" t="n"/>
      <c r="T273" s="178" t="n"/>
    </row>
    <row r="274" ht="15.75" customHeight="1">
      <c r="A274" s="554" t="n"/>
      <c r="B274" s="554" t="n"/>
      <c r="C274" s="554" t="n"/>
      <c r="D274" s="554" t="n"/>
      <c r="E274" s="445" t="inlineStr">
        <is>
          <t>Rajesh - - Yadav</t>
        </is>
      </c>
      <c r="F274" s="188" t="inlineStr">
        <is>
          <t>Soft Service</t>
        </is>
      </c>
      <c r="G274" s="193" t="inlineStr">
        <is>
          <t>R08207</t>
        </is>
      </c>
      <c r="H274" s="193" t="n">
        <v>2602951879</v>
      </c>
      <c r="I274" s="446" t="inlineStr">
        <is>
          <t>Approved</t>
        </is>
      </c>
      <c r="J274" s="220" t="n">
        <v>46208</v>
      </c>
      <c r="K274" s="193" t="inlineStr">
        <is>
          <t>MEHAN RENTAL</t>
        </is>
      </c>
      <c r="L274" s="45" t="inlineStr">
        <is>
          <t>-</t>
        </is>
      </c>
      <c r="N274" s="178" t="n"/>
      <c r="O274" s="178" t="n"/>
      <c r="P274" s="178" t="n"/>
      <c r="Q274" s="178" t="n"/>
      <c r="R274" s="178" t="n"/>
      <c r="S274" s="178" t="n"/>
      <c r="T274" s="178" t="n"/>
    </row>
    <row r="275" ht="15.75" customHeight="1">
      <c r="A275" s="554" t="n"/>
      <c r="B275" s="554" t="n"/>
      <c r="C275" s="554" t="n"/>
      <c r="D275" s="554" t="n"/>
      <c r="E275" s="445" t="inlineStr">
        <is>
          <t>Gokul Prasad - Gurung</t>
        </is>
      </c>
      <c r="F275" s="188" t="inlineStr">
        <is>
          <t>Soft Service</t>
        </is>
      </c>
      <c r="G275" s="193" t="inlineStr">
        <is>
          <t>R09102</t>
        </is>
      </c>
      <c r="H275" s="193" t="n">
        <v>2610429108</v>
      </c>
      <c r="I275" s="446" t="inlineStr">
        <is>
          <t>Approved</t>
        </is>
      </c>
      <c r="J275" s="220" t="n">
        <v>46208</v>
      </c>
      <c r="K275" s="193" t="inlineStr">
        <is>
          <t>MEHAN RENTAL</t>
        </is>
      </c>
      <c r="L275" s="45" t="inlineStr">
        <is>
          <t>-</t>
        </is>
      </c>
      <c r="N275" s="178" t="n"/>
      <c r="O275" s="178" t="n"/>
      <c r="P275" s="178" t="n"/>
      <c r="Q275" s="178" t="n"/>
      <c r="R275" s="178" t="n"/>
      <c r="S275" s="178" t="n"/>
      <c r="T275" s="178" t="n"/>
    </row>
    <row r="276" ht="15.75" customHeight="1">
      <c r="A276" s="554" t="n"/>
      <c r="B276" s="554" t="n"/>
      <c r="C276" s="554" t="n"/>
      <c r="D276" s="554" t="n"/>
      <c r="E276" s="445" t="inlineStr">
        <is>
          <t>Gopichandra Prasad - Sah</t>
        </is>
      </c>
      <c r="F276" s="188" t="inlineStr">
        <is>
          <t>Soft Service</t>
        </is>
      </c>
      <c r="G276" s="193" t="inlineStr">
        <is>
          <t>R09774</t>
        </is>
      </c>
      <c r="H276" s="193" t="n">
        <v>2619579473</v>
      </c>
      <c r="I276" s="446" t="inlineStr">
        <is>
          <t>Approved</t>
        </is>
      </c>
      <c r="J276" s="220" t="n">
        <v>46208</v>
      </c>
      <c r="K276" s="193" t="inlineStr">
        <is>
          <t>MEHAN RENTAL</t>
        </is>
      </c>
      <c r="L276" s="45" t="inlineStr">
        <is>
          <t>-</t>
        </is>
      </c>
      <c r="N276" s="178" t="n"/>
      <c r="O276" s="178" t="n"/>
      <c r="P276" s="178" t="n"/>
      <c r="Q276" s="178" t="n"/>
      <c r="R276" s="178" t="n"/>
      <c r="S276" s="178" t="n"/>
      <c r="T276" s="178" t="n"/>
    </row>
    <row r="277" ht="15.75" customHeight="1">
      <c r="A277" s="554" t="n"/>
      <c r="B277" s="554" t="n"/>
      <c r="C277" s="554" t="n"/>
      <c r="D277" s="554" t="n"/>
      <c r="E277" s="445" t="inlineStr">
        <is>
          <t>MD ABDUR - - ROHIM</t>
        </is>
      </c>
      <c r="F277" s="188" t="inlineStr">
        <is>
          <t>Soft Service</t>
        </is>
      </c>
      <c r="G277" s="228" t="inlineStr">
        <is>
          <t>L01872</t>
        </is>
      </c>
      <c r="H277" s="228" t="n">
        <v>2641899931</v>
      </c>
      <c r="I277" s="446" t="inlineStr">
        <is>
          <t>Approved</t>
        </is>
      </c>
      <c r="J277" s="220" t="n">
        <v>46232</v>
      </c>
      <c r="K277" s="193" t="inlineStr">
        <is>
          <t>MEHAN RENTAL</t>
        </is>
      </c>
      <c r="L277" s="45" t="inlineStr">
        <is>
          <t>-</t>
        </is>
      </c>
      <c r="N277" s="178" t="n"/>
      <c r="O277" s="178" t="n"/>
      <c r="P277" s="178" t="n"/>
      <c r="Q277" s="178" t="n"/>
      <c r="R277" s="178" t="n"/>
      <c r="S277" s="178" t="n"/>
      <c r="T277" s="178" t="n"/>
    </row>
    <row r="278" ht="15.75" customHeight="1">
      <c r="A278" s="554" t="n"/>
      <c r="B278" s="554" t="n"/>
      <c r="C278" s="554" t="n"/>
      <c r="D278" s="554" t="n"/>
      <c r="E278" s="445" t="inlineStr">
        <is>
          <t>Bijay Kumar - Raut</t>
        </is>
      </c>
      <c r="F278" s="188" t="inlineStr">
        <is>
          <t>Soft Service</t>
        </is>
      </c>
      <c r="G278" s="193" t="inlineStr">
        <is>
          <t>R09138</t>
        </is>
      </c>
      <c r="H278" s="193" t="n">
        <v>2610431328</v>
      </c>
      <c r="I278" s="446" t="inlineStr">
        <is>
          <t>Approved</t>
        </is>
      </c>
      <c r="J278" s="220" t="n">
        <v>46208</v>
      </c>
      <c r="K278" s="193" t="inlineStr">
        <is>
          <t>MEHAN RENTAL</t>
        </is>
      </c>
      <c r="L278" s="45" t="inlineStr">
        <is>
          <t>-</t>
        </is>
      </c>
      <c r="N278" s="178" t="n"/>
      <c r="O278" s="178" t="n"/>
      <c r="P278" s="178" t="n"/>
      <c r="Q278" s="178" t="n"/>
      <c r="R278" s="178" t="n"/>
      <c r="S278" s="178" t="n"/>
      <c r="T278" s="178" t="n"/>
    </row>
    <row r="279" ht="15.75" customHeight="1">
      <c r="A279" s="554" t="n"/>
      <c r="B279" s="554" t="n"/>
      <c r="C279" s="554" t="n"/>
      <c r="D279" s="554" t="n"/>
      <c r="E279" s="445" t="inlineStr">
        <is>
          <t>Abdul Rashid Gulam Hussain</t>
        </is>
      </c>
      <c r="F279" s="188" t="inlineStr">
        <is>
          <t>Soft Service</t>
        </is>
      </c>
      <c r="G279" s="193" t="inlineStr">
        <is>
          <t>R09497</t>
        </is>
      </c>
      <c r="H279" s="193" t="n">
        <v>2615122476</v>
      </c>
      <c r="I279" s="446" t="inlineStr">
        <is>
          <t>Approved</t>
        </is>
      </c>
      <c r="J279" s="220" t="n">
        <v>46208</v>
      </c>
      <c r="K279" s="193" t="inlineStr">
        <is>
          <t>MEHAN RENTAL</t>
        </is>
      </c>
      <c r="L279" s="45" t="inlineStr">
        <is>
          <t>-</t>
        </is>
      </c>
      <c r="N279" s="178" t="n"/>
      <c r="O279" s="178" t="n"/>
      <c r="P279" s="178" t="n"/>
      <c r="Q279" s="178" t="n"/>
      <c r="R279" s="178" t="n"/>
      <c r="S279" s="178" t="n"/>
      <c r="T279" s="178" t="n"/>
    </row>
    <row r="280" ht="15.75" customHeight="1">
      <c r="A280" s="554" t="n"/>
      <c r="B280" s="554" t="n"/>
      <c r="C280" s="554" t="n"/>
      <c r="D280" s="554" t="n"/>
      <c r="E280" s="445" t="inlineStr">
        <is>
          <t>MD SHOHEL</t>
        </is>
      </c>
      <c r="F280" s="188" t="n"/>
      <c r="G280" s="193" t="inlineStr">
        <is>
          <t>EM-0004120</t>
        </is>
      </c>
      <c r="H280" s="193" t="inlineStr">
        <is>
          <t>2643066851</t>
        </is>
      </c>
      <c r="I280" s="446" t="inlineStr">
        <is>
          <t>Approved</t>
        </is>
      </c>
      <c r="J280" s="220" t="inlineStr">
        <is>
          <t>2026-08-15 00:00:00</t>
        </is>
      </c>
      <c r="K280" s="193" t="inlineStr">
        <is>
          <t>AL-FALAK VISA</t>
        </is>
      </c>
      <c r="L280" s="45" t="n"/>
      <c r="N280" s="178" t="n"/>
      <c r="O280" s="178" t="n"/>
      <c r="P280" s="178" t="n"/>
      <c r="Q280" s="178" t="n"/>
      <c r="R280" s="178" t="n"/>
      <c r="S280" s="178" t="n"/>
      <c r="T280" s="178" t="n"/>
    </row>
    <row r="281" ht="15.75" customHeight="1">
      <c r="A281" s="554" t="n"/>
      <c r="B281" s="554" t="n"/>
      <c r="C281" s="554" t="n"/>
      <c r="D281" s="554" t="n"/>
      <c r="E281" s="445" t="inlineStr">
        <is>
          <t>Md Joy Shah</t>
        </is>
      </c>
      <c r="F281" s="188" t="inlineStr">
        <is>
          <t>Soft Service</t>
        </is>
      </c>
      <c r="G281" s="193" t="inlineStr">
        <is>
          <t>-</t>
        </is>
      </c>
      <c r="H281" s="193" t="n">
        <v>2619123546</v>
      </c>
      <c r="I281" s="446" t="inlineStr">
        <is>
          <t>Approved</t>
        </is>
      </c>
      <c r="J281" s="220" t="n">
        <v>46208</v>
      </c>
      <c r="K281" s="193" t="inlineStr">
        <is>
          <t>AB-HOOR</t>
        </is>
      </c>
      <c r="L281" s="45" t="inlineStr">
        <is>
          <t>-</t>
        </is>
      </c>
      <c r="N281" s="178" t="n"/>
      <c r="O281" s="178" t="n"/>
      <c r="P281" s="178" t="n"/>
      <c r="Q281" s="178" t="n"/>
      <c r="R281" s="178" t="n"/>
      <c r="S281" s="178" t="n"/>
      <c r="T281" s="178" t="n"/>
    </row>
    <row r="282" ht="15.75" customHeight="1">
      <c r="A282" s="553" t="n"/>
      <c r="B282" s="553" t="n"/>
      <c r="C282" s="553" t="n"/>
      <c r="D282" s="553" t="n"/>
      <c r="E282" s="445" t="n"/>
      <c r="F282" s="188" t="n"/>
      <c r="G282" s="193" t="n"/>
      <c r="H282" s="193" t="n"/>
      <c r="I282" s="446" t="inlineStr">
        <is>
          <t>Vacant</t>
        </is>
      </c>
      <c r="J282" s="220" t="n"/>
      <c r="K282" s="193" t="n"/>
      <c r="L282" s="45" t="n"/>
      <c r="N282" s="178" t="n"/>
      <c r="O282" s="178" t="n"/>
      <c r="P282" s="178" t="n"/>
      <c r="Q282" s="178" t="n"/>
      <c r="R282" s="178" t="n"/>
      <c r="S282" s="178" t="n"/>
      <c r="T282" s="178" t="n"/>
    </row>
    <row r="283" ht="15.75" customHeight="1">
      <c r="A283" s="429" t="inlineStr">
        <is>
          <t>Litter Picker Supervisor</t>
        </is>
      </c>
      <c r="B283" s="429" t="n">
        <v>2</v>
      </c>
      <c r="C283" s="429">
        <f>COUNTIF(E283:E284,"&lt;&gt;")</f>
        <v/>
      </c>
      <c r="D283" s="430">
        <f>C283-B283</f>
        <v/>
      </c>
      <c r="E283" s="187" t="n"/>
      <c r="F283" s="188" t="inlineStr">
        <is>
          <t>Soft Service</t>
        </is>
      </c>
      <c r="G283" s="91" t="inlineStr">
        <is>
          <t>-</t>
        </is>
      </c>
      <c r="H283" s="445" t="inlineStr">
        <is>
          <t>-</t>
        </is>
      </c>
      <c r="I283" s="446" t="inlineStr">
        <is>
          <t>Vacant</t>
        </is>
      </c>
      <c r="J283" s="552" t="n"/>
      <c r="K283" s="446" t="inlineStr">
        <is>
          <t>-</t>
        </is>
      </c>
      <c r="L283" s="45" t="inlineStr">
        <is>
          <t>-</t>
        </is>
      </c>
      <c r="N283" s="178" t="n"/>
      <c r="O283" s="178" t="n"/>
      <c r="P283" s="178" t="n"/>
      <c r="Q283" s="178" t="n"/>
      <c r="R283" s="178" t="n"/>
      <c r="S283" s="178" t="n"/>
      <c r="T283" s="178" t="n"/>
    </row>
    <row r="284" ht="15.75" customHeight="1">
      <c r="A284" s="553" t="n"/>
      <c r="B284" s="553" t="n"/>
      <c r="C284" s="553" t="n"/>
      <c r="D284" s="553" t="n"/>
      <c r="E284" s="187" t="n"/>
      <c r="F284" s="188" t="inlineStr">
        <is>
          <t>Soft Service</t>
        </is>
      </c>
      <c r="G284" s="91" t="inlineStr">
        <is>
          <t>-</t>
        </is>
      </c>
      <c r="H284" s="445" t="inlineStr">
        <is>
          <t>-</t>
        </is>
      </c>
      <c r="I284" s="446" t="inlineStr">
        <is>
          <t>Vacant</t>
        </is>
      </c>
      <c r="J284" s="552" t="n"/>
      <c r="K284" s="446" t="inlineStr">
        <is>
          <t>-</t>
        </is>
      </c>
      <c r="L284" s="45" t="inlineStr">
        <is>
          <t>-</t>
        </is>
      </c>
      <c r="N284" s="178" t="n"/>
      <c r="O284" s="178" t="n"/>
      <c r="P284" s="178" t="n"/>
      <c r="Q284" s="178" t="n"/>
      <c r="R284" s="178" t="n"/>
      <c r="S284" s="178" t="n"/>
      <c r="T284" s="178" t="n"/>
    </row>
    <row r="285" ht="15.75" customHeight="1">
      <c r="A285" s="429" t="inlineStr">
        <is>
          <t xml:space="preserve">Litter Picker </t>
        </is>
      </c>
      <c r="B285" s="429" t="n">
        <v>10</v>
      </c>
      <c r="C285" s="429">
        <f>COUNTIF(E285:E294,"&lt;&gt;")</f>
        <v/>
      </c>
      <c r="D285" s="429">
        <f>C285-B285</f>
        <v/>
      </c>
      <c r="E285" s="445" t="inlineStr">
        <is>
          <t>Md Hasan</t>
        </is>
      </c>
      <c r="F285" s="188" t="inlineStr">
        <is>
          <t>Soft Service</t>
        </is>
      </c>
      <c r="G285" s="91" t="n">
        <v>1276</v>
      </c>
      <c r="H285" s="445" t="n">
        <v>2598518989</v>
      </c>
      <c r="I285" s="446" t="inlineStr">
        <is>
          <t>Approved</t>
        </is>
      </c>
      <c r="J285" s="551" t="n">
        <v>45769</v>
      </c>
      <c r="K285" s="446" t="inlineStr">
        <is>
          <t>UCC( RENTAL)</t>
        </is>
      </c>
      <c r="L285" s="45" t="inlineStr">
        <is>
          <t>-</t>
        </is>
      </c>
      <c r="N285" s="178" t="n"/>
      <c r="O285" s="178" t="n"/>
      <c r="P285" s="178" t="n"/>
      <c r="Q285" s="178" t="n"/>
      <c r="R285" s="178" t="n"/>
      <c r="S285" s="178" t="n"/>
      <c r="T285" s="178" t="n"/>
    </row>
    <row r="286" ht="15.75" customHeight="1">
      <c r="A286" s="554" t="n"/>
      <c r="B286" s="554" t="n"/>
      <c r="C286" s="554" t="n"/>
      <c r="D286" s="554" t="n"/>
      <c r="E286" s="445" t="inlineStr">
        <is>
          <t>Salik Ram Prithi Pal</t>
        </is>
      </c>
      <c r="F286" s="188" t="inlineStr">
        <is>
          <t>Soft Service</t>
        </is>
      </c>
      <c r="G286" s="91" t="inlineStr">
        <is>
          <t>R01238</t>
        </is>
      </c>
      <c r="H286" s="445" t="n">
        <v>2468487299</v>
      </c>
      <c r="I286" s="446" t="inlineStr">
        <is>
          <t>Approved</t>
        </is>
      </c>
      <c r="J286" s="551" t="n">
        <v>45702</v>
      </c>
      <c r="K286" s="446" t="inlineStr">
        <is>
          <t>MEHAN (RENTAL)</t>
        </is>
      </c>
      <c r="L286" s="45" t="inlineStr">
        <is>
          <t>-</t>
        </is>
      </c>
      <c r="N286" s="178" t="n"/>
      <c r="O286" s="178" t="n"/>
      <c r="P286" s="178" t="n"/>
      <c r="Q286" s="178" t="n"/>
      <c r="R286" s="178" t="n"/>
      <c r="S286" s="178" t="n"/>
      <c r="T286" s="178" t="n"/>
    </row>
    <row r="287" ht="15.75" customHeight="1">
      <c r="A287" s="554" t="n"/>
      <c r="B287" s="554" t="n"/>
      <c r="C287" s="554" t="n"/>
      <c r="D287" s="554" t="n"/>
      <c r="E287" s="445" t="inlineStr">
        <is>
          <t>Md Sagor Ali</t>
        </is>
      </c>
      <c r="F287" s="188" t="inlineStr">
        <is>
          <t>Soft Service</t>
        </is>
      </c>
      <c r="G287" s="91" t="inlineStr">
        <is>
          <t>-</t>
        </is>
      </c>
      <c r="H287" s="445" t="n">
        <v>2624253148</v>
      </c>
      <c r="I287" s="446" t="inlineStr">
        <is>
          <t>Approved</t>
        </is>
      </c>
      <c r="J287" s="551" t="n">
        <v>46025</v>
      </c>
      <c r="K287" s="446" t="inlineStr">
        <is>
          <t>SCC ( RENTAL )</t>
        </is>
      </c>
      <c r="L287" s="45" t="inlineStr">
        <is>
          <t>-</t>
        </is>
      </c>
      <c r="N287" s="178" t="n"/>
      <c r="O287" s="178" t="n"/>
      <c r="P287" s="178" t="n"/>
      <c r="Q287" s="178" t="n"/>
      <c r="R287" s="178" t="n"/>
      <c r="S287" s="178" t="n"/>
      <c r="T287" s="178" t="n"/>
    </row>
    <row r="288" ht="15.75" customHeight="1">
      <c r="A288" s="554" t="n"/>
      <c r="B288" s="554" t="n"/>
      <c r="C288" s="554" t="n"/>
      <c r="D288" s="554" t="n"/>
      <c r="E288" s="445" t="inlineStr">
        <is>
          <t>Upman Hanoman</t>
        </is>
      </c>
      <c r="F288" s="188" t="inlineStr">
        <is>
          <t>Soft Service</t>
        </is>
      </c>
      <c r="G288" s="91" t="inlineStr">
        <is>
          <t>R09495</t>
        </is>
      </c>
      <c r="H288" s="445" t="n">
        <v>2615122153</v>
      </c>
      <c r="I288" s="446" t="inlineStr">
        <is>
          <t>Approved</t>
        </is>
      </c>
      <c r="J288" s="552" t="n"/>
      <c r="K288" s="446" t="inlineStr">
        <is>
          <t>MEHAN RENTAL</t>
        </is>
      </c>
      <c r="L288" s="45" t="inlineStr">
        <is>
          <t>-</t>
        </is>
      </c>
      <c r="N288" s="178" t="n"/>
      <c r="O288" s="178" t="n"/>
      <c r="P288" s="178" t="n"/>
      <c r="Q288" s="178" t="n"/>
      <c r="R288" s="178" t="n"/>
      <c r="S288" s="178" t="n"/>
      <c r="T288" s="178" t="n"/>
    </row>
    <row r="289" ht="15.75" customHeight="1">
      <c r="A289" s="554" t="n"/>
      <c r="B289" s="554" t="n"/>
      <c r="C289" s="554" t="n"/>
      <c r="D289" s="554" t="n"/>
      <c r="E289" s="445" t="inlineStr">
        <is>
          <t>MD JONY</t>
        </is>
      </c>
      <c r="F289" s="188" t="inlineStr">
        <is>
          <t>Soft Service</t>
        </is>
      </c>
      <c r="G289" s="91" t="inlineStr">
        <is>
          <t>-</t>
        </is>
      </c>
      <c r="H289" s="217" t="n">
        <v>2621897475</v>
      </c>
      <c r="I289" s="446" t="inlineStr">
        <is>
          <t>Approved</t>
        </is>
      </c>
      <c r="J289" s="552" t="n"/>
      <c r="K289" s="446" t="inlineStr">
        <is>
          <t>SCC ( RENTAL )</t>
        </is>
      </c>
      <c r="L289" s="45" t="inlineStr">
        <is>
          <t>-</t>
        </is>
      </c>
      <c r="N289" s="178" t="n"/>
      <c r="O289" s="178" t="n"/>
      <c r="P289" s="178" t="n"/>
      <c r="Q289" s="178" t="n"/>
      <c r="R289" s="178" t="n"/>
      <c r="S289" s="178" t="n"/>
      <c r="T289" s="178" t="n"/>
    </row>
    <row r="290" ht="15.75" customHeight="1">
      <c r="A290" s="554" t="n"/>
      <c r="B290" s="554" t="n"/>
      <c r="C290" s="554" t="n"/>
      <c r="D290" s="554" t="n"/>
      <c r="E290" s="445" t="inlineStr">
        <is>
          <t>MAHMAD - - IBRAHIM</t>
        </is>
      </c>
      <c r="F290" s="188" t="inlineStr">
        <is>
          <t>Soft Service</t>
        </is>
      </c>
      <c r="G290" s="228" t="inlineStr">
        <is>
          <t>R09602</t>
        </is>
      </c>
      <c r="H290" s="228" t="n">
        <v>2616698979</v>
      </c>
      <c r="I290" s="446" t="inlineStr">
        <is>
          <t>Approved</t>
        </is>
      </c>
      <c r="J290" s="552" t="n"/>
      <c r="K290" s="446" t="inlineStr">
        <is>
          <t>MEHAN RENTAL</t>
        </is>
      </c>
      <c r="L290" s="45" t="inlineStr">
        <is>
          <t>-</t>
        </is>
      </c>
      <c r="N290" s="178" t="n"/>
      <c r="O290" s="178" t="n"/>
      <c r="P290" s="178" t="n"/>
      <c r="Q290" s="178" t="n"/>
      <c r="R290" s="178" t="n"/>
      <c r="S290" s="178" t="n"/>
      <c r="T290" s="178" t="n"/>
    </row>
    <row r="291" ht="15.75" customHeight="1">
      <c r="A291" s="554" t="n"/>
      <c r="B291" s="554" t="n"/>
      <c r="C291" s="554" t="n"/>
      <c r="D291" s="554" t="n"/>
      <c r="E291" s="445" t="inlineStr">
        <is>
          <t>SAROJ - - YADAV</t>
        </is>
      </c>
      <c r="F291" s="188" t="inlineStr">
        <is>
          <t>Soft Service</t>
        </is>
      </c>
      <c r="G291" s="228" t="inlineStr">
        <is>
          <t>R06294</t>
        </is>
      </c>
      <c r="H291" s="228" t="n">
        <v>2560181980</v>
      </c>
      <c r="I291" s="446" t="inlineStr">
        <is>
          <t>Approved</t>
        </is>
      </c>
      <c r="J291" s="552" t="n"/>
      <c r="K291" s="446" t="inlineStr">
        <is>
          <t>MEHAN RENTAL</t>
        </is>
      </c>
      <c r="L291" s="45" t="inlineStr">
        <is>
          <t>-</t>
        </is>
      </c>
      <c r="N291" s="178" t="n"/>
      <c r="O291" s="178" t="n"/>
      <c r="P291" s="178" t="n"/>
      <c r="Q291" s="178" t="n"/>
      <c r="R291" s="178" t="n"/>
      <c r="S291" s="178" t="n"/>
      <c r="T291" s="178" t="n"/>
    </row>
    <row r="292" ht="15.75" customHeight="1">
      <c r="A292" s="554" t="n"/>
      <c r="B292" s="554" t="n"/>
      <c r="C292" s="554" t="n"/>
      <c r="D292" s="554" t="n"/>
      <c r="E292" s="445" t="inlineStr">
        <is>
          <t>ASHOK KUMAR - BAITHA</t>
        </is>
      </c>
      <c r="F292" s="188" t="inlineStr">
        <is>
          <t>Soft Service</t>
        </is>
      </c>
      <c r="G292" s="228" t="inlineStr">
        <is>
          <t>R06415</t>
        </is>
      </c>
      <c r="H292" s="228" t="n">
        <v>2562766762</v>
      </c>
      <c r="I292" s="446" t="inlineStr">
        <is>
          <t>Approved</t>
        </is>
      </c>
      <c r="J292" s="552" t="n"/>
      <c r="K292" s="446" t="inlineStr">
        <is>
          <t>MEHAN RENTAL</t>
        </is>
      </c>
      <c r="L292" s="45" t="inlineStr">
        <is>
          <t>-</t>
        </is>
      </c>
      <c r="N292" s="178" t="n"/>
      <c r="O292" s="178" t="n"/>
      <c r="P292" s="178" t="n"/>
      <c r="Q292" s="178" t="n"/>
      <c r="R292" s="178" t="n"/>
      <c r="S292" s="178" t="n"/>
      <c r="T292" s="178" t="n"/>
    </row>
    <row r="293" ht="15.75" customHeight="1">
      <c r="A293" s="554" t="n"/>
      <c r="B293" s="554" t="n"/>
      <c r="C293" s="554" t="n"/>
      <c r="D293" s="554" t="n"/>
      <c r="E293" s="445" t="inlineStr">
        <is>
          <t>NABI AHAMAD MOHD MURSALIN</t>
        </is>
      </c>
      <c r="F293" s="188" t="inlineStr">
        <is>
          <t>Soft Service</t>
        </is>
      </c>
      <c r="G293" s="228" t="inlineStr">
        <is>
          <t>R04781</t>
        </is>
      </c>
      <c r="H293" s="228" t="n">
        <v>2517996738</v>
      </c>
      <c r="I293" s="446" t="inlineStr">
        <is>
          <t>Approved</t>
        </is>
      </c>
      <c r="J293" s="552" t="n"/>
      <c r="K293" s="446" t="inlineStr">
        <is>
          <t>MEHAN RENTAL</t>
        </is>
      </c>
      <c r="L293" s="45" t="inlineStr">
        <is>
          <t>-</t>
        </is>
      </c>
      <c r="N293" s="178" t="n"/>
      <c r="O293" s="178" t="n"/>
      <c r="P293" s="178" t="n"/>
      <c r="Q293" s="178" t="n"/>
      <c r="R293" s="178" t="n"/>
      <c r="S293" s="178" t="n"/>
      <c r="T293" s="178" t="n"/>
    </row>
    <row r="294" ht="15.75" customHeight="1">
      <c r="A294" s="553" t="n"/>
      <c r="B294" s="553" t="n"/>
      <c r="C294" s="553" t="n"/>
      <c r="D294" s="553" t="n"/>
      <c r="E294" s="445" t="inlineStr">
        <is>
          <t>NAB RAJ - BUDHATHOKI</t>
        </is>
      </c>
      <c r="F294" s="188" t="inlineStr">
        <is>
          <t>Soft Service</t>
        </is>
      </c>
      <c r="G294" s="228" t="inlineStr">
        <is>
          <t>R08024</t>
        </is>
      </c>
      <c r="H294" s="228" t="n">
        <v>2598080717</v>
      </c>
      <c r="I294" s="446" t="inlineStr">
        <is>
          <t>Approved</t>
        </is>
      </c>
      <c r="J294" s="552" t="n"/>
      <c r="K294" s="446" t="inlineStr">
        <is>
          <t>MEHAN RENTAL</t>
        </is>
      </c>
      <c r="L294" s="45" t="inlineStr">
        <is>
          <t>-</t>
        </is>
      </c>
      <c r="N294" s="178" t="n"/>
      <c r="O294" s="178" t="n"/>
      <c r="P294" s="178" t="n"/>
      <c r="Q294" s="178" t="n"/>
      <c r="R294" s="178" t="n"/>
      <c r="S294" s="178" t="n"/>
      <c r="T294" s="178" t="n"/>
    </row>
    <row r="295" ht="15.75" customHeight="1">
      <c r="A295" s="429" t="inlineStr">
        <is>
          <t>Road Sweeper Driver</t>
        </is>
      </c>
      <c r="B295" s="429" t="n">
        <v>1</v>
      </c>
      <c r="C295" s="429">
        <f>COUNTIF(E295,"&lt;&gt;")</f>
        <v/>
      </c>
      <c r="D295" s="436">
        <f>C295-B295</f>
        <v/>
      </c>
      <c r="E295" s="445" t="inlineStr">
        <is>
          <t>Aqib Nawaz</t>
        </is>
      </c>
      <c r="F295" s="188" t="inlineStr">
        <is>
          <t>Soft Service</t>
        </is>
      </c>
      <c r="G295" s="91" t="inlineStr">
        <is>
          <t>-</t>
        </is>
      </c>
      <c r="H295" s="445" t="n">
        <v>2638443768</v>
      </c>
      <c r="I295" s="446" t="inlineStr">
        <is>
          <t>Approved</t>
        </is>
      </c>
      <c r="J295" s="551" t="n">
        <v>46219</v>
      </c>
      <c r="K295" s="446" t="inlineStr">
        <is>
          <t>AL-FALAK VISA</t>
        </is>
      </c>
      <c r="L295" s="45" t="inlineStr">
        <is>
          <t>-</t>
        </is>
      </c>
      <c r="N295" s="178" t="n"/>
      <c r="O295" s="178" t="n"/>
      <c r="P295" s="178" t="n"/>
      <c r="Q295" s="178" t="n"/>
      <c r="R295" s="178" t="n"/>
      <c r="S295" s="178" t="n"/>
      <c r="T295" s="178" t="n"/>
    </row>
    <row r="296" ht="15.75" customHeight="1">
      <c r="A296" s="429" t="inlineStr">
        <is>
          <t>Barber</t>
        </is>
      </c>
      <c r="B296" s="429" t="n">
        <v>4</v>
      </c>
      <c r="C296" s="429">
        <f>COUNTIF(E296:E299,"&lt;&gt;")</f>
        <v/>
      </c>
      <c r="D296" s="429">
        <f>C296-B296</f>
        <v/>
      </c>
      <c r="E296" s="445" t="inlineStr">
        <is>
          <t>Khalid Suleman</t>
        </is>
      </c>
      <c r="F296" s="188" t="inlineStr">
        <is>
          <t>Soft Service</t>
        </is>
      </c>
      <c r="G296" s="91" t="inlineStr">
        <is>
          <t>C00936</t>
        </is>
      </c>
      <c r="H296" s="445" t="n">
        <v>2600062489</v>
      </c>
      <c r="I296" s="446" t="inlineStr">
        <is>
          <t>Approved</t>
        </is>
      </c>
      <c r="J296" s="551" t="n">
        <v>45757</v>
      </c>
      <c r="K296" s="446" t="inlineStr">
        <is>
          <t>MEHAN VISA</t>
        </is>
      </c>
      <c r="L296" s="45" t="inlineStr">
        <is>
          <t>-</t>
        </is>
      </c>
      <c r="N296" s="178" t="n"/>
      <c r="O296" s="178" t="n"/>
      <c r="P296" s="178" t="n"/>
      <c r="Q296" s="178" t="n"/>
      <c r="R296" s="178" t="n"/>
      <c r="S296" s="178" t="n"/>
      <c r="T296" s="178" t="n"/>
    </row>
    <row r="297" ht="15.75" customHeight="1">
      <c r="A297" s="554" t="n"/>
      <c r="B297" s="554" t="n"/>
      <c r="C297" s="554" t="n"/>
      <c r="D297" s="554" t="n"/>
      <c r="E297" s="445" t="inlineStr">
        <is>
          <t>Waseem Akram</t>
        </is>
      </c>
      <c r="F297" s="188" t="inlineStr">
        <is>
          <t>Soft Service</t>
        </is>
      </c>
      <c r="G297" s="91" t="inlineStr">
        <is>
          <t>C01341</t>
        </is>
      </c>
      <c r="H297" s="445" t="n">
        <v>2616698003</v>
      </c>
      <c r="I297" s="446" t="inlineStr">
        <is>
          <t>Approved</t>
        </is>
      </c>
      <c r="J297" s="551" t="n">
        <v>45954</v>
      </c>
      <c r="K297" s="446" t="inlineStr">
        <is>
          <t>MEHAN VISA</t>
        </is>
      </c>
      <c r="L297" s="45" t="inlineStr">
        <is>
          <t>-</t>
        </is>
      </c>
      <c r="N297" s="178" t="n"/>
      <c r="O297" s="178" t="n"/>
      <c r="P297" s="178" t="n"/>
      <c r="Q297" s="178" t="n"/>
      <c r="R297" s="178" t="n"/>
      <c r="S297" s="178" t="n"/>
      <c r="T297" s="178" t="n"/>
    </row>
    <row r="298" ht="15.75" customHeight="1">
      <c r="A298" s="554" t="n"/>
      <c r="B298" s="554" t="n"/>
      <c r="C298" s="554" t="n"/>
      <c r="D298" s="554" t="n"/>
      <c r="E298" s="445" t="inlineStr">
        <is>
          <t>Sarfaraz Ahmad</t>
        </is>
      </c>
      <c r="F298" s="188" t="inlineStr">
        <is>
          <t>Soft Service</t>
        </is>
      </c>
      <c r="G298" s="229" t="inlineStr">
        <is>
          <t>EM-0003033</t>
        </is>
      </c>
      <c r="H298" s="212" t="n">
        <v>2617053547</v>
      </c>
      <c r="I298" s="446" t="inlineStr">
        <is>
          <t>Approved</t>
        </is>
      </c>
      <c r="J298" s="551" t="n">
        <v>45954</v>
      </c>
      <c r="K298" s="446" t="inlineStr">
        <is>
          <t>AL-FALAK VISA</t>
        </is>
      </c>
      <c r="L298" s="45" t="inlineStr">
        <is>
          <t>-</t>
        </is>
      </c>
      <c r="N298" s="178" t="n"/>
      <c r="O298" s="178" t="n"/>
      <c r="P298" s="178" t="n"/>
      <c r="Q298" s="178" t="n"/>
      <c r="R298" s="178" t="n"/>
      <c r="S298" s="178" t="n"/>
      <c r="T298" s="178" t="n"/>
    </row>
    <row r="299" ht="15.75" customHeight="1">
      <c r="A299" s="553" t="n"/>
      <c r="B299" s="553" t="n"/>
      <c r="C299" s="553" t="n"/>
      <c r="D299" s="553" t="n"/>
      <c r="E299" s="187" t="n"/>
      <c r="F299" s="188" t="inlineStr">
        <is>
          <t>Soft Service</t>
        </is>
      </c>
      <c r="G299" s="91" t="inlineStr">
        <is>
          <t>-</t>
        </is>
      </c>
      <c r="H299" s="445" t="inlineStr">
        <is>
          <t>-</t>
        </is>
      </c>
      <c r="I299" s="446" t="inlineStr">
        <is>
          <t>Vacant</t>
        </is>
      </c>
      <c r="J299" s="552" t="n"/>
      <c r="K299" s="446" t="inlineStr">
        <is>
          <t>-</t>
        </is>
      </c>
      <c r="L299" s="45" t="inlineStr">
        <is>
          <t>-</t>
        </is>
      </c>
      <c r="N299" s="178" t="n"/>
      <c r="O299" s="178" t="n"/>
      <c r="P299" s="178" t="n"/>
      <c r="Q299" s="178" t="n"/>
      <c r="R299" s="178" t="n"/>
      <c r="S299" s="178" t="n"/>
      <c r="T299" s="178" t="n"/>
    </row>
    <row r="300" ht="15.75" customHeight="1">
      <c r="A300" s="429" t="inlineStr">
        <is>
          <t>Landscaping Supervisor</t>
        </is>
      </c>
      <c r="B300" s="429" t="n">
        <v>2</v>
      </c>
      <c r="C300" s="429">
        <f>COUNTIF(E300:E301,"&lt;&gt;")</f>
        <v/>
      </c>
      <c r="D300" s="430">
        <f>C300-B300</f>
        <v/>
      </c>
      <c r="E300" s="445" t="inlineStr">
        <is>
          <t xml:space="preserve">Sourav Chatterjee </t>
        </is>
      </c>
      <c r="F300" s="188" t="inlineStr">
        <is>
          <t>Soft Service</t>
        </is>
      </c>
      <c r="G300" s="91" t="inlineStr">
        <is>
          <t>EM-0003022</t>
        </is>
      </c>
      <c r="H300" s="445" t="n">
        <v>2617053299</v>
      </c>
      <c r="I300" s="446" t="inlineStr">
        <is>
          <t>Approved</t>
        </is>
      </c>
      <c r="J300" s="551" t="n">
        <v>45954</v>
      </c>
      <c r="K300" s="446" t="inlineStr">
        <is>
          <t>AL-FALAK VISA</t>
        </is>
      </c>
      <c r="L300" s="45" t="inlineStr">
        <is>
          <t>-</t>
        </is>
      </c>
      <c r="N300" s="178" t="n"/>
      <c r="O300" s="178" t="n"/>
      <c r="P300" s="178" t="n"/>
      <c r="Q300" s="178" t="n"/>
      <c r="R300" s="178" t="n"/>
      <c r="S300" s="178" t="n"/>
      <c r="T300" s="178" t="n"/>
    </row>
    <row r="301" ht="15.75" customHeight="1">
      <c r="A301" s="553" t="n"/>
      <c r="B301" s="553" t="n"/>
      <c r="C301" s="553" t="n"/>
      <c r="D301" s="553" t="n"/>
      <c r="E301" s="187" t="n"/>
      <c r="F301" s="188" t="inlineStr">
        <is>
          <t>Soft Service</t>
        </is>
      </c>
      <c r="G301" s="91" t="inlineStr">
        <is>
          <t>-</t>
        </is>
      </c>
      <c r="H301" s="445" t="inlineStr">
        <is>
          <t>-</t>
        </is>
      </c>
      <c r="I301" s="446" t="inlineStr">
        <is>
          <t>Vacant</t>
        </is>
      </c>
      <c r="J301" s="552" t="n"/>
      <c r="K301" s="446" t="inlineStr">
        <is>
          <t>-</t>
        </is>
      </c>
      <c r="L301" s="45" t="inlineStr">
        <is>
          <t>-</t>
        </is>
      </c>
      <c r="N301" s="178" t="n"/>
      <c r="O301" s="178" t="n"/>
      <c r="P301" s="178" t="n"/>
      <c r="Q301" s="178" t="n"/>
      <c r="R301" s="178" t="n"/>
      <c r="S301" s="178" t="n"/>
      <c r="T301" s="178" t="n"/>
    </row>
    <row r="302" ht="15.75" customHeight="1">
      <c r="A302" s="429" t="inlineStr">
        <is>
          <t>Irigation Technician</t>
        </is>
      </c>
      <c r="B302" s="429" t="n">
        <v>2</v>
      </c>
      <c r="C302" s="429">
        <f>COUNTIF(E302:E303,"&lt;&gt;")</f>
        <v/>
      </c>
      <c r="D302" s="430">
        <f>C302-B302</f>
        <v/>
      </c>
      <c r="E302" s="452" t="inlineStr">
        <is>
          <t>Md Kamrul Hasan Tota Mia</t>
        </is>
      </c>
      <c r="F302" s="266" t="inlineStr">
        <is>
          <t>HARD SERVICE</t>
        </is>
      </c>
      <c r="G302" s="267" t="inlineStr">
        <is>
          <t>-</t>
        </is>
      </c>
      <c r="H302" s="267" t="n">
        <v>2633409327</v>
      </c>
      <c r="I302" s="446" t="inlineStr">
        <is>
          <t>Approved</t>
        </is>
      </c>
      <c r="J302" s="580" t="n"/>
      <c r="K302" s="235" t="inlineStr">
        <is>
          <t xml:space="preserve">RAMZ </t>
        </is>
      </c>
      <c r="L302" s="45" t="inlineStr">
        <is>
          <t>-</t>
        </is>
      </c>
      <c r="N302" s="178" t="n"/>
      <c r="O302" s="178" t="n"/>
      <c r="P302" s="178" t="n"/>
      <c r="Q302" s="178" t="n"/>
      <c r="R302" s="178" t="n"/>
      <c r="S302" s="178" t="n"/>
      <c r="T302" s="178" t="n"/>
    </row>
    <row r="303" ht="15.75" customHeight="1">
      <c r="A303" s="553" t="n"/>
      <c r="B303" s="553" t="n"/>
      <c r="C303" s="553" t="n"/>
      <c r="D303" s="553" t="n"/>
      <c r="E303" s="445" t="inlineStr">
        <is>
          <t>Shopan Mia Lal Mia</t>
        </is>
      </c>
      <c r="F303" s="188" t="inlineStr">
        <is>
          <t>Soft Service</t>
        </is>
      </c>
      <c r="G303" s="91" t="inlineStr">
        <is>
          <t>-</t>
        </is>
      </c>
      <c r="H303" s="445" t="n">
        <v>2579825502</v>
      </c>
      <c r="I303" s="446" t="inlineStr">
        <is>
          <t>Approved</t>
        </is>
      </c>
      <c r="J303" s="552" t="n"/>
      <c r="K303" s="446" t="inlineStr">
        <is>
          <t xml:space="preserve">RAMZ </t>
        </is>
      </c>
      <c r="L303" s="45" t="inlineStr">
        <is>
          <t>-</t>
        </is>
      </c>
      <c r="N303" s="178" t="n"/>
      <c r="O303" s="178" t="n"/>
      <c r="P303" s="178" t="n"/>
      <c r="Q303" s="178" t="n"/>
      <c r="R303" s="178" t="n"/>
      <c r="S303" s="178" t="n"/>
      <c r="T303" s="178" t="n"/>
    </row>
    <row r="304" ht="15.75" customHeight="1">
      <c r="A304" s="429" t="inlineStr">
        <is>
          <t>Gardener</t>
        </is>
      </c>
      <c r="B304" s="429" t="n">
        <v>20</v>
      </c>
      <c r="C304" s="429">
        <f>COUNTIF(E304:E323,"&lt;&gt;")</f>
        <v/>
      </c>
      <c r="D304" s="430">
        <f>C304-B304</f>
        <v/>
      </c>
      <c r="E304" s="445" t="inlineStr">
        <is>
          <t>Md Shobuz Islam</t>
        </is>
      </c>
      <c r="F304" s="188" t="inlineStr">
        <is>
          <t>Soft Service</t>
        </is>
      </c>
      <c r="G304" s="91" t="inlineStr">
        <is>
          <t>-</t>
        </is>
      </c>
      <c r="H304" s="445" t="n">
        <v>2624660417</v>
      </c>
      <c r="I304" s="446" t="inlineStr">
        <is>
          <t>Approved</t>
        </is>
      </c>
      <c r="J304" s="551" t="n">
        <v>46025</v>
      </c>
      <c r="K304" s="446" t="inlineStr">
        <is>
          <t>SCC ( RENTAL )</t>
        </is>
      </c>
      <c r="L304" s="45" t="inlineStr">
        <is>
          <t>-</t>
        </is>
      </c>
      <c r="N304" s="178" t="n"/>
      <c r="O304" s="178" t="n"/>
      <c r="P304" s="178" t="n"/>
      <c r="Q304" s="178" t="n"/>
      <c r="R304" s="178" t="n"/>
      <c r="S304" s="178" t="n"/>
      <c r="T304" s="178" t="n"/>
    </row>
    <row r="305" ht="15.75" customHeight="1">
      <c r="A305" s="554" t="n"/>
      <c r="B305" s="554" t="n"/>
      <c r="C305" s="554" t="n"/>
      <c r="D305" s="554" t="n"/>
      <c r="E305" s="445" t="inlineStr">
        <is>
          <t>Md Udu Miah</t>
        </is>
      </c>
      <c r="F305" s="188" t="inlineStr">
        <is>
          <t>Soft Service</t>
        </is>
      </c>
      <c r="G305" s="91" t="inlineStr">
        <is>
          <t>-</t>
        </is>
      </c>
      <c r="H305" s="445" t="n">
        <v>2624658759</v>
      </c>
      <c r="I305" s="446" t="inlineStr">
        <is>
          <t>Approved</t>
        </is>
      </c>
      <c r="J305" s="551" t="n">
        <v>46025</v>
      </c>
      <c r="K305" s="446" t="inlineStr">
        <is>
          <t>SCC ( RENTAL )</t>
        </is>
      </c>
      <c r="L305" s="45" t="inlineStr">
        <is>
          <t>-</t>
        </is>
      </c>
      <c r="N305" s="178" t="n"/>
      <c r="O305" s="178" t="n"/>
      <c r="P305" s="178" t="n"/>
      <c r="Q305" s="178" t="n"/>
      <c r="R305" s="178" t="n"/>
      <c r="S305" s="178" t="n"/>
      <c r="T305" s="178" t="n"/>
    </row>
    <row r="306" ht="15.75" customHeight="1">
      <c r="A306" s="554" t="n"/>
      <c r="B306" s="554" t="n"/>
      <c r="C306" s="554" t="n"/>
      <c r="D306" s="554" t="n"/>
      <c r="E306" s="452" t="inlineStr">
        <is>
          <t>Md Sanzur</t>
        </is>
      </c>
      <c r="F306" s="266" t="inlineStr">
        <is>
          <t>SOFT SERVICE</t>
        </is>
      </c>
      <c r="G306" s="267" t="inlineStr">
        <is>
          <t>-</t>
        </is>
      </c>
      <c r="H306" s="268" t="n">
        <v>2630686844</v>
      </c>
      <c r="I306" s="446" t="inlineStr">
        <is>
          <t>Approved</t>
        </is>
      </c>
      <c r="J306" s="584" t="n">
        <v>46217</v>
      </c>
      <c r="K306" s="235" t="inlineStr">
        <is>
          <t>MEHAN RENTAL</t>
        </is>
      </c>
      <c r="L306" s="45" t="inlineStr">
        <is>
          <t>-</t>
        </is>
      </c>
      <c r="N306" s="178" t="n"/>
      <c r="O306" s="178" t="n"/>
      <c r="P306" s="178" t="n"/>
      <c r="Q306" s="178" t="n"/>
      <c r="R306" s="178" t="n"/>
      <c r="S306" s="178" t="n"/>
      <c r="T306" s="178" t="n"/>
    </row>
    <row r="307" ht="15.75" customHeight="1">
      <c r="A307" s="554" t="n"/>
      <c r="B307" s="554" t="n"/>
      <c r="C307" s="554" t="n"/>
      <c r="D307" s="554" t="n"/>
      <c r="E307" s="445" t="inlineStr">
        <is>
          <t>Md Al Amin</t>
        </is>
      </c>
      <c r="F307" s="188" t="inlineStr">
        <is>
          <t>Soft Service</t>
        </is>
      </c>
      <c r="G307" s="91" t="n">
        <v>1253</v>
      </c>
      <c r="H307" s="445" t="n">
        <v>2590703415</v>
      </c>
      <c r="I307" s="446" t="inlineStr">
        <is>
          <t>Approved</t>
        </is>
      </c>
      <c r="J307" s="551" t="n">
        <v>45643</v>
      </c>
      <c r="K307" s="446" t="inlineStr">
        <is>
          <t>UCC( RENTAL)</t>
        </is>
      </c>
      <c r="L307" s="45" t="inlineStr">
        <is>
          <t>-</t>
        </is>
      </c>
      <c r="N307" s="178" t="n"/>
      <c r="O307" s="178" t="n"/>
      <c r="P307" s="178" t="n"/>
      <c r="Q307" s="178" t="n"/>
      <c r="R307" s="178" t="n"/>
      <c r="S307" s="178" t="n"/>
      <c r="T307" s="178" t="n"/>
    </row>
    <row r="308" ht="15.75" customHeight="1">
      <c r="A308" s="554" t="n"/>
      <c r="B308" s="554" t="n"/>
      <c r="C308" s="554" t="n"/>
      <c r="D308" s="554" t="n"/>
      <c r="E308" s="445" t="inlineStr">
        <is>
          <t>Md Hasan Mia</t>
        </is>
      </c>
      <c r="F308" s="188" t="inlineStr">
        <is>
          <t>Soft Service</t>
        </is>
      </c>
      <c r="G308" s="91" t="n">
        <v>1256</v>
      </c>
      <c r="H308" s="445" t="n">
        <v>2590604969</v>
      </c>
      <c r="I308" s="446" t="inlineStr">
        <is>
          <t>Approved</t>
        </is>
      </c>
      <c r="J308" s="551" t="n">
        <v>45643</v>
      </c>
      <c r="K308" s="446" t="inlineStr">
        <is>
          <t>UCC( RENTAL)</t>
        </is>
      </c>
      <c r="L308" s="45" t="inlineStr">
        <is>
          <t>-</t>
        </is>
      </c>
      <c r="N308" s="178" t="n"/>
      <c r="O308" s="178" t="n"/>
      <c r="P308" s="178" t="n"/>
      <c r="Q308" s="178" t="n"/>
      <c r="R308" s="178" t="n"/>
      <c r="S308" s="178" t="n"/>
      <c r="T308" s="178" t="n"/>
    </row>
    <row r="309" ht="15.75" customHeight="1">
      <c r="A309" s="554" t="n"/>
      <c r="B309" s="554" t="n"/>
      <c r="C309" s="554" t="n"/>
      <c r="D309" s="554" t="n"/>
      <c r="E309" s="445" t="inlineStr">
        <is>
          <t>Md Maksud Ali</t>
        </is>
      </c>
      <c r="F309" s="188" t="inlineStr">
        <is>
          <t>Soft Service</t>
        </is>
      </c>
      <c r="G309" s="91" t="n">
        <v>1277</v>
      </c>
      <c r="H309" s="445" t="n">
        <v>2598518872</v>
      </c>
      <c r="I309" s="446" t="inlineStr">
        <is>
          <t>Approved</t>
        </is>
      </c>
      <c r="J309" s="551" t="n">
        <v>45769</v>
      </c>
      <c r="K309" s="446" t="inlineStr">
        <is>
          <t>UCC( RENTAL)</t>
        </is>
      </c>
      <c r="L309" s="45" t="inlineStr">
        <is>
          <t>-</t>
        </is>
      </c>
      <c r="N309" s="178" t="n"/>
      <c r="O309" s="178" t="n"/>
      <c r="P309" s="178" t="n"/>
      <c r="Q309" s="178" t="n"/>
      <c r="R309" s="178" t="n"/>
      <c r="S309" s="178" t="n"/>
      <c r="T309" s="178" t="n"/>
    </row>
    <row r="310" ht="15.75" customHeight="1">
      <c r="A310" s="554" t="n"/>
      <c r="B310" s="554" t="n"/>
      <c r="C310" s="554" t="n"/>
      <c r="D310" s="554" t="n"/>
      <c r="E310" s="445" t="inlineStr">
        <is>
          <t>Md Joyl Hossen</t>
        </is>
      </c>
      <c r="F310" s="188" t="inlineStr">
        <is>
          <t>Soft Service</t>
        </is>
      </c>
      <c r="G310" s="91" t="n">
        <v>1281</v>
      </c>
      <c r="H310" s="445" t="n">
        <v>2598119929</v>
      </c>
      <c r="I310" s="446" t="inlineStr">
        <is>
          <t>Approved</t>
        </is>
      </c>
      <c r="J310" s="551" t="n">
        <v>45769</v>
      </c>
      <c r="K310" s="446" t="inlineStr">
        <is>
          <t>UCC( RENTAL)</t>
        </is>
      </c>
      <c r="L310" s="45" t="inlineStr">
        <is>
          <t>-</t>
        </is>
      </c>
      <c r="N310" s="178" t="n"/>
      <c r="O310" s="178" t="n"/>
      <c r="P310" s="178" t="n"/>
      <c r="Q310" s="178" t="n"/>
      <c r="R310" s="178" t="n"/>
      <c r="S310" s="178" t="n"/>
      <c r="T310" s="178" t="n"/>
    </row>
    <row r="311" ht="15.75" customHeight="1">
      <c r="A311" s="554" t="n"/>
      <c r="B311" s="554" t="n"/>
      <c r="C311" s="554" t="n"/>
      <c r="D311" s="554" t="n"/>
      <c r="E311" s="445" t="inlineStr">
        <is>
          <t>Md Ab Jalil</t>
        </is>
      </c>
      <c r="F311" s="188" t="inlineStr">
        <is>
          <t>Soft Service</t>
        </is>
      </c>
      <c r="G311" s="91" t="n">
        <v>1285</v>
      </c>
      <c r="H311" s="445" t="n">
        <v>2600287524</v>
      </c>
      <c r="I311" s="446" t="inlineStr">
        <is>
          <t>Approved</t>
        </is>
      </c>
      <c r="J311" s="551" t="n">
        <v>45769</v>
      </c>
      <c r="K311" s="446" t="inlineStr">
        <is>
          <t>UCC( RENTAL)</t>
        </is>
      </c>
      <c r="L311" s="45" t="inlineStr">
        <is>
          <t>-</t>
        </is>
      </c>
      <c r="N311" s="178" t="n"/>
      <c r="O311" s="178" t="n"/>
      <c r="P311" s="178" t="n"/>
      <c r="Q311" s="178" t="n"/>
      <c r="R311" s="178" t="n"/>
      <c r="S311" s="178" t="n"/>
      <c r="T311" s="178" t="n"/>
    </row>
    <row r="312" ht="15.75" customHeight="1">
      <c r="A312" s="554" t="n"/>
      <c r="B312" s="554" t="n"/>
      <c r="C312" s="554" t="n"/>
      <c r="D312" s="554" t="n"/>
      <c r="E312" s="445" t="inlineStr">
        <is>
          <t>Masidul Sardar</t>
        </is>
      </c>
      <c r="F312" s="188" t="inlineStr">
        <is>
          <t>Soft Service</t>
        </is>
      </c>
      <c r="G312" s="91" t="n">
        <v>1286</v>
      </c>
      <c r="H312" s="445" t="n">
        <v>2600287532</v>
      </c>
      <c r="I312" s="446" t="inlineStr">
        <is>
          <t>Approved</t>
        </is>
      </c>
      <c r="J312" s="551" t="n">
        <v>45769</v>
      </c>
      <c r="K312" s="446" t="inlineStr">
        <is>
          <t>UCC( RENTAL)</t>
        </is>
      </c>
      <c r="L312" s="45" t="inlineStr">
        <is>
          <t>-</t>
        </is>
      </c>
      <c r="N312" s="178" t="n"/>
      <c r="O312" s="178" t="n"/>
      <c r="P312" s="178" t="n"/>
      <c r="Q312" s="178" t="n"/>
      <c r="R312" s="178" t="n"/>
      <c r="S312" s="178" t="n"/>
      <c r="T312" s="178" t="n"/>
    </row>
    <row r="313" ht="15.75" customHeight="1">
      <c r="A313" s="554" t="n"/>
      <c r="B313" s="554" t="n"/>
      <c r="C313" s="554" t="n"/>
      <c r="D313" s="554" t="n"/>
      <c r="E313" s="445" t="inlineStr">
        <is>
          <t>Dharmendar Kharbind</t>
        </is>
      </c>
      <c r="F313" s="188" t="inlineStr">
        <is>
          <t>Soft Service</t>
        </is>
      </c>
      <c r="G313" s="91" t="inlineStr">
        <is>
          <t>R07871</t>
        </is>
      </c>
      <c r="H313" s="445" t="n">
        <v>2596718409</v>
      </c>
      <c r="I313" s="446" t="inlineStr">
        <is>
          <t>Approved</t>
        </is>
      </c>
      <c r="J313" s="551" t="n">
        <v>45902</v>
      </c>
      <c r="K313" s="446" t="inlineStr">
        <is>
          <t>MEHAN (RENTAL)</t>
        </is>
      </c>
      <c r="L313" s="45" t="inlineStr">
        <is>
          <t>-</t>
        </is>
      </c>
      <c r="N313" s="178" t="n"/>
      <c r="O313" s="178" t="n"/>
      <c r="P313" s="178" t="n"/>
      <c r="Q313" s="178" t="n"/>
      <c r="R313" s="178" t="n"/>
      <c r="S313" s="178" t="n"/>
      <c r="T313" s="178" t="n"/>
    </row>
    <row r="314" ht="15.75" customHeight="1">
      <c r="A314" s="554" t="n"/>
      <c r="B314" s="554" t="n"/>
      <c r="C314" s="554" t="n"/>
      <c r="D314" s="554" t="n"/>
      <c r="E314" s="445" t="inlineStr">
        <is>
          <t>Ebrahim Mia</t>
        </is>
      </c>
      <c r="F314" s="188" t="inlineStr">
        <is>
          <t>Soft Service</t>
        </is>
      </c>
      <c r="G314" s="91" t="n">
        <v>1199</v>
      </c>
      <c r="H314" s="445" t="n">
        <v>2579352861</v>
      </c>
      <c r="I314" s="446" t="inlineStr">
        <is>
          <t>Approved</t>
        </is>
      </c>
      <c r="J314" s="551" t="n">
        <v>45902</v>
      </c>
      <c r="K314" s="446" t="inlineStr">
        <is>
          <t>UCC( RENTAL)</t>
        </is>
      </c>
      <c r="L314" s="45" t="inlineStr">
        <is>
          <t>-</t>
        </is>
      </c>
      <c r="N314" s="178" t="n"/>
      <c r="O314" s="178" t="n"/>
      <c r="P314" s="178" t="n"/>
      <c r="Q314" s="178" t="n"/>
      <c r="R314" s="178" t="n"/>
      <c r="S314" s="178" t="n"/>
      <c r="T314" s="178" t="n"/>
    </row>
    <row r="315" ht="15.75" customHeight="1">
      <c r="A315" s="554" t="n"/>
      <c r="B315" s="554" t="n"/>
      <c r="C315" s="554" t="n"/>
      <c r="D315" s="554" t="n"/>
      <c r="E315" s="445" t="inlineStr">
        <is>
          <t>Md Rifat Hossain</t>
        </is>
      </c>
      <c r="F315" s="188" t="inlineStr">
        <is>
          <t>Soft Service</t>
        </is>
      </c>
      <c r="G315" s="91" t="inlineStr">
        <is>
          <t>-</t>
        </is>
      </c>
      <c r="H315" s="445" t="n">
        <v>2624758252</v>
      </c>
      <c r="I315" s="446" t="inlineStr">
        <is>
          <t>Approved</t>
        </is>
      </c>
      <c r="J315" s="551" t="n">
        <v>46027</v>
      </c>
      <c r="K315" s="446" t="inlineStr">
        <is>
          <t>SCC ( RENTAL )</t>
        </is>
      </c>
      <c r="L315" s="45" t="inlineStr">
        <is>
          <t>-</t>
        </is>
      </c>
      <c r="N315" s="178" t="n"/>
      <c r="O315" s="178" t="n"/>
      <c r="P315" s="178" t="n"/>
      <c r="Q315" s="178" t="n"/>
      <c r="R315" s="178" t="n"/>
      <c r="S315" s="178" t="n"/>
      <c r="T315" s="178" t="n"/>
    </row>
    <row r="316" ht="15.75" customHeight="1">
      <c r="A316" s="554" t="n"/>
      <c r="B316" s="554" t="n"/>
      <c r="C316" s="554" t="n"/>
      <c r="D316" s="554" t="n"/>
      <c r="E316" s="445" t="inlineStr">
        <is>
          <t>Shiv Kumar  Gaderi</t>
        </is>
      </c>
      <c r="F316" s="188" t="inlineStr">
        <is>
          <t>Soft Service</t>
        </is>
      </c>
      <c r="G316" s="445" t="inlineStr">
        <is>
          <t>R00319</t>
        </is>
      </c>
      <c r="H316" s="445" t="n">
        <v>2462855293</v>
      </c>
      <c r="I316" s="446" t="inlineStr">
        <is>
          <t>Approved</t>
        </is>
      </c>
      <c r="J316" s="552" t="n"/>
      <c r="K316" s="446" t="inlineStr">
        <is>
          <t>MEHAN RENTAL</t>
        </is>
      </c>
      <c r="L316" s="45" t="inlineStr">
        <is>
          <t>-</t>
        </is>
      </c>
      <c r="N316" s="178" t="n"/>
      <c r="O316" s="178" t="n"/>
      <c r="P316" s="178" t="n"/>
      <c r="Q316" s="178" t="n"/>
      <c r="R316" s="178" t="n"/>
      <c r="S316" s="178" t="n"/>
      <c r="T316" s="178" t="n"/>
    </row>
    <row r="317" ht="15.75" customHeight="1">
      <c r="A317" s="554" t="n"/>
      <c r="B317" s="554" t="n"/>
      <c r="C317" s="554" t="n"/>
      <c r="D317" s="554" t="n"/>
      <c r="E317" s="445" t="inlineStr">
        <is>
          <t>Mohd - - Shameem</t>
        </is>
      </c>
      <c r="F317" s="188" t="inlineStr">
        <is>
          <t>Soft Service</t>
        </is>
      </c>
      <c r="G317" s="445" t="inlineStr">
        <is>
          <t>L00537</t>
        </is>
      </c>
      <c r="H317" s="445" t="n">
        <v>2629303617</v>
      </c>
      <c r="I317" s="446" t="inlineStr">
        <is>
          <t>Approved</t>
        </is>
      </c>
      <c r="J317" s="552" t="n"/>
      <c r="K317" s="446" t="inlineStr">
        <is>
          <t>MEHAN RENTAL</t>
        </is>
      </c>
      <c r="L317" s="45" t="inlineStr">
        <is>
          <t>-</t>
        </is>
      </c>
      <c r="N317" s="178" t="n"/>
      <c r="O317" s="178" t="n"/>
      <c r="P317" s="178" t="n"/>
      <c r="Q317" s="178" t="n"/>
      <c r="R317" s="178" t="n"/>
      <c r="S317" s="178" t="n"/>
      <c r="T317" s="178" t="n"/>
    </row>
    <row r="318" ht="15.75" customHeight="1">
      <c r="A318" s="554" t="n"/>
      <c r="B318" s="554" t="n"/>
      <c r="C318" s="554" t="n"/>
      <c r="D318" s="554" t="n"/>
      <c r="E318" s="445" t="inlineStr">
        <is>
          <t>Abdus Sukur</t>
        </is>
      </c>
      <c r="F318" s="188" t="inlineStr">
        <is>
          <t>Soft Service</t>
        </is>
      </c>
      <c r="G318" s="91" t="n">
        <v>1111</v>
      </c>
      <c r="H318" s="445" t="n">
        <v>2571689872</v>
      </c>
      <c r="I318" s="446" t="inlineStr">
        <is>
          <t>Approved</t>
        </is>
      </c>
      <c r="J318" s="551" t="n">
        <v>46114</v>
      </c>
      <c r="K318" s="446" t="inlineStr">
        <is>
          <t>UCC( RENTAL)</t>
        </is>
      </c>
      <c r="L318" s="45" t="inlineStr">
        <is>
          <t>-</t>
        </is>
      </c>
      <c r="N318" s="178" t="n"/>
      <c r="O318" s="178" t="n"/>
      <c r="P318" s="178" t="n"/>
      <c r="Q318" s="178" t="n"/>
      <c r="R318" s="178" t="n"/>
      <c r="S318" s="178" t="n"/>
      <c r="T318" s="178" t="n"/>
    </row>
    <row r="319" ht="15.75" customHeight="1">
      <c r="A319" s="554" t="n"/>
      <c r="B319" s="554" t="n"/>
      <c r="C319" s="554" t="n"/>
      <c r="D319" s="554" t="n"/>
      <c r="E319" s="445" t="inlineStr">
        <is>
          <t>Nazmul Mia</t>
        </is>
      </c>
      <c r="F319" s="188" t="inlineStr">
        <is>
          <t>Soft Service</t>
        </is>
      </c>
      <c r="G319" s="91" t="n">
        <v>1128</v>
      </c>
      <c r="H319" s="445" t="n">
        <v>2576665042</v>
      </c>
      <c r="I319" s="446" t="inlineStr">
        <is>
          <t>Approved</t>
        </is>
      </c>
      <c r="J319" s="551" t="n">
        <v>46114</v>
      </c>
      <c r="K319" s="446" t="inlineStr">
        <is>
          <t>UCC( RENTAL)</t>
        </is>
      </c>
      <c r="L319" s="45" t="inlineStr">
        <is>
          <t>-</t>
        </is>
      </c>
      <c r="N319" s="178" t="n"/>
      <c r="O319" s="178" t="n"/>
      <c r="P319" s="178" t="n"/>
      <c r="Q319" s="178" t="n"/>
      <c r="R319" s="178" t="n"/>
      <c r="S319" s="178" t="n"/>
      <c r="T319" s="178" t="n"/>
    </row>
    <row r="320" ht="15.75" customHeight="1">
      <c r="A320" s="554" t="n"/>
      <c r="B320" s="554" t="n"/>
      <c r="C320" s="554" t="n"/>
      <c r="D320" s="554" t="n"/>
      <c r="E320" s="445" t="inlineStr">
        <is>
          <t>Kabir Sardar</t>
        </is>
      </c>
      <c r="F320" s="188" t="inlineStr">
        <is>
          <t>Soft Service</t>
        </is>
      </c>
      <c r="G320" s="91" t="n">
        <v>1155</v>
      </c>
      <c r="H320" s="445" t="n">
        <v>2579679578</v>
      </c>
      <c r="I320" s="446" t="inlineStr">
        <is>
          <t>Approved</t>
        </is>
      </c>
      <c r="J320" s="551" t="n">
        <v>46114</v>
      </c>
      <c r="K320" s="446" t="inlineStr">
        <is>
          <t>UCC( RENTAL)</t>
        </is>
      </c>
      <c r="L320" s="45" t="inlineStr">
        <is>
          <t>-</t>
        </is>
      </c>
      <c r="N320" s="178" t="n"/>
      <c r="O320" s="178" t="n"/>
      <c r="P320" s="178" t="n"/>
      <c r="Q320" s="178" t="n"/>
      <c r="R320" s="178" t="n"/>
      <c r="S320" s="178" t="n"/>
      <c r="T320" s="178" t="n"/>
    </row>
    <row r="321" ht="15.75" customHeight="1">
      <c r="A321" s="554" t="n"/>
      <c r="B321" s="554" t="n"/>
      <c r="C321" s="554" t="n"/>
      <c r="D321" s="554" t="n"/>
      <c r="E321" s="445" t="inlineStr">
        <is>
          <t>Md Yaekub Ali</t>
        </is>
      </c>
      <c r="F321" s="188" t="inlineStr">
        <is>
          <t>Soft Service</t>
        </is>
      </c>
      <c r="G321" s="91" t="n">
        <v>1324</v>
      </c>
      <c r="H321" s="445" t="n">
        <v>2597531793</v>
      </c>
      <c r="I321" s="446" t="inlineStr">
        <is>
          <t>Approved</t>
        </is>
      </c>
      <c r="J321" s="551" t="n">
        <v>46114</v>
      </c>
      <c r="K321" s="446" t="inlineStr">
        <is>
          <t>UCC( RENTAL)</t>
        </is>
      </c>
      <c r="L321" s="45" t="inlineStr">
        <is>
          <t>-</t>
        </is>
      </c>
      <c r="N321" s="178" t="n"/>
      <c r="O321" s="178" t="n"/>
      <c r="P321" s="178" t="n"/>
      <c r="Q321" s="178" t="n"/>
      <c r="R321" s="178" t="n"/>
      <c r="S321" s="178" t="n"/>
      <c r="T321" s="178" t="n"/>
    </row>
    <row r="322" ht="15.75" customHeight="1">
      <c r="A322" s="554" t="n"/>
      <c r="B322" s="554" t="n"/>
      <c r="C322" s="554" t="n"/>
      <c r="D322" s="554" t="n"/>
      <c r="E322" s="445" t="inlineStr">
        <is>
          <t>Md Arman</t>
        </is>
      </c>
      <c r="F322" s="188" t="inlineStr">
        <is>
          <t>Soft Service</t>
        </is>
      </c>
      <c r="G322" s="91" t="n">
        <v>1118</v>
      </c>
      <c r="H322" s="445" t="n">
        <v>2554164257</v>
      </c>
      <c r="I322" s="446" t="inlineStr">
        <is>
          <t>Approved</t>
        </is>
      </c>
      <c r="J322" s="551" t="n">
        <v>46114</v>
      </c>
      <c r="K322" s="446" t="inlineStr">
        <is>
          <t>UCC( RENTAL)</t>
        </is>
      </c>
      <c r="L322" s="45" t="inlineStr">
        <is>
          <t>-</t>
        </is>
      </c>
      <c r="N322" s="178" t="n"/>
      <c r="O322" s="178" t="n"/>
      <c r="P322" s="178" t="n"/>
      <c r="Q322" s="178" t="n"/>
      <c r="R322" s="178" t="n"/>
      <c r="S322" s="178" t="n"/>
      <c r="T322" s="178" t="n"/>
    </row>
    <row r="323" ht="28.5" customHeight="1">
      <c r="A323" s="553" t="n"/>
      <c r="B323" s="553" t="n"/>
      <c r="C323" s="553" t="n"/>
      <c r="D323" s="553" t="n"/>
      <c r="E323" s="445" t="inlineStr">
        <is>
          <t>Abdul Kalam</t>
        </is>
      </c>
      <c r="F323" s="188" t="inlineStr">
        <is>
          <t>Soft Service</t>
        </is>
      </c>
      <c r="G323" s="91" t="n">
        <v>1158</v>
      </c>
      <c r="H323" s="445" t="n">
        <v>2580020481</v>
      </c>
      <c r="I323" s="446" t="inlineStr">
        <is>
          <t>Approved</t>
        </is>
      </c>
      <c r="J323" s="551" t="n">
        <v>46114</v>
      </c>
      <c r="K323" s="446" t="inlineStr">
        <is>
          <t>UCC( RENTAL)</t>
        </is>
      </c>
      <c r="L323" s="45" t="inlineStr">
        <is>
          <t>-</t>
        </is>
      </c>
      <c r="N323" s="178" t="n"/>
      <c r="O323" s="178" t="n"/>
      <c r="P323" s="178" t="n"/>
      <c r="Q323" s="178" t="n"/>
      <c r="R323" s="178" t="n"/>
      <c r="S323" s="178" t="n"/>
      <c r="T323" s="178" t="n"/>
    </row>
    <row r="324" ht="15.75" customHeight="1">
      <c r="A324" s="429" t="inlineStr">
        <is>
          <t>Pest Control Supervisor</t>
        </is>
      </c>
      <c r="B324" s="429" t="n">
        <v>2</v>
      </c>
      <c r="C324" s="429">
        <f>COUNTIF(E324:E325,"&lt;&gt;")</f>
        <v/>
      </c>
      <c r="D324" s="430">
        <f>C324-B324</f>
        <v/>
      </c>
      <c r="E324" s="445" t="inlineStr">
        <is>
          <t>MOHAMMAD IMTIYAZ HUSHAIN ANSARI</t>
        </is>
      </c>
      <c r="F324" s="188" t="inlineStr">
        <is>
          <t>Soft Service</t>
        </is>
      </c>
      <c r="G324" s="91" t="inlineStr">
        <is>
          <t>-</t>
        </is>
      </c>
      <c r="H324" s="217" t="n">
        <v>2641304825</v>
      </c>
      <c r="I324" s="446" t="inlineStr">
        <is>
          <t>Approved</t>
        </is>
      </c>
      <c r="J324" s="218" t="n">
        <v>46234</v>
      </c>
      <c r="K324" s="446" t="inlineStr">
        <is>
          <t>-</t>
        </is>
      </c>
      <c r="L324" s="45" t="inlineStr">
        <is>
          <t>-</t>
        </is>
      </c>
      <c r="N324" s="178" t="n"/>
      <c r="O324" s="178" t="n"/>
      <c r="P324" s="178" t="n"/>
      <c r="Q324" s="178" t="n"/>
      <c r="R324" s="178" t="n"/>
      <c r="S324" s="178" t="n"/>
      <c r="T324" s="178" t="n"/>
    </row>
    <row r="325" ht="15.75" customHeight="1">
      <c r="A325" s="553" t="n"/>
      <c r="B325" s="553" t="n"/>
      <c r="C325" s="553" t="n"/>
      <c r="D325" s="553" t="n"/>
      <c r="E325" s="187" t="inlineStr">
        <is>
          <t>GULAB SHAH</t>
        </is>
      </c>
      <c r="F325" s="188" t="inlineStr">
        <is>
          <t>Soft Service</t>
        </is>
      </c>
      <c r="G325" s="91" t="inlineStr">
        <is>
          <t>C00746</t>
        </is>
      </c>
      <c r="H325" s="445" t="inlineStr">
        <is>
          <t>2582901209</t>
        </is>
      </c>
      <c r="I325" s="446" t="inlineStr">
        <is>
          <t>Approved</t>
        </is>
      </c>
      <c r="J325" s="446" t="inlineStr">
        <is>
          <t>2024-10-21 00:00:00</t>
        </is>
      </c>
      <c r="K325" s="446" t="inlineStr">
        <is>
          <t>MEHAN VISA</t>
        </is>
      </c>
      <c r="L325" s="45" t="n"/>
      <c r="N325" s="178" t="n"/>
      <c r="O325" s="178" t="n"/>
      <c r="P325" s="178" t="n"/>
      <c r="Q325" s="178" t="n"/>
      <c r="R325" s="178" t="n"/>
      <c r="S325" s="178" t="n"/>
      <c r="T325" s="178" t="n"/>
    </row>
    <row r="326" ht="15.75" customHeight="1">
      <c r="A326" s="429" t="inlineStr">
        <is>
          <t>Pest Control Technician</t>
        </is>
      </c>
      <c r="B326" s="429" t="n">
        <v>6</v>
      </c>
      <c r="C326" s="429">
        <f>COUNTIF(E326:E331,"&lt;&gt;")</f>
        <v/>
      </c>
      <c r="D326" s="430">
        <f>C326-B326</f>
        <v/>
      </c>
      <c r="E326" s="445" t="inlineStr">
        <is>
          <t>Mohammad Dilnawaz Ansari</t>
        </is>
      </c>
      <c r="F326" s="188" t="inlineStr">
        <is>
          <t>Soft Service</t>
        </is>
      </c>
      <c r="G326" s="91" t="inlineStr">
        <is>
          <t>C00761</t>
        </is>
      </c>
      <c r="H326" s="445" t="n">
        <v>2583231374</v>
      </c>
      <c r="I326" s="446" t="inlineStr">
        <is>
          <t>Approved</t>
        </is>
      </c>
      <c r="J326" s="551" t="n">
        <v>45586</v>
      </c>
      <c r="K326" s="446" t="inlineStr">
        <is>
          <t>MEHAN VISA</t>
        </is>
      </c>
      <c r="L326" s="45" t="inlineStr">
        <is>
          <t>-</t>
        </is>
      </c>
      <c r="N326" s="178" t="n"/>
      <c r="O326" s="178" t="n"/>
      <c r="P326" s="178" t="n"/>
      <c r="Q326" s="178" t="n"/>
      <c r="R326" s="178" t="n"/>
      <c r="S326" s="178" t="n"/>
      <c r="T326" s="178" t="n"/>
    </row>
    <row r="327" ht="15.75" customHeight="1">
      <c r="A327" s="554" t="n"/>
      <c r="B327" s="554" t="n"/>
      <c r="C327" s="554" t="n"/>
      <c r="D327" s="554" t="n"/>
      <c r="E327" s="445" t="inlineStr">
        <is>
          <t>Md Rabbi Ahmed</t>
        </is>
      </c>
      <c r="F327" s="188" t="inlineStr">
        <is>
          <t>Soft Service</t>
        </is>
      </c>
      <c r="G327" s="91" t="inlineStr">
        <is>
          <t>S579</t>
        </is>
      </c>
      <c r="H327" s="445" t="n">
        <v>2629944311</v>
      </c>
      <c r="I327" s="446" t="inlineStr">
        <is>
          <t>Approved</t>
        </is>
      </c>
      <c r="J327" s="551" t="n">
        <v>46070</v>
      </c>
      <c r="K327" s="446" t="inlineStr">
        <is>
          <t>SCC ( RENTAL )</t>
        </is>
      </c>
      <c r="L327" s="45" t="inlineStr">
        <is>
          <t>-</t>
        </is>
      </c>
      <c r="N327" s="178" t="n"/>
      <c r="O327" s="178" t="n"/>
      <c r="P327" s="178" t="n"/>
      <c r="Q327" s="178" t="n"/>
      <c r="R327" s="178" t="n"/>
      <c r="S327" s="178" t="n"/>
      <c r="T327" s="178" t="n"/>
    </row>
    <row r="328" ht="15.75" customHeight="1">
      <c r="A328" s="554" t="n"/>
      <c r="B328" s="554" t="n"/>
      <c r="C328" s="554" t="n"/>
      <c r="D328" s="554" t="n"/>
      <c r="E328" s="277" t="inlineStr">
        <is>
          <t xml:space="preserve">SHANTA MIA </t>
        </is>
      </c>
      <c r="F328" s="266" t="inlineStr">
        <is>
          <t>SOFT SERVICE</t>
        </is>
      </c>
      <c r="G328" s="267" t="inlineStr">
        <is>
          <t>-</t>
        </is>
      </c>
      <c r="H328" s="277" t="n">
        <v>2625444456</v>
      </c>
      <c r="I328" s="446" t="inlineStr">
        <is>
          <t>Approved</t>
        </is>
      </c>
      <c r="J328" s="279" t="n">
        <v>46611</v>
      </c>
      <c r="K328" s="235" t="inlineStr">
        <is>
          <t>-</t>
        </is>
      </c>
      <c r="L328" s="45" t="inlineStr">
        <is>
          <t>-</t>
        </is>
      </c>
      <c r="N328" s="178" t="n"/>
      <c r="O328" s="178" t="n"/>
      <c r="P328" s="178" t="n"/>
      <c r="Q328" s="178" t="n"/>
      <c r="R328" s="178" t="n"/>
      <c r="S328" s="178" t="n"/>
      <c r="T328" s="178" t="n"/>
    </row>
    <row r="329" ht="15.75" customHeight="1">
      <c r="A329" s="554" t="n"/>
      <c r="B329" s="554" t="n"/>
      <c r="C329" s="554" t="n"/>
      <c r="D329" s="554" t="n"/>
      <c r="E329" s="277" t="inlineStr">
        <is>
          <t xml:space="preserve">SAIFUL ISLAM </t>
        </is>
      </c>
      <c r="F329" s="266" t="inlineStr">
        <is>
          <t>SOFT SERVICE</t>
        </is>
      </c>
      <c r="G329" s="267" t="inlineStr">
        <is>
          <t>-</t>
        </is>
      </c>
      <c r="H329" s="277" t="n">
        <v>2501225433</v>
      </c>
      <c r="I329" s="446" t="inlineStr">
        <is>
          <t>Approved</t>
        </is>
      </c>
      <c r="J329" s="279" t="n">
        <v>46611</v>
      </c>
      <c r="K329" s="235" t="inlineStr">
        <is>
          <t>-</t>
        </is>
      </c>
      <c r="L329" s="45" t="inlineStr">
        <is>
          <t>-</t>
        </is>
      </c>
      <c r="N329" s="178" t="n"/>
      <c r="O329" s="178" t="n"/>
      <c r="P329" s="178" t="n"/>
      <c r="Q329" s="178" t="n"/>
      <c r="R329" s="178" t="n"/>
      <c r="S329" s="178" t="n"/>
      <c r="T329" s="178" t="n"/>
    </row>
    <row r="330" ht="15.75" customHeight="1">
      <c r="A330" s="554" t="n"/>
      <c r="B330" s="554" t="n"/>
      <c r="C330" s="554" t="n"/>
      <c r="D330" s="554" t="n"/>
      <c r="E330" s="277" t="inlineStr">
        <is>
          <t xml:space="preserve">MD TAIZUL ISLAM </t>
        </is>
      </c>
      <c r="F330" s="266" t="inlineStr">
        <is>
          <t>SOFT SERVICE</t>
        </is>
      </c>
      <c r="G330" s="267" t="inlineStr">
        <is>
          <t>-</t>
        </is>
      </c>
      <c r="H330" s="277" t="n">
        <v>2639209119</v>
      </c>
      <c r="I330" s="446" t="inlineStr">
        <is>
          <t>Approved</t>
        </is>
      </c>
      <c r="J330" s="279" t="n">
        <v>46611</v>
      </c>
      <c r="K330" s="235" t="inlineStr">
        <is>
          <t>-</t>
        </is>
      </c>
      <c r="L330" s="45" t="inlineStr">
        <is>
          <t>-</t>
        </is>
      </c>
      <c r="N330" s="178" t="n"/>
      <c r="O330" s="178" t="n"/>
      <c r="P330" s="178" t="n"/>
      <c r="Q330" s="178" t="n"/>
      <c r="R330" s="178" t="n"/>
      <c r="S330" s="178" t="n"/>
      <c r="T330" s="178" t="n"/>
    </row>
    <row r="331" ht="15.75" customHeight="1">
      <c r="A331" s="553" t="n"/>
      <c r="B331" s="553" t="n"/>
      <c r="C331" s="553" t="n"/>
      <c r="D331" s="553" t="n"/>
      <c r="E331" s="277" t="inlineStr">
        <is>
          <t xml:space="preserve">MD ROKIB HOSSEN </t>
        </is>
      </c>
      <c r="F331" s="266" t="inlineStr">
        <is>
          <t>SOFT SERVICE</t>
        </is>
      </c>
      <c r="G331" s="267" t="inlineStr">
        <is>
          <t>-</t>
        </is>
      </c>
      <c r="H331" s="277" t="n">
        <v>2631415193</v>
      </c>
      <c r="I331" s="446" t="inlineStr">
        <is>
          <t>Approved</t>
        </is>
      </c>
      <c r="J331" s="279" t="n">
        <v>46611</v>
      </c>
      <c r="K331" s="235" t="inlineStr">
        <is>
          <t>-</t>
        </is>
      </c>
      <c r="L331" s="45" t="inlineStr">
        <is>
          <t>-</t>
        </is>
      </c>
      <c r="N331" s="178" t="n"/>
      <c r="O331" s="178" t="n"/>
      <c r="P331" s="178" t="n"/>
      <c r="Q331" s="178" t="n"/>
      <c r="R331" s="178" t="n"/>
      <c r="S331" s="178" t="n"/>
      <c r="T331" s="178" t="n"/>
    </row>
    <row r="332" ht="15.75" customHeight="1">
      <c r="A332" s="429" t="inlineStr">
        <is>
          <t>Waste Service Supervisor</t>
        </is>
      </c>
      <c r="B332" s="429" t="n">
        <v>2</v>
      </c>
      <c r="C332" s="429">
        <f>COUNTIF(E332:E333,"&lt;&gt;")</f>
        <v/>
      </c>
      <c r="D332" s="430">
        <f>C332-B332</f>
        <v/>
      </c>
      <c r="E332" s="187" t="n"/>
      <c r="F332" s="188" t="inlineStr">
        <is>
          <t>Soft Service</t>
        </is>
      </c>
      <c r="G332" s="91" t="inlineStr">
        <is>
          <t>-</t>
        </is>
      </c>
      <c r="H332" s="445" t="inlineStr">
        <is>
          <t>-</t>
        </is>
      </c>
      <c r="I332" s="446" t="inlineStr">
        <is>
          <t>Vacant</t>
        </is>
      </c>
      <c r="J332" s="552" t="n"/>
      <c r="K332" s="446" t="inlineStr">
        <is>
          <t>-</t>
        </is>
      </c>
      <c r="L332" s="45" t="inlineStr">
        <is>
          <t>-</t>
        </is>
      </c>
      <c r="N332" s="178" t="n"/>
      <c r="O332" s="178" t="n"/>
      <c r="P332" s="178" t="n"/>
      <c r="Q332" s="178" t="n"/>
      <c r="R332" s="178" t="n"/>
      <c r="S332" s="178" t="n"/>
      <c r="T332" s="178" t="n"/>
    </row>
    <row r="333" ht="15.75" customHeight="1">
      <c r="A333" s="553" t="n"/>
      <c r="B333" s="553" t="n"/>
      <c r="C333" s="553" t="n"/>
      <c r="D333" s="553" t="n"/>
      <c r="E333" s="187" t="n"/>
      <c r="F333" s="188" t="inlineStr">
        <is>
          <t>Soft Service</t>
        </is>
      </c>
      <c r="G333" s="45" t="inlineStr">
        <is>
          <t>-</t>
        </is>
      </c>
      <c r="H333" s="79" t="inlineStr">
        <is>
          <t>-</t>
        </is>
      </c>
      <c r="I333" s="446" t="inlineStr">
        <is>
          <t>Vacant</t>
        </is>
      </c>
      <c r="J333" s="552" t="n"/>
      <c r="K333" s="446" t="inlineStr">
        <is>
          <t>-</t>
        </is>
      </c>
      <c r="L333" s="45" t="inlineStr">
        <is>
          <t>-</t>
        </is>
      </c>
      <c r="N333" s="178" t="n"/>
      <c r="O333" s="178" t="n"/>
      <c r="P333" s="178" t="n"/>
      <c r="Q333" s="178" t="n"/>
      <c r="R333" s="178" t="n"/>
      <c r="S333" s="178" t="n"/>
      <c r="T333" s="178" t="n"/>
    </row>
    <row r="334" ht="15.75" customHeight="1">
      <c r="A334" s="429" t="inlineStr">
        <is>
          <t>Waste Segrigator</t>
        </is>
      </c>
      <c r="B334" s="429" t="n">
        <v>12</v>
      </c>
      <c r="C334" s="429">
        <f>COUNTIF(E334:E345,"&lt;&gt;")</f>
        <v/>
      </c>
      <c r="D334" s="430">
        <f>C334-B334</f>
        <v/>
      </c>
      <c r="E334" s="445" t="inlineStr">
        <is>
          <t>Md Shamim  Sarkar</t>
        </is>
      </c>
      <c r="F334" s="188" t="inlineStr">
        <is>
          <t>Soft Service</t>
        </is>
      </c>
      <c r="G334" s="91" t="inlineStr">
        <is>
          <t>S569</t>
        </is>
      </c>
      <c r="H334" s="445" t="n">
        <v>2629528965</v>
      </c>
      <c r="I334" s="446" t="inlineStr">
        <is>
          <t>Approved</t>
        </is>
      </c>
      <c r="J334" s="551" t="n">
        <v>46070</v>
      </c>
      <c r="K334" s="446" t="inlineStr">
        <is>
          <t>SCC ( RENTAL )</t>
        </is>
      </c>
      <c r="L334" s="45" t="inlineStr">
        <is>
          <t>-</t>
        </is>
      </c>
      <c r="N334" s="178" t="n"/>
      <c r="O334" s="178" t="n"/>
      <c r="P334" s="178" t="n"/>
      <c r="Q334" s="178" t="n"/>
      <c r="R334" s="178" t="n"/>
      <c r="S334" s="178" t="n"/>
      <c r="T334" s="178" t="n"/>
    </row>
    <row r="335" ht="15.75" customHeight="1">
      <c r="A335" s="554" t="n"/>
      <c r="B335" s="554" t="n"/>
      <c r="C335" s="554" t="n"/>
      <c r="D335" s="554" t="n"/>
      <c r="E335" s="445" t="inlineStr">
        <is>
          <t>Md Rakibul Islam</t>
        </is>
      </c>
      <c r="F335" s="188" t="inlineStr">
        <is>
          <t>Soft Service</t>
        </is>
      </c>
      <c r="G335" s="445" t="inlineStr">
        <is>
          <t>-</t>
        </is>
      </c>
      <c r="H335" s="445" t="n">
        <v>2630690804</v>
      </c>
      <c r="I335" s="446" t="inlineStr">
        <is>
          <t>Approved</t>
        </is>
      </c>
      <c r="J335" s="552" t="n"/>
      <c r="K335" s="446" t="inlineStr">
        <is>
          <t>AB-HOOR</t>
        </is>
      </c>
      <c r="L335" s="45" t="inlineStr">
        <is>
          <t>-</t>
        </is>
      </c>
      <c r="N335" s="178" t="n"/>
      <c r="O335" s="178" t="n"/>
      <c r="P335" s="178" t="n"/>
      <c r="Q335" s="178" t="n"/>
      <c r="R335" s="178" t="n"/>
      <c r="S335" s="178" t="n"/>
      <c r="T335" s="178" t="n"/>
    </row>
    <row r="336" ht="15.75" customHeight="1">
      <c r="A336" s="554" t="n"/>
      <c r="B336" s="554" t="n"/>
      <c r="C336" s="554" t="n"/>
      <c r="D336" s="554" t="n"/>
      <c r="E336" s="445" t="inlineStr">
        <is>
          <t>HIMANSHU - - KUMAR</t>
        </is>
      </c>
      <c r="F336" s="188" t="inlineStr">
        <is>
          <t>Soft Service</t>
        </is>
      </c>
      <c r="G336" s="228" t="inlineStr">
        <is>
          <t>L00115</t>
        </is>
      </c>
      <c r="H336" s="228" t="n">
        <v>2624338436</v>
      </c>
      <c r="I336" s="446" t="inlineStr">
        <is>
          <t>Approved</t>
        </is>
      </c>
      <c r="J336" s="551" t="n">
        <v>46232</v>
      </c>
      <c r="K336" s="217" t="inlineStr">
        <is>
          <t>MEHAN RENTAL</t>
        </is>
      </c>
      <c r="L336" s="45" t="inlineStr">
        <is>
          <t>-</t>
        </is>
      </c>
      <c r="N336" s="178" t="n"/>
      <c r="O336" s="178" t="n"/>
      <c r="P336" s="178" t="n"/>
      <c r="Q336" s="178" t="n"/>
      <c r="R336" s="178" t="n"/>
      <c r="S336" s="178" t="n"/>
      <c r="T336" s="178" t="n"/>
    </row>
    <row r="337" ht="15.75" customHeight="1">
      <c r="A337" s="554" t="n"/>
      <c r="B337" s="554" t="n"/>
      <c r="C337" s="554" t="n"/>
      <c r="D337" s="554" t="n"/>
      <c r="E337" s="445" t="inlineStr">
        <is>
          <t>IJAZ AHAMAD MOHAMMAD AYYAZ</t>
        </is>
      </c>
      <c r="F337" s="188" t="inlineStr">
        <is>
          <t>Soft Service</t>
        </is>
      </c>
      <c r="G337" s="228" t="inlineStr">
        <is>
          <t>L01170</t>
        </is>
      </c>
      <c r="H337" s="228" t="n">
        <v>2635912930</v>
      </c>
      <c r="I337" s="446" t="inlineStr">
        <is>
          <t>Approved</t>
        </is>
      </c>
      <c r="J337" s="551" t="n">
        <v>46232</v>
      </c>
      <c r="K337" s="217" t="inlineStr">
        <is>
          <t>MEHAN RENTAL</t>
        </is>
      </c>
      <c r="L337" s="45" t="inlineStr">
        <is>
          <t>-</t>
        </is>
      </c>
      <c r="N337" s="178" t="n"/>
      <c r="O337" s="178" t="n"/>
      <c r="P337" s="178" t="n"/>
      <c r="Q337" s="178" t="n"/>
      <c r="R337" s="178" t="n"/>
      <c r="S337" s="178" t="n"/>
      <c r="T337" s="178" t="n"/>
    </row>
    <row r="338" ht="15.75" customHeight="1">
      <c r="A338" s="554" t="n"/>
      <c r="B338" s="554" t="n"/>
      <c r="C338" s="554" t="n"/>
      <c r="D338" s="554" t="n"/>
      <c r="E338" s="187" t="n"/>
      <c r="F338" s="188" t="inlineStr">
        <is>
          <t>Soft Service</t>
        </is>
      </c>
      <c r="G338" s="445" t="inlineStr">
        <is>
          <t>-</t>
        </is>
      </c>
      <c r="H338" s="445" t="inlineStr">
        <is>
          <t>-</t>
        </is>
      </c>
      <c r="I338" s="446" t="inlineStr">
        <is>
          <t>Vacant</t>
        </is>
      </c>
      <c r="J338" s="552" t="n"/>
      <c r="K338" s="446" t="inlineStr">
        <is>
          <t>-</t>
        </is>
      </c>
      <c r="L338" s="45" t="inlineStr">
        <is>
          <t>-</t>
        </is>
      </c>
      <c r="N338" s="178" t="n"/>
      <c r="O338" s="178" t="n"/>
      <c r="P338" s="178" t="n"/>
      <c r="Q338" s="178" t="n"/>
      <c r="R338" s="178" t="n"/>
      <c r="S338" s="178" t="n"/>
      <c r="T338" s="178" t="n"/>
    </row>
    <row r="339" ht="15.75" customHeight="1">
      <c r="A339" s="554" t="n"/>
      <c r="B339" s="554" t="n"/>
      <c r="C339" s="554" t="n"/>
      <c r="D339" s="554" t="n"/>
      <c r="E339" s="187" t="n"/>
      <c r="F339" s="188" t="inlineStr">
        <is>
          <t>Soft Service</t>
        </is>
      </c>
      <c r="G339" s="445" t="inlineStr">
        <is>
          <t>-</t>
        </is>
      </c>
      <c r="H339" s="445" t="inlineStr">
        <is>
          <t>-</t>
        </is>
      </c>
      <c r="I339" s="446" t="inlineStr">
        <is>
          <t>Vacant</t>
        </is>
      </c>
      <c r="J339" s="552" t="n"/>
      <c r="K339" s="446" t="inlineStr">
        <is>
          <t>-</t>
        </is>
      </c>
      <c r="L339" s="45" t="inlineStr">
        <is>
          <t>-</t>
        </is>
      </c>
      <c r="N339" s="178" t="n"/>
      <c r="O339" s="178" t="n"/>
      <c r="P339" s="178" t="n"/>
      <c r="Q339" s="178" t="n"/>
      <c r="R339" s="178" t="n"/>
      <c r="S339" s="178" t="n"/>
      <c r="T339" s="178" t="n"/>
    </row>
    <row r="340" ht="15.75" customHeight="1">
      <c r="A340" s="554" t="n"/>
      <c r="B340" s="554" t="n"/>
      <c r="C340" s="554" t="n"/>
      <c r="D340" s="554" t="n"/>
      <c r="E340" s="187" t="n"/>
      <c r="F340" s="188" t="inlineStr">
        <is>
          <t>Soft Service</t>
        </is>
      </c>
      <c r="G340" s="445" t="inlineStr">
        <is>
          <t>-</t>
        </is>
      </c>
      <c r="H340" s="445" t="inlineStr">
        <is>
          <t>-</t>
        </is>
      </c>
      <c r="I340" s="446" t="inlineStr">
        <is>
          <t>Vacant</t>
        </is>
      </c>
      <c r="J340" s="552" t="n"/>
      <c r="K340" s="446" t="inlineStr">
        <is>
          <t>-</t>
        </is>
      </c>
      <c r="L340" s="45" t="inlineStr">
        <is>
          <t>-</t>
        </is>
      </c>
      <c r="N340" s="178" t="n"/>
      <c r="O340" s="178" t="n"/>
      <c r="P340" s="178" t="n"/>
      <c r="Q340" s="178" t="n"/>
      <c r="R340" s="178" t="n"/>
      <c r="S340" s="178" t="n"/>
      <c r="T340" s="178" t="n"/>
    </row>
    <row r="341" ht="15.75" customHeight="1">
      <c r="A341" s="554" t="n"/>
      <c r="B341" s="554" t="n"/>
      <c r="C341" s="554" t="n"/>
      <c r="D341" s="554" t="n"/>
      <c r="E341" s="187" t="n"/>
      <c r="F341" s="188" t="inlineStr">
        <is>
          <t>Soft Service</t>
        </is>
      </c>
      <c r="G341" s="445" t="inlineStr">
        <is>
          <t>-</t>
        </is>
      </c>
      <c r="H341" s="445" t="inlineStr">
        <is>
          <t>-</t>
        </is>
      </c>
      <c r="I341" s="446" t="inlineStr">
        <is>
          <t>Vacant</t>
        </is>
      </c>
      <c r="J341" s="552" t="n"/>
      <c r="K341" s="446" t="inlineStr">
        <is>
          <t>-</t>
        </is>
      </c>
      <c r="L341" s="45" t="inlineStr">
        <is>
          <t>-</t>
        </is>
      </c>
      <c r="N341" s="178" t="n"/>
      <c r="O341" s="178" t="n"/>
      <c r="P341" s="178" t="n"/>
      <c r="Q341" s="178" t="n"/>
      <c r="R341" s="178" t="n"/>
      <c r="S341" s="178" t="n"/>
      <c r="T341" s="178" t="n"/>
    </row>
    <row r="342" ht="15.75" customHeight="1">
      <c r="A342" s="554" t="n"/>
      <c r="B342" s="554" t="n"/>
      <c r="C342" s="554" t="n"/>
      <c r="D342" s="554" t="n"/>
      <c r="E342" s="187" t="n"/>
      <c r="F342" s="188" t="inlineStr">
        <is>
          <t>Soft Service</t>
        </is>
      </c>
      <c r="G342" s="445" t="inlineStr">
        <is>
          <t>-</t>
        </is>
      </c>
      <c r="H342" s="445" t="inlineStr">
        <is>
          <t>-</t>
        </is>
      </c>
      <c r="I342" s="446" t="inlineStr">
        <is>
          <t>Vacant</t>
        </is>
      </c>
      <c r="J342" s="552" t="n"/>
      <c r="K342" s="446" t="inlineStr">
        <is>
          <t>-</t>
        </is>
      </c>
      <c r="L342" s="45" t="inlineStr">
        <is>
          <t>-</t>
        </is>
      </c>
      <c r="N342" s="178" t="n"/>
      <c r="O342" s="178" t="n"/>
      <c r="P342" s="178" t="n"/>
      <c r="Q342" s="178" t="n"/>
      <c r="R342" s="178" t="n"/>
      <c r="S342" s="178" t="n"/>
      <c r="T342" s="178" t="n"/>
    </row>
    <row r="343" ht="15.75" customHeight="1">
      <c r="A343" s="554" t="n"/>
      <c r="B343" s="554" t="n"/>
      <c r="C343" s="554" t="n"/>
      <c r="D343" s="554" t="n"/>
      <c r="E343" s="187" t="n"/>
      <c r="F343" s="188" t="inlineStr">
        <is>
          <t>Soft Service</t>
        </is>
      </c>
      <c r="G343" s="445" t="inlineStr">
        <is>
          <t>-</t>
        </is>
      </c>
      <c r="H343" s="445" t="inlineStr">
        <is>
          <t>-</t>
        </is>
      </c>
      <c r="I343" s="446" t="inlineStr">
        <is>
          <t>Vacant</t>
        </is>
      </c>
      <c r="J343" s="552" t="n"/>
      <c r="K343" s="446" t="inlineStr">
        <is>
          <t>-</t>
        </is>
      </c>
      <c r="L343" s="45" t="inlineStr">
        <is>
          <t>-</t>
        </is>
      </c>
      <c r="N343" s="178" t="n"/>
      <c r="O343" s="178" t="n"/>
      <c r="P343" s="178" t="n"/>
      <c r="Q343" s="178" t="n"/>
      <c r="R343" s="178" t="n"/>
      <c r="S343" s="178" t="n"/>
      <c r="T343" s="178" t="n"/>
    </row>
    <row r="344" ht="15.75" customHeight="1">
      <c r="A344" s="554" t="n"/>
      <c r="B344" s="554" t="n"/>
      <c r="C344" s="554" t="n"/>
      <c r="D344" s="554" t="n"/>
      <c r="E344" s="187" t="n"/>
      <c r="F344" s="188" t="inlineStr">
        <is>
          <t>Soft Service</t>
        </is>
      </c>
      <c r="G344" s="445" t="inlineStr">
        <is>
          <t>-</t>
        </is>
      </c>
      <c r="H344" s="445" t="inlineStr">
        <is>
          <t>-</t>
        </is>
      </c>
      <c r="I344" s="446" t="inlineStr">
        <is>
          <t>Vacant</t>
        </is>
      </c>
      <c r="J344" s="552" t="n"/>
      <c r="K344" s="446" t="inlineStr">
        <is>
          <t>-</t>
        </is>
      </c>
      <c r="L344" s="45" t="inlineStr">
        <is>
          <t>-</t>
        </is>
      </c>
      <c r="N344" s="178" t="n"/>
      <c r="O344" s="178" t="n"/>
      <c r="P344" s="178" t="n"/>
      <c r="Q344" s="178" t="n"/>
      <c r="R344" s="178" t="n"/>
      <c r="S344" s="178" t="n"/>
      <c r="T344" s="178" t="n"/>
    </row>
    <row r="345" ht="15.75" customHeight="1">
      <c r="A345" s="553" t="n"/>
      <c r="B345" s="553" t="n"/>
      <c r="C345" s="553" t="n"/>
      <c r="D345" s="553" t="n"/>
      <c r="E345" s="187" t="n"/>
      <c r="F345" s="188" t="inlineStr">
        <is>
          <t>Soft Service</t>
        </is>
      </c>
      <c r="G345" s="445" t="inlineStr">
        <is>
          <t>-</t>
        </is>
      </c>
      <c r="H345" s="445" t="inlineStr">
        <is>
          <t>-</t>
        </is>
      </c>
      <c r="I345" s="446" t="inlineStr">
        <is>
          <t>Vacant</t>
        </is>
      </c>
      <c r="J345" s="552" t="n"/>
      <c r="K345" s="446" t="inlineStr">
        <is>
          <t>-</t>
        </is>
      </c>
      <c r="L345" s="45" t="inlineStr">
        <is>
          <t>-</t>
        </is>
      </c>
      <c r="N345" s="178" t="n"/>
      <c r="O345" s="178" t="n"/>
      <c r="P345" s="178" t="n"/>
      <c r="Q345" s="178" t="n"/>
      <c r="R345" s="178" t="n"/>
      <c r="S345" s="178" t="n"/>
      <c r="T345" s="178" t="n"/>
    </row>
    <row r="346" ht="15.75" customHeight="1">
      <c r="A346" s="429" t="inlineStr">
        <is>
          <t>Waste Collector</t>
        </is>
      </c>
      <c r="B346" s="429" t="n">
        <v>6</v>
      </c>
      <c r="C346" s="429">
        <f>COUNTIF(E346:E351,"&lt;&gt;")</f>
        <v/>
      </c>
      <c r="D346" s="430">
        <f>C346-B346</f>
        <v/>
      </c>
      <c r="E346" s="445" t="inlineStr">
        <is>
          <t>KISHUN SAHANI - MURAT</t>
        </is>
      </c>
      <c r="F346" s="188" t="inlineStr">
        <is>
          <t>Soft Service</t>
        </is>
      </c>
      <c r="G346" s="228" t="inlineStr">
        <is>
          <t>R08676</t>
        </is>
      </c>
      <c r="H346" s="228" t="n">
        <v>2607963945</v>
      </c>
      <c r="I346" s="446" t="inlineStr">
        <is>
          <t>Approved</t>
        </is>
      </c>
      <c r="J346" s="551" t="n">
        <v>46232</v>
      </c>
      <c r="K346" s="446" t="inlineStr">
        <is>
          <t>MEHAN RENTAL</t>
        </is>
      </c>
      <c r="L346" s="45" t="inlineStr">
        <is>
          <t>-</t>
        </is>
      </c>
      <c r="N346" s="178" t="n"/>
      <c r="O346" s="178" t="n"/>
      <c r="P346" s="178" t="n"/>
      <c r="Q346" s="178" t="n"/>
      <c r="R346" s="178" t="n"/>
      <c r="S346" s="178" t="n"/>
      <c r="T346" s="178" t="n"/>
    </row>
    <row r="347" ht="15.75" customHeight="1">
      <c r="A347" s="554" t="n"/>
      <c r="B347" s="554" t="n"/>
      <c r="C347" s="554" t="n"/>
      <c r="D347" s="554" t="n"/>
      <c r="E347" s="445" t="inlineStr">
        <is>
          <t>ABHIMANYOO - - SOLHAI</t>
        </is>
      </c>
      <c r="F347" s="188" t="inlineStr">
        <is>
          <t>Soft Service</t>
        </is>
      </c>
      <c r="G347" s="228" t="inlineStr">
        <is>
          <t>R09538</t>
        </is>
      </c>
      <c r="H347" s="228" t="n">
        <v>2615110596</v>
      </c>
      <c r="I347" s="446" t="inlineStr">
        <is>
          <t>Approved</t>
        </is>
      </c>
      <c r="J347" s="551" t="n">
        <v>46232</v>
      </c>
      <c r="K347" s="446" t="inlineStr">
        <is>
          <t>MEHAN RENTAL</t>
        </is>
      </c>
      <c r="L347" s="45" t="inlineStr">
        <is>
          <t>-</t>
        </is>
      </c>
      <c r="N347" s="178" t="n"/>
      <c r="O347" s="178" t="n"/>
      <c r="P347" s="178" t="n"/>
      <c r="Q347" s="178" t="n"/>
      <c r="R347" s="178" t="n"/>
      <c r="S347" s="178" t="n"/>
      <c r="T347" s="178" t="n"/>
    </row>
    <row r="348" ht="15.75" customHeight="1">
      <c r="A348" s="554" t="n"/>
      <c r="B348" s="554" t="n"/>
      <c r="C348" s="554" t="n"/>
      <c r="D348" s="554" t="n"/>
      <c r="E348" s="187" t="n"/>
      <c r="F348" s="188" t="inlineStr">
        <is>
          <t>Soft Service</t>
        </is>
      </c>
      <c r="G348" s="445" t="inlineStr">
        <is>
          <t>-</t>
        </is>
      </c>
      <c r="H348" s="445" t="inlineStr">
        <is>
          <t>-</t>
        </is>
      </c>
      <c r="I348" s="446" t="inlineStr">
        <is>
          <t>Vacant</t>
        </is>
      </c>
      <c r="J348" s="552" t="n"/>
      <c r="K348" s="446" t="inlineStr">
        <is>
          <t>-</t>
        </is>
      </c>
      <c r="L348" s="45" t="inlineStr">
        <is>
          <t>-</t>
        </is>
      </c>
      <c r="N348" s="178" t="n"/>
      <c r="O348" s="178" t="n"/>
      <c r="P348" s="178" t="n"/>
      <c r="Q348" s="178" t="n"/>
      <c r="R348" s="178" t="n"/>
      <c r="S348" s="178" t="n"/>
      <c r="T348" s="178" t="n"/>
    </row>
    <row r="349" ht="15.75" customHeight="1">
      <c r="A349" s="554" t="n"/>
      <c r="B349" s="554" t="n"/>
      <c r="C349" s="554" t="n"/>
      <c r="D349" s="554" t="n"/>
      <c r="E349" s="187" t="n"/>
      <c r="F349" s="188" t="inlineStr">
        <is>
          <t>Soft Service</t>
        </is>
      </c>
      <c r="G349" s="445" t="inlineStr">
        <is>
          <t>-</t>
        </is>
      </c>
      <c r="H349" s="445" t="inlineStr">
        <is>
          <t>-</t>
        </is>
      </c>
      <c r="I349" s="446" t="inlineStr">
        <is>
          <t>Vacant</t>
        </is>
      </c>
      <c r="J349" s="552" t="n"/>
      <c r="K349" s="446" t="inlineStr">
        <is>
          <t>-</t>
        </is>
      </c>
      <c r="L349" s="45" t="inlineStr">
        <is>
          <t>-</t>
        </is>
      </c>
      <c r="N349" s="178" t="n"/>
      <c r="O349" s="178" t="n"/>
      <c r="P349" s="178" t="n"/>
      <c r="Q349" s="178" t="n"/>
      <c r="R349" s="178" t="n"/>
      <c r="S349" s="178" t="n"/>
      <c r="T349" s="178" t="n"/>
    </row>
    <row r="350" ht="15.75" customHeight="1">
      <c r="A350" s="554" t="n"/>
      <c r="B350" s="554" t="n"/>
      <c r="C350" s="554" t="n"/>
      <c r="D350" s="554" t="n"/>
      <c r="E350" s="187" t="n"/>
      <c r="F350" s="188" t="inlineStr">
        <is>
          <t>Soft Service</t>
        </is>
      </c>
      <c r="G350" s="445" t="inlineStr">
        <is>
          <t>-</t>
        </is>
      </c>
      <c r="H350" s="445" t="inlineStr">
        <is>
          <t>-</t>
        </is>
      </c>
      <c r="I350" s="446" t="inlineStr">
        <is>
          <t>Vacant</t>
        </is>
      </c>
      <c r="J350" s="552" t="n"/>
      <c r="K350" s="446" t="inlineStr">
        <is>
          <t>-</t>
        </is>
      </c>
      <c r="L350" s="45" t="inlineStr">
        <is>
          <t>-</t>
        </is>
      </c>
      <c r="N350" s="178" t="n"/>
      <c r="O350" s="178" t="n"/>
      <c r="P350" s="178" t="n"/>
      <c r="Q350" s="178" t="n"/>
      <c r="R350" s="178" t="n"/>
      <c r="S350" s="178" t="n"/>
      <c r="T350" s="178" t="n"/>
    </row>
    <row r="351" ht="15.75" customHeight="1">
      <c r="A351" s="553" t="n"/>
      <c r="B351" s="553" t="n"/>
      <c r="C351" s="553" t="n"/>
      <c r="D351" s="553" t="n"/>
      <c r="E351" s="187" t="n"/>
      <c r="F351" s="188" t="inlineStr">
        <is>
          <t>Soft Service</t>
        </is>
      </c>
      <c r="G351" s="445" t="inlineStr">
        <is>
          <t>-</t>
        </is>
      </c>
      <c r="H351" s="445" t="inlineStr">
        <is>
          <t>-</t>
        </is>
      </c>
      <c r="I351" s="446" t="inlineStr">
        <is>
          <t>Vacant</t>
        </is>
      </c>
      <c r="J351" s="552" t="n"/>
      <c r="K351" s="446" t="inlineStr">
        <is>
          <t>-</t>
        </is>
      </c>
      <c r="L351" s="45" t="inlineStr">
        <is>
          <t>-</t>
        </is>
      </c>
      <c r="N351" s="178" t="n"/>
      <c r="O351" s="178" t="n"/>
      <c r="P351" s="178" t="n"/>
      <c r="Q351" s="178" t="n"/>
      <c r="R351" s="178" t="n"/>
      <c r="S351" s="178" t="n"/>
      <c r="T351" s="178" t="n"/>
    </row>
    <row r="352" ht="15.75" customHeight="1">
      <c r="A352" s="429" t="inlineStr">
        <is>
          <t>Recreational In-Charge</t>
        </is>
      </c>
      <c r="B352" s="429" t="n">
        <v>1</v>
      </c>
      <c r="C352" s="430">
        <f>COUNTIF(E352,"&lt;&gt;")</f>
        <v/>
      </c>
      <c r="D352" s="431">
        <f>C352-B352</f>
        <v/>
      </c>
      <c r="E352" s="445" t="inlineStr">
        <is>
          <t>MOHAMMAD ASAD</t>
        </is>
      </c>
      <c r="F352" s="230" t="inlineStr">
        <is>
          <t>Recreation</t>
        </is>
      </c>
      <c r="G352" s="231" t="inlineStr">
        <is>
          <t>EM-0004097</t>
        </is>
      </c>
      <c r="H352" s="232" t="n">
        <v>2643063056</v>
      </c>
      <c r="I352" s="233" t="inlineStr">
        <is>
          <t>Additional</t>
        </is>
      </c>
      <c r="J352" s="585" t="n">
        <v>46245</v>
      </c>
      <c r="K352" s="235" t="inlineStr">
        <is>
          <t>AL-FALAK VISA</t>
        </is>
      </c>
      <c r="L352" s="45" t="inlineStr">
        <is>
          <t>-</t>
        </is>
      </c>
      <c r="N352" s="178" t="n"/>
      <c r="O352" s="178" t="n"/>
      <c r="P352" s="178" t="n"/>
      <c r="Q352" s="178" t="n"/>
      <c r="R352" s="178" t="n"/>
      <c r="S352" s="178" t="n"/>
      <c r="T352" s="178" t="n"/>
    </row>
    <row r="353" ht="15.75" customHeight="1">
      <c r="A353" s="429" t="inlineStr">
        <is>
          <t>Recreational Coordinator</t>
        </is>
      </c>
      <c r="B353" s="429" t="n">
        <v>1</v>
      </c>
      <c r="C353" s="430">
        <f>COUNTIF(E353,"&lt;&gt;")</f>
        <v/>
      </c>
      <c r="D353" s="431">
        <f>C353-B353</f>
        <v/>
      </c>
      <c r="E353" s="445" t="inlineStr">
        <is>
          <t>Syed Jamshed Iqubal</t>
        </is>
      </c>
      <c r="F353" s="230" t="inlineStr">
        <is>
          <t>Recreation</t>
        </is>
      </c>
      <c r="G353" s="446" t="inlineStr">
        <is>
          <t>EM-0002656</t>
        </is>
      </c>
      <c r="H353" s="446" t="n">
        <v>2578565232</v>
      </c>
      <c r="I353" s="446" t="inlineStr">
        <is>
          <t>Approved</t>
        </is>
      </c>
      <c r="J353" s="551" t="n">
        <v>45600</v>
      </c>
      <c r="K353" s="446" t="inlineStr">
        <is>
          <t>AL-FALAK VISA</t>
        </is>
      </c>
      <c r="L353" s="45" t="inlineStr">
        <is>
          <t>On vacation</t>
        </is>
      </c>
      <c r="N353" s="178" t="n"/>
      <c r="O353" s="178" t="n"/>
      <c r="P353" s="178" t="n"/>
      <c r="Q353" s="178" t="n"/>
      <c r="R353" s="178" t="n"/>
      <c r="S353" s="178" t="n"/>
      <c r="T353" s="178" t="n"/>
    </row>
    <row r="354" ht="15.75" customHeight="1">
      <c r="A354" s="429" t="inlineStr">
        <is>
          <t>Tea Boy/Operation Office</t>
        </is>
      </c>
      <c r="B354" s="429" t="n">
        <v>2</v>
      </c>
      <c r="C354" s="430">
        <f>COUNTIF(E354,"&lt;&gt;")</f>
        <v/>
      </c>
      <c r="D354" s="430">
        <f>C354-B354</f>
        <v/>
      </c>
      <c r="E354" s="445" t="inlineStr">
        <is>
          <t>REPL -SHIPON YADAV</t>
        </is>
      </c>
      <c r="F354" s="188" t="inlineStr">
        <is>
          <t>Soft Service</t>
        </is>
      </c>
      <c r="G354" s="446" t="n"/>
      <c r="H354" s="446" t="inlineStr">
        <is>
          <t>A21264343</t>
        </is>
      </c>
      <c r="I354" s="446" t="inlineStr">
        <is>
          <t>Approved</t>
        </is>
      </c>
      <c r="J354" s="551" t="n">
        <v>46263</v>
      </c>
      <c r="K354" s="446" t="n"/>
      <c r="L354" s="45" t="inlineStr">
        <is>
          <t>-</t>
        </is>
      </c>
      <c r="N354" s="178" t="n"/>
      <c r="O354" s="178" t="n"/>
      <c r="P354" s="178" t="n"/>
      <c r="Q354" s="178" t="n"/>
      <c r="R354" s="178" t="n"/>
      <c r="S354" s="178" t="n"/>
      <c r="T354" s="178" t="n"/>
    </row>
    <row r="355" ht="15.75" customHeight="1">
      <c r="A355" s="553" t="n"/>
      <c r="B355" s="553" t="n"/>
      <c r="C355" s="553" t="n"/>
      <c r="D355" s="553" t="n"/>
      <c r="E355" s="187" t="inlineStr">
        <is>
          <t>MOHD ABUZAR</t>
        </is>
      </c>
      <c r="F355" s="188" t="inlineStr">
        <is>
          <t>Soft Service</t>
        </is>
      </c>
      <c r="G355" s="446" t="inlineStr">
        <is>
          <t>GV117</t>
        </is>
      </c>
      <c r="H355" s="446" t="inlineStr">
        <is>
          <t>2583416991</t>
        </is>
      </c>
      <c r="I355" s="446" t="inlineStr">
        <is>
          <t>Approved</t>
        </is>
      </c>
      <c r="J355" s="552" t="inlineStr">
        <is>
          <t>2024-10-20 00:00:00</t>
        </is>
      </c>
      <c r="K355" s="446" t="inlineStr">
        <is>
          <t>GULF VISION ( RENTAL)</t>
        </is>
      </c>
      <c r="L355" s="45" t="n"/>
      <c r="N355" s="178" t="n"/>
      <c r="O355" s="178" t="n"/>
      <c r="P355" s="178" t="n"/>
      <c r="Q355" s="178" t="n"/>
      <c r="R355" s="178" t="n"/>
      <c r="S355" s="178" t="n"/>
      <c r="T355" s="178" t="n"/>
    </row>
    <row r="356" ht="14.25" customHeight="1">
      <c r="A356" s="439" t="inlineStr">
        <is>
          <t>Laundry Supervisor</t>
        </is>
      </c>
      <c r="B356" s="439" t="n">
        <v>2</v>
      </c>
      <c r="C356" s="439">
        <f>COUNTIF(E356:E357,"&lt;&gt;")</f>
        <v/>
      </c>
      <c r="D356" s="439">
        <f>C356-B356</f>
        <v/>
      </c>
      <c r="E356" s="445" t="inlineStr">
        <is>
          <t>Mohammed Irshad</t>
        </is>
      </c>
      <c r="F356" s="188" t="inlineStr">
        <is>
          <t>Soft Service</t>
        </is>
      </c>
      <c r="G356" s="446" t="inlineStr">
        <is>
          <t>EM-0002689</t>
        </is>
      </c>
      <c r="H356" s="446" t="n">
        <v>2586437143</v>
      </c>
      <c r="I356" s="446" t="inlineStr">
        <is>
          <t>Approved</t>
        </is>
      </c>
      <c r="J356" s="551" t="n">
        <v>45599</v>
      </c>
      <c r="K356" s="446" t="inlineStr">
        <is>
          <t>AL-FALAK VISA</t>
        </is>
      </c>
      <c r="L356" s="45" t="inlineStr">
        <is>
          <t>-</t>
        </is>
      </c>
      <c r="N356" s="178" t="n"/>
      <c r="O356" s="178" t="n"/>
      <c r="P356" s="178" t="n"/>
      <c r="Q356" s="178" t="n"/>
      <c r="R356" s="178" t="n"/>
      <c r="S356" s="178" t="n"/>
      <c r="T356" s="178" t="n"/>
    </row>
    <row r="357" ht="14.25" customHeight="1">
      <c r="A357" s="553" t="n"/>
      <c r="B357" s="553" t="n"/>
      <c r="C357" s="553" t="n"/>
      <c r="D357" s="553" t="n"/>
      <c r="E357" s="445" t="inlineStr">
        <is>
          <t xml:space="preserve">Shahid Raja </t>
        </is>
      </c>
      <c r="F357" s="188" t="inlineStr">
        <is>
          <t>Soft Service</t>
        </is>
      </c>
      <c r="G357" s="446" t="n">
        <v>700479</v>
      </c>
      <c r="H357" s="446" t="n">
        <v>2509354268</v>
      </c>
      <c r="I357" s="446" t="inlineStr">
        <is>
          <t>Approved</t>
        </is>
      </c>
      <c r="J357" s="551" t="n">
        <v>45604</v>
      </c>
      <c r="K357" s="446" t="inlineStr">
        <is>
          <t>FMCO</t>
        </is>
      </c>
      <c r="L357" s="45" t="inlineStr">
        <is>
          <t>-</t>
        </is>
      </c>
      <c r="N357" s="178" t="n"/>
      <c r="O357" s="178" t="n"/>
      <c r="P357" s="178" t="n"/>
      <c r="Q357" s="178" t="n"/>
      <c r="R357" s="178" t="n"/>
      <c r="S357" s="178" t="n"/>
      <c r="T357" s="178" t="n"/>
    </row>
    <row r="358" ht="14.25" customHeight="1">
      <c r="A358" s="439" t="inlineStr">
        <is>
          <t>Laundry Team leader</t>
        </is>
      </c>
      <c r="B358" s="439" t="n">
        <v>2</v>
      </c>
      <c r="C358" s="439">
        <f>COUNTIF(E358:E359,"&lt;&gt;")</f>
        <v/>
      </c>
      <c r="D358" s="439">
        <f>C358-B358</f>
        <v/>
      </c>
      <c r="E358" s="445" t="inlineStr">
        <is>
          <t>Waseem Ali Rafaqat Ali</t>
        </is>
      </c>
      <c r="F358" s="188" t="inlineStr">
        <is>
          <t>Soft Service</t>
        </is>
      </c>
      <c r="G358" s="446" t="n">
        <v>701727</v>
      </c>
      <c r="H358" s="446" t="n">
        <v>2537908960</v>
      </c>
      <c r="I358" s="446" t="inlineStr">
        <is>
          <t>Approved</t>
        </is>
      </c>
      <c r="J358" s="551" t="n">
        <v>45604</v>
      </c>
      <c r="K358" s="446" t="inlineStr">
        <is>
          <t>FMCO</t>
        </is>
      </c>
      <c r="L358" s="45" t="inlineStr">
        <is>
          <t>-</t>
        </is>
      </c>
      <c r="N358" s="178" t="n"/>
      <c r="O358" s="178" t="n"/>
      <c r="P358" s="178" t="n"/>
      <c r="Q358" s="178" t="n"/>
      <c r="R358" s="178" t="n"/>
      <c r="S358" s="178" t="n"/>
      <c r="T358" s="178" t="n"/>
    </row>
    <row r="359" ht="14.25" customHeight="1">
      <c r="A359" s="553" t="n"/>
      <c r="B359" s="553" t="n"/>
      <c r="C359" s="553" t="n"/>
      <c r="D359" s="553" t="n"/>
      <c r="E359" s="445" t="inlineStr">
        <is>
          <t>Mubeen Asgar Ali Shaikh</t>
        </is>
      </c>
      <c r="F359" s="188" t="inlineStr">
        <is>
          <t>Soft Service</t>
        </is>
      </c>
      <c r="G359" s="446" t="inlineStr">
        <is>
          <t>C01315</t>
        </is>
      </c>
      <c r="H359" s="446" t="n">
        <v>2616524142</v>
      </c>
      <c r="I359" s="446" t="inlineStr">
        <is>
          <t>Approved</t>
        </is>
      </c>
      <c r="J359" s="551" t="n">
        <v>45954</v>
      </c>
      <c r="K359" s="446" t="inlineStr">
        <is>
          <t>MEHAN VISA</t>
        </is>
      </c>
      <c r="L359" s="45" t="inlineStr">
        <is>
          <t>-</t>
        </is>
      </c>
      <c r="N359" s="178" t="n"/>
      <c r="O359" s="178" t="n"/>
      <c r="P359" s="178" t="n"/>
      <c r="Q359" s="178" t="n"/>
      <c r="R359" s="178" t="n"/>
      <c r="S359" s="178" t="n"/>
      <c r="T359" s="178" t="n"/>
    </row>
    <row r="360" ht="14.25" customHeight="1">
      <c r="A360" s="439" t="inlineStr">
        <is>
          <t>Laundry Operatives</t>
        </is>
      </c>
      <c r="B360" s="439" t="n">
        <v>36</v>
      </c>
      <c r="C360" s="439">
        <f>COUNTIF(E360:E395,"&lt;&gt;")</f>
        <v/>
      </c>
      <c r="D360" s="439">
        <f>C360-B360</f>
        <v/>
      </c>
      <c r="E360" s="452" t="inlineStr">
        <is>
          <t>Md Shakib Hasan</t>
        </is>
      </c>
      <c r="F360" s="266" t="inlineStr">
        <is>
          <t>LAUNDRY</t>
        </is>
      </c>
      <c r="G360" s="267" t="inlineStr">
        <is>
          <t>-</t>
        </is>
      </c>
      <c r="H360" s="267" t="n">
        <v>2619150119</v>
      </c>
      <c r="I360" s="446" t="inlineStr">
        <is>
          <t>Approved</t>
        </is>
      </c>
      <c r="J360" s="580" t="n"/>
      <c r="K360" s="235" t="inlineStr">
        <is>
          <t>AB-HOOR</t>
        </is>
      </c>
      <c r="L360" s="45" t="inlineStr">
        <is>
          <t>-</t>
        </is>
      </c>
      <c r="N360" s="178" t="n"/>
      <c r="O360" s="178" t="n"/>
      <c r="P360" s="178" t="n"/>
      <c r="Q360" s="178" t="n"/>
      <c r="R360" s="178" t="n"/>
      <c r="S360" s="178" t="n"/>
      <c r="T360" s="178" t="n"/>
    </row>
    <row r="361" ht="14.25" customHeight="1">
      <c r="A361" s="554" t="n"/>
      <c r="B361" s="554" t="n"/>
      <c r="C361" s="554" t="n"/>
      <c r="D361" s="554" t="n"/>
      <c r="E361" s="445" t="inlineStr">
        <is>
          <t>Md Siful Islam</t>
        </is>
      </c>
      <c r="F361" s="188" t="inlineStr">
        <is>
          <t>Soft Service</t>
        </is>
      </c>
      <c r="G361" s="446" t="n">
        <v>1246</v>
      </c>
      <c r="H361" s="446" t="n">
        <v>2588502498</v>
      </c>
      <c r="I361" s="446" t="inlineStr">
        <is>
          <t>Approved</t>
        </is>
      </c>
      <c r="J361" s="551" t="n">
        <v>45627</v>
      </c>
      <c r="K361" s="446" t="inlineStr">
        <is>
          <t>UCC( RENTAL)</t>
        </is>
      </c>
      <c r="L361" s="45" t="inlineStr">
        <is>
          <t>-</t>
        </is>
      </c>
      <c r="N361" s="178" t="n"/>
      <c r="O361" s="178" t="n"/>
      <c r="P361" s="178" t="n"/>
      <c r="Q361" s="178" t="n"/>
      <c r="R361" s="178" t="n"/>
      <c r="S361" s="178" t="n"/>
      <c r="T361" s="178" t="n"/>
    </row>
    <row r="362" ht="14.25" customHeight="1">
      <c r="A362" s="554" t="n"/>
      <c r="B362" s="554" t="n"/>
      <c r="C362" s="554" t="n"/>
      <c r="D362" s="554" t="n"/>
      <c r="E362" s="445" t="inlineStr">
        <is>
          <t>Mohammad Nuruzzaman Miah</t>
        </is>
      </c>
      <c r="F362" s="188" t="inlineStr">
        <is>
          <t>Soft Service</t>
        </is>
      </c>
      <c r="G362" s="446" t="n">
        <v>1280</v>
      </c>
      <c r="H362" s="446" t="n">
        <v>2598217301</v>
      </c>
      <c r="I362" s="446" t="inlineStr">
        <is>
          <t>Approved</t>
        </is>
      </c>
      <c r="J362" s="551" t="n">
        <v>45769</v>
      </c>
      <c r="K362" s="446" t="inlineStr">
        <is>
          <t>UCC( RENTAL)</t>
        </is>
      </c>
      <c r="L362" s="45" t="inlineStr">
        <is>
          <t>-</t>
        </is>
      </c>
      <c r="N362" s="178" t="n"/>
      <c r="O362" s="178" t="n"/>
      <c r="P362" s="178" t="n"/>
      <c r="Q362" s="178" t="n"/>
      <c r="R362" s="178" t="n"/>
      <c r="S362" s="178" t="n"/>
      <c r="T362" s="178" t="n"/>
    </row>
    <row r="363" ht="14.25" customHeight="1">
      <c r="A363" s="554" t="n"/>
      <c r="B363" s="554" t="n"/>
      <c r="C363" s="554" t="n"/>
      <c r="D363" s="554" t="n"/>
      <c r="E363" s="445" t="inlineStr">
        <is>
          <t>Md Afaz Uddin</t>
        </is>
      </c>
      <c r="F363" s="188" t="inlineStr">
        <is>
          <t>Soft Service</t>
        </is>
      </c>
      <c r="G363" s="446" t="inlineStr">
        <is>
          <t>-</t>
        </is>
      </c>
      <c r="H363" s="446" t="n">
        <v>2619194513</v>
      </c>
      <c r="I363" s="446" t="inlineStr">
        <is>
          <t>Approved</t>
        </is>
      </c>
      <c r="J363" s="551" t="n">
        <v>45967</v>
      </c>
      <c r="K363" s="446" t="inlineStr">
        <is>
          <t>Gulf Vision ( RENTAL)</t>
        </is>
      </c>
      <c r="L363" s="45" t="inlineStr">
        <is>
          <t>-</t>
        </is>
      </c>
      <c r="N363" s="178" t="n"/>
      <c r="O363" s="178" t="n"/>
      <c r="P363" s="178" t="n"/>
      <c r="Q363" s="178" t="n"/>
      <c r="R363" s="178" t="n"/>
      <c r="S363" s="178" t="n"/>
      <c r="T363" s="178" t="n"/>
    </row>
    <row r="364" ht="14.25" customHeight="1">
      <c r="A364" s="554" t="n"/>
      <c r="B364" s="554" t="n"/>
      <c r="C364" s="554" t="n"/>
      <c r="D364" s="554" t="n"/>
      <c r="E364" s="445" t="inlineStr">
        <is>
          <t>Mohammad Zafar Ansari</t>
        </is>
      </c>
      <c r="F364" s="188" t="inlineStr">
        <is>
          <t>Soft Service</t>
        </is>
      </c>
      <c r="G364" s="446" t="inlineStr">
        <is>
          <t>R07333</t>
        </is>
      </c>
      <c r="H364" s="446" t="n">
        <v>2584603399</v>
      </c>
      <c r="I364" s="446" t="inlineStr">
        <is>
          <t>Approved</t>
        </is>
      </c>
      <c r="J364" s="551" t="n">
        <v>45702</v>
      </c>
      <c r="K364" s="446" t="inlineStr">
        <is>
          <t>MEHAN (RENTAL)</t>
        </is>
      </c>
      <c r="L364" s="45" t="inlineStr">
        <is>
          <t>-</t>
        </is>
      </c>
      <c r="N364" s="178" t="n"/>
      <c r="O364" s="178" t="n"/>
      <c r="P364" s="178" t="n"/>
      <c r="Q364" s="178" t="n"/>
      <c r="R364" s="178" t="n"/>
      <c r="S364" s="178" t="n"/>
      <c r="T364" s="178" t="n"/>
    </row>
    <row r="365" ht="14.25" customHeight="1">
      <c r="A365" s="554" t="n"/>
      <c r="B365" s="554" t="n"/>
      <c r="C365" s="554" t="n"/>
      <c r="D365" s="554" t="n"/>
      <c r="E365" s="445" t="inlineStr">
        <is>
          <t>Ram Khawas</t>
        </is>
      </c>
      <c r="F365" s="188" t="inlineStr">
        <is>
          <t>Soft Service</t>
        </is>
      </c>
      <c r="G365" s="446" t="inlineStr">
        <is>
          <t>-</t>
        </is>
      </c>
      <c r="H365" s="446" t="n">
        <v>2571158308</v>
      </c>
      <c r="I365" s="446" t="inlineStr">
        <is>
          <t>Approved</t>
        </is>
      </c>
      <c r="J365" s="551" t="n">
        <v>45967</v>
      </c>
      <c r="K365" s="446" t="inlineStr">
        <is>
          <t>Gulf Vision ( RENTAL)</t>
        </is>
      </c>
      <c r="L365" s="45" t="inlineStr">
        <is>
          <t>-</t>
        </is>
      </c>
      <c r="N365" s="178" t="n"/>
      <c r="O365" s="178" t="n"/>
      <c r="P365" s="178" t="n"/>
      <c r="Q365" s="178" t="n"/>
      <c r="R365" s="178" t="n"/>
      <c r="S365" s="178" t="n"/>
      <c r="T365" s="178" t="n"/>
    </row>
    <row r="366" ht="14.25" customHeight="1">
      <c r="A366" s="554" t="n"/>
      <c r="B366" s="554" t="n"/>
      <c r="C366" s="554" t="n"/>
      <c r="D366" s="554" t="n"/>
      <c r="E366" s="445" t="inlineStr">
        <is>
          <t>Ahrar Alam</t>
        </is>
      </c>
      <c r="F366" s="188" t="inlineStr">
        <is>
          <t>Soft Service</t>
        </is>
      </c>
      <c r="G366" s="446" t="inlineStr">
        <is>
          <t>S217</t>
        </is>
      </c>
      <c r="H366" s="446" t="n">
        <v>2597975685</v>
      </c>
      <c r="I366" s="446" t="inlineStr">
        <is>
          <t>Approved</t>
        </is>
      </c>
      <c r="J366" s="551" t="n">
        <v>45734</v>
      </c>
      <c r="K366" s="446" t="inlineStr">
        <is>
          <t>SCC ( RENTAL )</t>
        </is>
      </c>
      <c r="L366" s="45" t="inlineStr">
        <is>
          <t>-</t>
        </is>
      </c>
      <c r="N366" s="178" t="n"/>
      <c r="O366" s="178" t="n"/>
      <c r="P366" s="178" t="n"/>
      <c r="Q366" s="178" t="n"/>
      <c r="R366" s="178" t="n"/>
      <c r="S366" s="178" t="n"/>
      <c r="T366" s="178" t="n"/>
    </row>
    <row r="367" ht="14.25" customHeight="1">
      <c r="A367" s="554" t="n"/>
      <c r="B367" s="554" t="n"/>
      <c r="C367" s="554" t="n"/>
      <c r="D367" s="554" t="n"/>
      <c r="E367" s="445" t="inlineStr">
        <is>
          <t>Md Shakil Miah</t>
        </is>
      </c>
      <c r="F367" s="188" t="inlineStr">
        <is>
          <t>Soft Service</t>
        </is>
      </c>
      <c r="G367" s="446" t="inlineStr">
        <is>
          <t>-</t>
        </is>
      </c>
      <c r="H367" s="446" t="n">
        <v>2598810063</v>
      </c>
      <c r="I367" s="446" t="inlineStr">
        <is>
          <t>Approved</t>
        </is>
      </c>
      <c r="J367" s="551" t="n">
        <v>45951</v>
      </c>
      <c r="K367" s="446" t="inlineStr">
        <is>
          <t>SCC ( RENTAL )</t>
        </is>
      </c>
      <c r="L367" s="45" t="inlineStr">
        <is>
          <t>-</t>
        </is>
      </c>
      <c r="N367" s="178" t="n"/>
      <c r="O367" s="178" t="n"/>
      <c r="P367" s="178" t="n"/>
      <c r="Q367" s="178" t="n"/>
      <c r="R367" s="178" t="n"/>
      <c r="S367" s="178" t="n"/>
      <c r="T367" s="178" t="n"/>
    </row>
    <row r="368" ht="14.25" customHeight="1">
      <c r="A368" s="554" t="n"/>
      <c r="B368" s="554" t="n"/>
      <c r="C368" s="554" t="n"/>
      <c r="D368" s="554" t="n"/>
      <c r="E368" s="445" t="inlineStr">
        <is>
          <t>Md Nayem Mia</t>
        </is>
      </c>
      <c r="F368" s="188" t="inlineStr">
        <is>
          <t>Soft Service</t>
        </is>
      </c>
      <c r="G368" s="446" t="inlineStr">
        <is>
          <t>-</t>
        </is>
      </c>
      <c r="H368" s="446" t="n">
        <v>2628521029</v>
      </c>
      <c r="I368" s="446" t="inlineStr">
        <is>
          <t>Approved</t>
        </is>
      </c>
      <c r="J368" s="551" t="n">
        <v>46068</v>
      </c>
      <c r="K368" s="446" t="inlineStr">
        <is>
          <t>SCC ( RENTAL )</t>
        </is>
      </c>
      <c r="L368" s="45" t="inlineStr">
        <is>
          <t>-</t>
        </is>
      </c>
      <c r="N368" s="178" t="n"/>
      <c r="O368" s="178" t="n"/>
      <c r="P368" s="178" t="n"/>
      <c r="Q368" s="178" t="n"/>
      <c r="R368" s="178" t="n"/>
      <c r="S368" s="178" t="n"/>
      <c r="T368" s="178" t="n"/>
    </row>
    <row r="369" ht="14.25" customHeight="1">
      <c r="A369" s="554" t="n"/>
      <c r="B369" s="554" t="n"/>
      <c r="C369" s="554" t="n"/>
      <c r="D369" s="554" t="n"/>
      <c r="E369" s="445" t="inlineStr">
        <is>
          <t>Bappi Md Mofiz</t>
        </is>
      </c>
      <c r="F369" s="188" t="inlineStr">
        <is>
          <t>Soft Service</t>
        </is>
      </c>
      <c r="G369" s="446" t="inlineStr">
        <is>
          <t>-</t>
        </is>
      </c>
      <c r="H369" s="446" t="n">
        <v>2629184793</v>
      </c>
      <c r="I369" s="446" t="inlineStr">
        <is>
          <t>Approved</t>
        </is>
      </c>
      <c r="J369" s="551" t="n">
        <v>46068</v>
      </c>
      <c r="K369" s="446" t="inlineStr">
        <is>
          <t>SCC ( RENTAL )</t>
        </is>
      </c>
      <c r="L369" s="45" t="inlineStr">
        <is>
          <t>-</t>
        </is>
      </c>
      <c r="N369" s="178" t="n"/>
      <c r="O369" s="178" t="n"/>
      <c r="P369" s="178" t="n"/>
      <c r="Q369" s="178" t="n"/>
      <c r="R369" s="178" t="n"/>
      <c r="S369" s="178" t="n"/>
      <c r="T369" s="178" t="n"/>
    </row>
    <row r="370" ht="14.25" customHeight="1">
      <c r="A370" s="554" t="n"/>
      <c r="B370" s="554" t="n"/>
      <c r="C370" s="554" t="n"/>
      <c r="D370" s="554" t="n"/>
      <c r="E370" s="445" t="inlineStr">
        <is>
          <t>Md Abu Hanifa Onontor</t>
        </is>
      </c>
      <c r="F370" s="188" t="inlineStr">
        <is>
          <t>Soft Service</t>
        </is>
      </c>
      <c r="G370" s="446" t="inlineStr">
        <is>
          <t>-</t>
        </is>
      </c>
      <c r="H370" s="446" t="n">
        <v>2629940871</v>
      </c>
      <c r="I370" s="446" t="inlineStr">
        <is>
          <t>Approved</t>
        </is>
      </c>
      <c r="J370" s="551" t="n">
        <v>46068</v>
      </c>
      <c r="K370" s="446" t="inlineStr">
        <is>
          <t>SCC ( RENTAL )</t>
        </is>
      </c>
      <c r="L370" s="45" t="inlineStr">
        <is>
          <t>-</t>
        </is>
      </c>
      <c r="N370" s="178" t="n"/>
      <c r="O370" s="178" t="n"/>
      <c r="P370" s="178" t="n"/>
      <c r="Q370" s="178" t="n"/>
      <c r="R370" s="178" t="n"/>
      <c r="S370" s="178" t="n"/>
      <c r="T370" s="178" t="n"/>
    </row>
    <row r="371" ht="14.25" customHeight="1">
      <c r="A371" s="554" t="n"/>
      <c r="B371" s="554" t="n"/>
      <c r="C371" s="554" t="n"/>
      <c r="D371" s="554" t="n"/>
      <c r="E371" s="445" t="inlineStr">
        <is>
          <t>Md Arshad Miah</t>
        </is>
      </c>
      <c r="F371" s="188" t="inlineStr">
        <is>
          <t>Soft Service</t>
        </is>
      </c>
      <c r="G371" s="446" t="inlineStr">
        <is>
          <t>-</t>
        </is>
      </c>
      <c r="H371" s="446" t="n">
        <v>2629943586</v>
      </c>
      <c r="I371" s="446" t="inlineStr">
        <is>
          <t>Approved</t>
        </is>
      </c>
      <c r="J371" s="551" t="n">
        <v>46068</v>
      </c>
      <c r="K371" s="446" t="inlineStr">
        <is>
          <t>SCC ( RENTAL )</t>
        </is>
      </c>
      <c r="L371" s="45" t="inlineStr">
        <is>
          <t>-</t>
        </is>
      </c>
      <c r="N371" s="178" t="n"/>
      <c r="O371" s="178" t="n"/>
      <c r="P371" s="178" t="n"/>
      <c r="Q371" s="178" t="n"/>
      <c r="R371" s="178" t="n"/>
      <c r="S371" s="178" t="n"/>
      <c r="T371" s="178" t="n"/>
    </row>
    <row r="372" ht="14.25" customHeight="1">
      <c r="A372" s="554" t="n"/>
      <c r="B372" s="554" t="n"/>
      <c r="C372" s="554" t="n"/>
      <c r="D372" s="554" t="n"/>
      <c r="E372" s="445" t="inlineStr">
        <is>
          <t>MD KAMAL  HOSSAIN</t>
        </is>
      </c>
      <c r="F372" s="188" t="inlineStr">
        <is>
          <t>Soft Service</t>
        </is>
      </c>
      <c r="G372" s="446" t="n">
        <v>1240</v>
      </c>
      <c r="H372" s="446" t="inlineStr">
        <is>
          <t>2586127660</t>
        </is>
      </c>
      <c r="I372" s="446" t="inlineStr">
        <is>
          <t>Approved</t>
        </is>
      </c>
      <c r="J372" s="551" t="inlineStr">
        <is>
          <t>2024-10-30 00:00:00</t>
        </is>
      </c>
      <c r="K372" s="446" t="inlineStr">
        <is>
          <t>UCC RENTAL</t>
        </is>
      </c>
      <c r="L372" s="45" t="n"/>
      <c r="N372" s="178" t="n"/>
      <c r="O372" s="178" t="n"/>
      <c r="P372" s="178" t="n"/>
      <c r="Q372" s="178" t="n"/>
      <c r="R372" s="178" t="n"/>
      <c r="S372" s="178" t="n"/>
      <c r="T372" s="178" t="n"/>
    </row>
    <row r="373" ht="14.25" customHeight="1">
      <c r="A373" s="554" t="n"/>
      <c r="B373" s="554" t="n"/>
      <c r="C373" s="554" t="n"/>
      <c r="D373" s="554" t="n"/>
      <c r="E373" s="445" t="inlineStr">
        <is>
          <t>MD ABDUR RAHIM</t>
        </is>
      </c>
      <c r="F373" s="188" t="inlineStr">
        <is>
          <t>Soft Service</t>
        </is>
      </c>
      <c r="G373" s="446" t="inlineStr">
        <is>
          <t>JWD-2337</t>
        </is>
      </c>
      <c r="H373" s="446" t="inlineStr">
        <is>
          <t>2618999763</t>
        </is>
      </c>
      <c r="I373" s="446" t="inlineStr">
        <is>
          <t>Approved</t>
        </is>
      </c>
      <c r="J373" s="551" t="inlineStr">
        <is>
          <t>2026-06-26 00:00:00</t>
        </is>
      </c>
      <c r="K373" s="446" t="inlineStr">
        <is>
          <t>AB-HOOR RENTAL</t>
        </is>
      </c>
      <c r="L373" s="45" t="n"/>
      <c r="N373" s="178" t="n"/>
      <c r="O373" s="178" t="n"/>
      <c r="P373" s="178" t="n"/>
      <c r="Q373" s="178" t="n"/>
      <c r="R373" s="178" t="n"/>
      <c r="S373" s="178" t="n"/>
      <c r="T373" s="178" t="n"/>
    </row>
    <row r="374" ht="14.25" customHeight="1">
      <c r="A374" s="554" t="n"/>
      <c r="B374" s="554" t="n"/>
      <c r="C374" s="554" t="n"/>
      <c r="D374" s="554" t="n"/>
      <c r="E374" s="445" t="inlineStr">
        <is>
          <t>Mohammad Naseem</t>
        </is>
      </c>
      <c r="F374" s="188" t="inlineStr">
        <is>
          <t>Soft Service</t>
        </is>
      </c>
      <c r="G374" s="446" t="inlineStr">
        <is>
          <t>L0641</t>
        </is>
      </c>
      <c r="H374" s="446" t="n">
        <v>2629823622</v>
      </c>
      <c r="I374" s="446" t="inlineStr">
        <is>
          <t>Approved</t>
        </is>
      </c>
      <c r="J374" s="551" t="n">
        <v>46163</v>
      </c>
      <c r="K374" s="446" t="inlineStr">
        <is>
          <t>MEHAN RENTAL</t>
        </is>
      </c>
      <c r="L374" s="45" t="inlineStr">
        <is>
          <t>-</t>
        </is>
      </c>
      <c r="N374" s="178" t="n"/>
      <c r="O374" s="178" t="n"/>
      <c r="P374" s="178" t="n"/>
      <c r="Q374" s="178" t="n"/>
      <c r="R374" s="178" t="n"/>
      <c r="S374" s="178" t="n"/>
      <c r="T374" s="178" t="n"/>
    </row>
    <row r="375" ht="14.25" customHeight="1">
      <c r="A375" s="554" t="n"/>
      <c r="B375" s="554" t="n"/>
      <c r="C375" s="554" t="n"/>
      <c r="D375" s="554" t="n"/>
      <c r="E375" s="445" t="inlineStr">
        <is>
          <t>Irfan Miya</t>
        </is>
      </c>
      <c r="F375" s="188" t="inlineStr">
        <is>
          <t>Soft Service</t>
        </is>
      </c>
      <c r="G375" s="446" t="inlineStr">
        <is>
          <t>L01299</t>
        </is>
      </c>
      <c r="H375" s="446" t="n">
        <v>2636631687</v>
      </c>
      <c r="I375" s="446" t="inlineStr">
        <is>
          <t>Approved</t>
        </is>
      </c>
      <c r="J375" s="551" t="n">
        <v>46163</v>
      </c>
      <c r="K375" s="446" t="inlineStr">
        <is>
          <t>MEHAN RENTAL</t>
        </is>
      </c>
      <c r="L375" s="45" t="inlineStr">
        <is>
          <t>-</t>
        </is>
      </c>
      <c r="N375" s="178" t="n"/>
      <c r="O375" s="178" t="n"/>
      <c r="P375" s="178" t="n"/>
      <c r="Q375" s="178" t="n"/>
      <c r="R375" s="178" t="n"/>
      <c r="S375" s="178" t="n"/>
      <c r="T375" s="178" t="n"/>
    </row>
    <row r="376" ht="14.25" customHeight="1">
      <c r="A376" s="554" t="n"/>
      <c r="B376" s="554" t="n"/>
      <c r="C376" s="554" t="n"/>
      <c r="D376" s="554" t="n"/>
      <c r="E376" s="445" t="inlineStr">
        <is>
          <t>Mo Ateek Khan</t>
        </is>
      </c>
      <c r="F376" s="188" t="inlineStr">
        <is>
          <t>Soft Service</t>
        </is>
      </c>
      <c r="G376" s="446" t="inlineStr">
        <is>
          <t>L01320</t>
        </is>
      </c>
      <c r="H376" s="446" t="n">
        <v>2636632628</v>
      </c>
      <c r="I376" s="446" t="inlineStr">
        <is>
          <t>Approved</t>
        </is>
      </c>
      <c r="J376" s="551" t="n">
        <v>46163</v>
      </c>
      <c r="K376" s="446" t="inlineStr">
        <is>
          <t>MEHAN RENTAL</t>
        </is>
      </c>
      <c r="L376" s="45" t="inlineStr">
        <is>
          <t>-</t>
        </is>
      </c>
      <c r="N376" s="178" t="n"/>
      <c r="O376" s="178" t="n"/>
      <c r="P376" s="178" t="n"/>
      <c r="Q376" s="178" t="n"/>
      <c r="R376" s="178" t="n"/>
      <c r="S376" s="178" t="n"/>
      <c r="T376" s="178" t="n"/>
    </row>
    <row r="377" ht="14.25" customHeight="1">
      <c r="A377" s="554" t="n"/>
      <c r="B377" s="554" t="n"/>
      <c r="C377" s="554" t="n"/>
      <c r="D377" s="554" t="n"/>
      <c r="E377" s="445" t="inlineStr">
        <is>
          <t>Sahzad Shekh</t>
        </is>
      </c>
      <c r="F377" s="188" t="inlineStr">
        <is>
          <t>Soft Service</t>
        </is>
      </c>
      <c r="G377" s="446" t="inlineStr">
        <is>
          <t>L01305</t>
        </is>
      </c>
      <c r="H377" s="446" t="n">
        <v>2636632008</v>
      </c>
      <c r="I377" s="446" t="inlineStr">
        <is>
          <t>Approved</t>
        </is>
      </c>
      <c r="J377" s="551" t="n">
        <v>46163</v>
      </c>
      <c r="K377" s="446" t="inlineStr">
        <is>
          <t>MEHAN RENTAL</t>
        </is>
      </c>
      <c r="L377" s="45" t="inlineStr">
        <is>
          <t>-</t>
        </is>
      </c>
      <c r="N377" s="178" t="n"/>
      <c r="O377" s="178" t="n"/>
      <c r="P377" s="178" t="n"/>
      <c r="Q377" s="178" t="n"/>
      <c r="R377" s="178" t="n"/>
      <c r="S377" s="178" t="n"/>
      <c r="T377" s="178" t="n"/>
    </row>
    <row r="378" ht="14.25" customHeight="1">
      <c r="A378" s="554" t="n"/>
      <c r="B378" s="554" t="n"/>
      <c r="C378" s="554" t="n"/>
      <c r="D378" s="554" t="n"/>
      <c r="E378" s="445" t="inlineStr">
        <is>
          <t>Md Biblab Miah</t>
        </is>
      </c>
      <c r="F378" s="188" t="inlineStr">
        <is>
          <t>Soft Service</t>
        </is>
      </c>
      <c r="G378" s="446" t="inlineStr">
        <is>
          <t> </t>
        </is>
      </c>
      <c r="H378" s="446" t="n">
        <v>2614952428</v>
      </c>
      <c r="I378" s="446" t="inlineStr">
        <is>
          <t>Approved</t>
        </is>
      </c>
      <c r="J378" s="551" t="n">
        <v>46153</v>
      </c>
      <c r="K378" s="446" t="inlineStr">
        <is>
          <t>Telal Alhamra (Rental)</t>
        </is>
      </c>
      <c r="L378" s="45" t="inlineStr">
        <is>
          <t>-</t>
        </is>
      </c>
      <c r="N378" s="178" t="n"/>
      <c r="O378" s="178" t="n"/>
      <c r="P378" s="178" t="n"/>
      <c r="Q378" s="178" t="n"/>
      <c r="R378" s="178" t="n"/>
      <c r="S378" s="178" t="n"/>
      <c r="T378" s="178" t="n"/>
    </row>
    <row r="379" ht="14.25" customHeight="1">
      <c r="A379" s="554" t="n"/>
      <c r="B379" s="554" t="n"/>
      <c r="C379" s="554" t="n"/>
      <c r="D379" s="554" t="n"/>
      <c r="E379" s="445" t="inlineStr">
        <is>
          <t xml:space="preserve">Riaz Mia </t>
        </is>
      </c>
      <c r="F379" s="188" t="inlineStr">
        <is>
          <t>Soft Service</t>
        </is>
      </c>
      <c r="G379" s="446" t="inlineStr">
        <is>
          <t> </t>
        </is>
      </c>
      <c r="H379" s="446" t="n">
        <v>2629604535</v>
      </c>
      <c r="I379" s="446" t="inlineStr">
        <is>
          <t>Approved</t>
        </is>
      </c>
      <c r="J379" s="551" t="n">
        <v>46193</v>
      </c>
      <c r="K379" s="446" t="inlineStr">
        <is>
          <t>JAWAD AL DUWAIL RENTAL</t>
        </is>
      </c>
      <c r="L379" s="45" t="inlineStr">
        <is>
          <t>-</t>
        </is>
      </c>
      <c r="N379" s="178" t="n"/>
      <c r="O379" s="178" t="n"/>
      <c r="P379" s="178" t="n"/>
      <c r="Q379" s="178" t="n"/>
      <c r="R379" s="178" t="n"/>
      <c r="S379" s="178" t="n"/>
      <c r="T379" s="178" t="n"/>
    </row>
    <row r="380" ht="14.25" customHeight="1">
      <c r="A380" s="554" t="n"/>
      <c r="B380" s="554" t="n"/>
      <c r="C380" s="554" t="n"/>
      <c r="D380" s="554" t="n"/>
      <c r="E380" s="445" t="inlineStr">
        <is>
          <t>Md Robiul Auwal Kakon</t>
        </is>
      </c>
      <c r="F380" s="188" t="inlineStr">
        <is>
          <t>Soft Service</t>
        </is>
      </c>
      <c r="G380" s="446" t="inlineStr">
        <is>
          <t> </t>
        </is>
      </c>
      <c r="H380" s="446" t="n">
        <v>2629596129</v>
      </c>
      <c r="I380" s="446" t="inlineStr">
        <is>
          <t>Approved</t>
        </is>
      </c>
      <c r="J380" s="551" t="n">
        <v>46193</v>
      </c>
      <c r="K380" s="446" t="inlineStr">
        <is>
          <t>JAWAD AL DUWAIL RENTAL</t>
        </is>
      </c>
      <c r="L380" s="45" t="inlineStr">
        <is>
          <t>-</t>
        </is>
      </c>
      <c r="N380" s="178" t="n"/>
      <c r="O380" s="178" t="n"/>
      <c r="P380" s="178" t="n"/>
      <c r="Q380" s="178" t="n"/>
      <c r="R380" s="178" t="n"/>
      <c r="S380" s="178" t="n"/>
      <c r="T380" s="178" t="n"/>
    </row>
    <row r="381" ht="14.25" customHeight="1">
      <c r="A381" s="554" t="n"/>
      <c r="B381" s="554" t="n"/>
      <c r="C381" s="554" t="n"/>
      <c r="D381" s="554" t="n"/>
      <c r="E381" s="445" t="inlineStr">
        <is>
          <t xml:space="preserve">Md Shahin Alom </t>
        </is>
      </c>
      <c r="F381" s="188" t="inlineStr">
        <is>
          <t>Soft Service</t>
        </is>
      </c>
      <c r="G381" s="446" t="inlineStr">
        <is>
          <t> </t>
        </is>
      </c>
      <c r="H381" s="446" t="n">
        <v>2635889781</v>
      </c>
      <c r="I381" s="446" t="inlineStr">
        <is>
          <t>Approved</t>
        </is>
      </c>
      <c r="J381" s="551" t="n">
        <v>46193</v>
      </c>
      <c r="K381" s="446" t="inlineStr">
        <is>
          <t>JAWAD AL DUWAIL RENTAL</t>
        </is>
      </c>
      <c r="L381" s="45" t="inlineStr">
        <is>
          <t>-</t>
        </is>
      </c>
      <c r="N381" s="178" t="n"/>
      <c r="O381" s="178" t="n"/>
      <c r="P381" s="178" t="n"/>
      <c r="Q381" s="178" t="n"/>
      <c r="R381" s="178" t="n"/>
      <c r="S381" s="178" t="n"/>
      <c r="T381" s="178" t="n"/>
    </row>
    <row r="382" ht="14.25" customHeight="1">
      <c r="A382" s="554" t="n"/>
      <c r="B382" s="554" t="n"/>
      <c r="C382" s="554" t="n"/>
      <c r="D382" s="554" t="n"/>
      <c r="E382" s="445" t="inlineStr">
        <is>
          <t>Md Hanif Hossen Meride</t>
        </is>
      </c>
      <c r="F382" s="188" t="inlineStr">
        <is>
          <t>Soft Service</t>
        </is>
      </c>
      <c r="G382" s="446" t="inlineStr">
        <is>
          <t> </t>
        </is>
      </c>
      <c r="H382" s="446" t="n">
        <v>2635974146</v>
      </c>
      <c r="I382" s="446" t="inlineStr">
        <is>
          <t>Approved</t>
        </is>
      </c>
      <c r="J382" s="551" t="n">
        <v>46193</v>
      </c>
      <c r="K382" s="446" t="inlineStr">
        <is>
          <t>JAWAD AL DUWAIL RENTAL</t>
        </is>
      </c>
      <c r="L382" s="45" t="inlineStr">
        <is>
          <t>-</t>
        </is>
      </c>
      <c r="N382" s="178" t="n"/>
      <c r="O382" s="178" t="n"/>
      <c r="P382" s="178" t="n"/>
      <c r="Q382" s="178" t="n"/>
      <c r="R382" s="178" t="n"/>
      <c r="S382" s="178" t="n"/>
      <c r="T382" s="178" t="n"/>
    </row>
    <row r="383" ht="14.25" customHeight="1">
      <c r="A383" s="554" t="n"/>
      <c r="B383" s="554" t="n"/>
      <c r="C383" s="554" t="n"/>
      <c r="D383" s="554" t="n"/>
      <c r="E383" s="445" t="inlineStr">
        <is>
          <t xml:space="preserve">Pallab Kumar Shil </t>
        </is>
      </c>
      <c r="F383" s="188" t="inlineStr">
        <is>
          <t>Soft Service</t>
        </is>
      </c>
      <c r="G383" s="446" t="inlineStr">
        <is>
          <t> </t>
        </is>
      </c>
      <c r="H383" s="446" t="n">
        <v>2626923581</v>
      </c>
      <c r="I383" s="446" t="inlineStr">
        <is>
          <t>Approved</t>
        </is>
      </c>
      <c r="J383" s="551" t="n">
        <v>46193</v>
      </c>
      <c r="K383" s="446" t="inlineStr">
        <is>
          <t>JAWAD AL DUWAIL RENTAL</t>
        </is>
      </c>
      <c r="L383" s="45" t="inlineStr">
        <is>
          <t>-</t>
        </is>
      </c>
      <c r="N383" s="178" t="n"/>
      <c r="O383" s="178" t="n"/>
      <c r="P383" s="178" t="n"/>
      <c r="Q383" s="178" t="n"/>
      <c r="R383" s="178" t="n"/>
      <c r="S383" s="178" t="n"/>
      <c r="T383" s="178" t="n"/>
    </row>
    <row r="384" ht="14.25" customHeight="1">
      <c r="A384" s="554" t="n"/>
      <c r="B384" s="554" t="n"/>
      <c r="C384" s="554" t="n"/>
      <c r="D384" s="554" t="n"/>
      <c r="E384" s="445" t="inlineStr">
        <is>
          <t xml:space="preserve">Md Lal Mia </t>
        </is>
      </c>
      <c r="F384" s="188" t="inlineStr">
        <is>
          <t>Soft Service</t>
        </is>
      </c>
      <c r="G384" s="446" t="inlineStr">
        <is>
          <t> </t>
        </is>
      </c>
      <c r="H384" s="446" t="n">
        <v>2637685666</v>
      </c>
      <c r="I384" s="446" t="inlineStr">
        <is>
          <t>Approved</t>
        </is>
      </c>
      <c r="J384" s="551" t="n">
        <v>46193</v>
      </c>
      <c r="K384" s="446" t="inlineStr">
        <is>
          <t>JAWAD AL DUWAIL RENTAL</t>
        </is>
      </c>
      <c r="L384" s="45" t="inlineStr">
        <is>
          <t>-</t>
        </is>
      </c>
      <c r="N384" s="178" t="n"/>
      <c r="O384" s="178" t="n"/>
      <c r="P384" s="178" t="n"/>
      <c r="Q384" s="178" t="n"/>
      <c r="R384" s="178" t="n"/>
      <c r="S384" s="178" t="n"/>
      <c r="T384" s="178" t="n"/>
    </row>
    <row r="385" ht="14.25" customHeight="1">
      <c r="A385" s="554" t="n"/>
      <c r="B385" s="554" t="n"/>
      <c r="C385" s="554" t="n"/>
      <c r="D385" s="554" t="n"/>
      <c r="E385" s="445" t="inlineStr">
        <is>
          <t xml:space="preserve">Al Nahian </t>
        </is>
      </c>
      <c r="F385" s="188" t="inlineStr">
        <is>
          <t>Soft Service</t>
        </is>
      </c>
      <c r="G385" s="446" t="inlineStr">
        <is>
          <t> </t>
        </is>
      </c>
      <c r="H385" s="446" t="n">
        <v>2634192229</v>
      </c>
      <c r="I385" s="446" t="inlineStr">
        <is>
          <t>Approved</t>
        </is>
      </c>
      <c r="J385" s="551" t="n">
        <v>46193</v>
      </c>
      <c r="K385" s="446" t="inlineStr">
        <is>
          <t>JAWAD AL DUWAIL RENTAL</t>
        </is>
      </c>
      <c r="L385" s="45" t="inlineStr">
        <is>
          <t>-</t>
        </is>
      </c>
      <c r="N385" s="178" t="n"/>
      <c r="O385" s="178" t="n"/>
      <c r="P385" s="178" t="n"/>
      <c r="Q385" s="178" t="n"/>
      <c r="R385" s="178" t="n"/>
      <c r="S385" s="178" t="n"/>
      <c r="T385" s="178" t="n"/>
    </row>
    <row r="386" ht="14.25" customHeight="1">
      <c r="A386" s="554" t="n"/>
      <c r="B386" s="554" t="n"/>
      <c r="C386" s="554" t="n"/>
      <c r="D386" s="554" t="n"/>
      <c r="E386" s="445" t="inlineStr">
        <is>
          <t xml:space="preserve">Farhad Motira Rahman </t>
        </is>
      </c>
      <c r="F386" s="188" t="inlineStr">
        <is>
          <t>Soft Service</t>
        </is>
      </c>
      <c r="G386" s="446" t="inlineStr">
        <is>
          <t> </t>
        </is>
      </c>
      <c r="H386" s="446" t="n">
        <v>2637519022</v>
      </c>
      <c r="I386" s="446" t="inlineStr">
        <is>
          <t>Approved</t>
        </is>
      </c>
      <c r="J386" s="551" t="n">
        <v>46193</v>
      </c>
      <c r="K386" s="446" t="inlineStr">
        <is>
          <t>JAWAD AL DUWAIL RENTAL</t>
        </is>
      </c>
      <c r="L386" s="45" t="inlineStr">
        <is>
          <t>-</t>
        </is>
      </c>
      <c r="N386" s="178" t="n"/>
      <c r="O386" s="178" t="n"/>
      <c r="P386" s="178" t="n"/>
      <c r="Q386" s="178" t="n"/>
      <c r="R386" s="178" t="n"/>
      <c r="S386" s="178" t="n"/>
      <c r="T386" s="178" t="n"/>
    </row>
    <row r="387" ht="14.25" customHeight="1">
      <c r="A387" s="554" t="n"/>
      <c r="B387" s="554" t="n"/>
      <c r="C387" s="554" t="n"/>
      <c r="D387" s="554" t="n"/>
      <c r="E387" s="445" t="inlineStr">
        <is>
          <t xml:space="preserve">Md Babul </t>
        </is>
      </c>
      <c r="F387" s="188" t="inlineStr">
        <is>
          <t>Soft Service</t>
        </is>
      </c>
      <c r="G387" s="446" t="inlineStr">
        <is>
          <t> </t>
        </is>
      </c>
      <c r="H387" s="446" t="n">
        <v>2632568677</v>
      </c>
      <c r="I387" s="446" t="inlineStr">
        <is>
          <t>Approved</t>
        </is>
      </c>
      <c r="J387" s="551" t="n">
        <v>46193</v>
      </c>
      <c r="K387" s="446" t="inlineStr">
        <is>
          <t>JAWAD AL DUWAIL RENTAL</t>
        </is>
      </c>
      <c r="L387" s="45" t="inlineStr">
        <is>
          <t>-</t>
        </is>
      </c>
      <c r="N387" s="178" t="n"/>
      <c r="O387" s="178" t="n"/>
      <c r="P387" s="178" t="n"/>
      <c r="Q387" s="178" t="n"/>
      <c r="R387" s="178" t="n"/>
      <c r="S387" s="178" t="n"/>
      <c r="T387" s="178" t="n"/>
    </row>
    <row r="388" ht="14.25" customHeight="1">
      <c r="A388" s="554" t="n"/>
      <c r="B388" s="554" t="n"/>
      <c r="C388" s="554" t="n"/>
      <c r="D388" s="554" t="n"/>
      <c r="E388" s="445" t="inlineStr">
        <is>
          <t>Md Mamun Howlader</t>
        </is>
      </c>
      <c r="F388" s="188" t="inlineStr">
        <is>
          <t>Soft Service</t>
        </is>
      </c>
      <c r="G388" s="446" t="inlineStr">
        <is>
          <t> </t>
        </is>
      </c>
      <c r="H388" s="446" t="n">
        <v>2627731132</v>
      </c>
      <c r="I388" s="446" t="inlineStr">
        <is>
          <t>Approved</t>
        </is>
      </c>
      <c r="J388" s="551" t="n">
        <v>46193</v>
      </c>
      <c r="K388" s="446" t="inlineStr">
        <is>
          <t>JAWAD AL DUWAIL RENTAL</t>
        </is>
      </c>
      <c r="L388" s="45" t="inlineStr">
        <is>
          <t>-</t>
        </is>
      </c>
      <c r="N388" s="178" t="n"/>
      <c r="O388" s="178" t="n"/>
      <c r="P388" s="178" t="n"/>
      <c r="Q388" s="178" t="n"/>
      <c r="R388" s="178" t="n"/>
      <c r="S388" s="178" t="n"/>
      <c r="T388" s="178" t="n"/>
    </row>
    <row r="389" ht="14.25" customHeight="1">
      <c r="A389" s="554" t="n"/>
      <c r="B389" s="554" t="n"/>
      <c r="C389" s="554" t="n"/>
      <c r="D389" s="554" t="n"/>
      <c r="E389" s="445" t="inlineStr">
        <is>
          <t xml:space="preserve">Md Rasel Mia </t>
        </is>
      </c>
      <c r="F389" s="188" t="inlineStr">
        <is>
          <t>Soft Service</t>
        </is>
      </c>
      <c r="G389" s="446" t="inlineStr">
        <is>
          <t> </t>
        </is>
      </c>
      <c r="H389" s="446" t="n">
        <v>2590172272</v>
      </c>
      <c r="I389" s="446" t="inlineStr">
        <is>
          <t>Approved</t>
        </is>
      </c>
      <c r="J389" s="551" t="n">
        <v>46193</v>
      </c>
      <c r="K389" s="446" t="inlineStr">
        <is>
          <t>JAWAD AL DUWAIL RENTAL</t>
        </is>
      </c>
      <c r="L389" s="45" t="inlineStr">
        <is>
          <t>-</t>
        </is>
      </c>
      <c r="N389" s="178" t="n"/>
      <c r="O389" s="178" t="n"/>
      <c r="P389" s="178" t="n"/>
      <c r="Q389" s="178" t="n"/>
      <c r="R389" s="178" t="n"/>
      <c r="S389" s="178" t="n"/>
      <c r="T389" s="178" t="n"/>
    </row>
    <row r="390" ht="14.25" customHeight="1">
      <c r="A390" s="554" t="n"/>
      <c r="B390" s="554" t="n"/>
      <c r="C390" s="554" t="n"/>
      <c r="D390" s="554" t="n"/>
      <c r="E390" s="445" t="inlineStr">
        <is>
          <t xml:space="preserve">Ashiqur Rahaman Roni </t>
        </is>
      </c>
      <c r="F390" s="188" t="inlineStr">
        <is>
          <t>Soft Service</t>
        </is>
      </c>
      <c r="G390" s="446" t="inlineStr">
        <is>
          <t> </t>
        </is>
      </c>
      <c r="H390" s="446" t="n">
        <v>2632536336</v>
      </c>
      <c r="I390" s="446" t="inlineStr">
        <is>
          <t>Approved</t>
        </is>
      </c>
      <c r="J390" s="551" t="n">
        <v>46194</v>
      </c>
      <c r="K390" s="446" t="inlineStr">
        <is>
          <t>JAWAD AL DUWAIL RENTAL</t>
        </is>
      </c>
      <c r="L390" s="45" t="inlineStr">
        <is>
          <t>-</t>
        </is>
      </c>
      <c r="N390" s="178" t="n"/>
      <c r="O390" s="178" t="n"/>
      <c r="P390" s="178" t="n"/>
      <c r="Q390" s="178" t="n"/>
      <c r="R390" s="178" t="n"/>
      <c r="S390" s="178" t="n"/>
      <c r="T390" s="178" t="n"/>
    </row>
    <row r="391" ht="14.25" customHeight="1">
      <c r="A391" s="554" t="n"/>
      <c r="B391" s="554" t="n"/>
      <c r="C391" s="554" t="n"/>
      <c r="D391" s="554" t="n"/>
      <c r="E391" s="445" t="n"/>
      <c r="F391" s="188" t="inlineStr">
        <is>
          <t>Soft Service</t>
        </is>
      </c>
      <c r="G391" s="446" t="inlineStr">
        <is>
          <t>-</t>
        </is>
      </c>
      <c r="H391" s="446" t="n"/>
      <c r="I391" s="446" t="inlineStr">
        <is>
          <t>Vacant</t>
        </is>
      </c>
      <c r="J391" s="551" t="n"/>
      <c r="K391" s="446" t="n"/>
      <c r="L391" s="45" t="inlineStr">
        <is>
          <t>-</t>
        </is>
      </c>
      <c r="N391" s="178" t="n"/>
      <c r="O391" s="178" t="n"/>
      <c r="P391" s="178" t="n"/>
      <c r="Q391" s="178" t="n"/>
      <c r="R391" s="178" t="n"/>
      <c r="S391" s="178" t="n"/>
      <c r="T391" s="178" t="n"/>
    </row>
    <row r="392" ht="14.25" customHeight="1">
      <c r="A392" s="554" t="n"/>
      <c r="B392" s="554" t="n"/>
      <c r="C392" s="554" t="n"/>
      <c r="D392" s="554" t="n"/>
      <c r="E392" s="445" t="n"/>
      <c r="F392" s="188" t="inlineStr">
        <is>
          <t>Soft Service</t>
        </is>
      </c>
      <c r="G392" s="446" t="inlineStr">
        <is>
          <t>-</t>
        </is>
      </c>
      <c r="H392" s="446" t="n"/>
      <c r="I392" s="446" t="inlineStr">
        <is>
          <t>Vacant</t>
        </is>
      </c>
      <c r="J392" s="551" t="n"/>
      <c r="K392" s="446" t="n"/>
      <c r="L392" s="45" t="inlineStr">
        <is>
          <t>-</t>
        </is>
      </c>
      <c r="N392" s="178" t="n"/>
      <c r="O392" s="178" t="n"/>
      <c r="P392" s="178" t="n"/>
      <c r="Q392" s="178" t="n"/>
      <c r="R392" s="178" t="n"/>
      <c r="S392" s="178" t="n"/>
      <c r="T392" s="178" t="n"/>
    </row>
    <row r="393" ht="14.25" customHeight="1">
      <c r="A393" s="554" t="n"/>
      <c r="B393" s="554" t="n"/>
      <c r="C393" s="554" t="n"/>
      <c r="D393" s="554" t="n"/>
      <c r="E393" s="445" t="inlineStr">
        <is>
          <t>Arman Sorfa Mia</t>
        </is>
      </c>
      <c r="F393" s="188" t="inlineStr">
        <is>
          <t>Soft Service</t>
        </is>
      </c>
      <c r="G393" s="446" t="inlineStr">
        <is>
          <t>-</t>
        </is>
      </c>
      <c r="H393" s="446" t="n">
        <v>2624017477</v>
      </c>
      <c r="I393" s="446" t="inlineStr">
        <is>
          <t>Approved</t>
        </is>
      </c>
      <c r="J393" s="551" t="n">
        <v>46198</v>
      </c>
      <c r="K393" s="446" t="inlineStr">
        <is>
          <t>JAWAD AL DUWAIL RENTAL</t>
        </is>
      </c>
      <c r="L393" s="45" t="inlineStr">
        <is>
          <t>-</t>
        </is>
      </c>
      <c r="N393" s="178" t="n"/>
      <c r="O393" s="178" t="n"/>
      <c r="P393" s="178" t="n"/>
      <c r="Q393" s="178" t="n"/>
      <c r="R393" s="178" t="n"/>
      <c r="S393" s="178" t="n"/>
      <c r="T393" s="178" t="n"/>
    </row>
    <row r="394" ht="14.25" customHeight="1">
      <c r="A394" s="554" t="n"/>
      <c r="B394" s="554" t="n"/>
      <c r="C394" s="554" t="n"/>
      <c r="D394" s="554" t="n"/>
      <c r="E394" s="445" t="inlineStr">
        <is>
          <t>Md Abdur Rahim</t>
        </is>
      </c>
      <c r="F394" s="188" t="inlineStr">
        <is>
          <t>Soft Service</t>
        </is>
      </c>
      <c r="G394" s="446" t="inlineStr">
        <is>
          <t>-</t>
        </is>
      </c>
      <c r="H394" s="446" t="n">
        <v>2618349763</v>
      </c>
      <c r="I394" s="446" t="inlineStr">
        <is>
          <t>Approved</t>
        </is>
      </c>
      <c r="J394" s="551" t="n">
        <v>46199</v>
      </c>
      <c r="K394" s="446" t="inlineStr">
        <is>
          <t>JAWAD AL DUWAIL RENTAL</t>
        </is>
      </c>
      <c r="L394" s="45" t="inlineStr">
        <is>
          <t>-</t>
        </is>
      </c>
      <c r="N394" s="178" t="n"/>
      <c r="O394" s="178" t="n"/>
      <c r="P394" s="178" t="n"/>
      <c r="Q394" s="178" t="n"/>
      <c r="R394" s="178" t="n"/>
      <c r="S394" s="178" t="n"/>
      <c r="T394" s="178" t="n"/>
    </row>
    <row r="395" ht="15.75" customHeight="1">
      <c r="A395" s="553" t="n"/>
      <c r="B395" s="553" t="n"/>
      <c r="C395" s="553" t="n"/>
      <c r="D395" s="553" t="n"/>
      <c r="E395" s="445" t="inlineStr">
        <is>
          <t xml:space="preserve">MD Hassan </t>
        </is>
      </c>
      <c r="F395" s="188" t="inlineStr">
        <is>
          <t>Soft Service</t>
        </is>
      </c>
      <c r="G395" s="446" t="inlineStr">
        <is>
          <t>-</t>
        </is>
      </c>
      <c r="H395" s="446" t="n">
        <v>2618204867</v>
      </c>
      <c r="I395" s="446" t="inlineStr">
        <is>
          <t>Approved</t>
        </is>
      </c>
      <c r="J395" s="552" t="n"/>
      <c r="K395" s="446" t="inlineStr">
        <is>
          <t>AB-HOOR</t>
        </is>
      </c>
      <c r="L395" s="45" t="inlineStr">
        <is>
          <t>-</t>
        </is>
      </c>
      <c r="N395" s="178" t="n"/>
      <c r="O395" s="178" t="n"/>
      <c r="P395" s="178" t="n"/>
      <c r="Q395" s="178" t="n"/>
      <c r="R395" s="178" t="n"/>
      <c r="S395" s="178" t="n"/>
      <c r="T395" s="178" t="n"/>
    </row>
    <row r="396" ht="15.75" customHeight="1">
      <c r="A396" s="430" t="inlineStr">
        <is>
          <t>Laundry Driver</t>
        </is>
      </c>
      <c r="B396" s="430" t="n">
        <v>2</v>
      </c>
      <c r="C396" s="430">
        <f>COUNTIF(E396:E397,"&lt;&gt;")</f>
        <v/>
      </c>
      <c r="D396" s="430">
        <f>C396-B396</f>
        <v/>
      </c>
      <c r="E396" s="187" t="n"/>
      <c r="F396" s="188" t="inlineStr">
        <is>
          <t>Soft Service</t>
        </is>
      </c>
      <c r="G396" s="446" t="inlineStr">
        <is>
          <t>-</t>
        </is>
      </c>
      <c r="H396" s="446" t="inlineStr">
        <is>
          <t>-</t>
        </is>
      </c>
      <c r="I396" s="446" t="inlineStr">
        <is>
          <t>Vacant</t>
        </is>
      </c>
      <c r="J396" s="552" t="n"/>
      <c r="K396" s="446" t="inlineStr">
        <is>
          <t>-</t>
        </is>
      </c>
      <c r="L396" s="45" t="inlineStr">
        <is>
          <t>-</t>
        </is>
      </c>
      <c r="N396" s="178" t="n"/>
      <c r="O396" s="178" t="n"/>
      <c r="P396" s="178" t="n"/>
      <c r="Q396" s="178" t="n"/>
      <c r="R396" s="178" t="n"/>
      <c r="S396" s="178" t="n"/>
      <c r="T396" s="178" t="n"/>
    </row>
    <row r="397" ht="15.75" customHeight="1">
      <c r="A397" s="553" t="n"/>
      <c r="B397" s="553" t="n"/>
      <c r="C397" s="553" t="n"/>
      <c r="D397" s="553" t="n"/>
      <c r="E397" s="187" t="n"/>
      <c r="F397" s="188" t="inlineStr">
        <is>
          <t>Soft Service</t>
        </is>
      </c>
      <c r="G397" s="446" t="inlineStr">
        <is>
          <t>-</t>
        </is>
      </c>
      <c r="H397" s="446" t="inlineStr">
        <is>
          <t>-</t>
        </is>
      </c>
      <c r="I397" s="446" t="inlineStr">
        <is>
          <t>Vacant</t>
        </is>
      </c>
      <c r="J397" s="552" t="n"/>
      <c r="K397" s="446" t="inlineStr">
        <is>
          <t>-</t>
        </is>
      </c>
      <c r="L397" s="45" t="inlineStr">
        <is>
          <t>-</t>
        </is>
      </c>
      <c r="N397" s="178" t="n"/>
      <c r="O397" s="178" t="n"/>
      <c r="P397" s="178" t="n"/>
      <c r="Q397" s="178" t="n"/>
      <c r="R397" s="178" t="n"/>
      <c r="S397" s="178" t="n"/>
      <c r="T397" s="178" t="n"/>
    </row>
    <row r="398" ht="26.25" customHeight="1">
      <c r="A398" s="53" t="inlineStr">
        <is>
          <t>Total Team 
Laundry Services</t>
        </is>
      </c>
      <c r="B398" s="53" t="inlineStr">
        <is>
          <t>Contractual Requirement</t>
        </is>
      </c>
      <c r="C398" s="53" t="inlineStr">
        <is>
          <t>Approved</t>
        </is>
      </c>
      <c r="D398" s="53" t="inlineStr">
        <is>
          <t>Vacant Position</t>
        </is>
      </c>
      <c r="E398" s="55" t="inlineStr">
        <is>
          <t>Rejected</t>
        </is>
      </c>
      <c r="F398" s="55" t="inlineStr">
        <is>
          <t xml:space="preserve">Additional </t>
        </is>
      </c>
      <c r="G398" s="55" t="inlineStr">
        <is>
          <t>ID</t>
        </is>
      </c>
      <c r="H398" s="55" t="inlineStr">
        <is>
          <t>Iqama</t>
        </is>
      </c>
      <c r="I398" s="80" t="inlineStr">
        <is>
          <t>Status</t>
        </is>
      </c>
      <c r="J398" s="555" t="n"/>
      <c r="K398" s="56" t="n"/>
      <c r="L398" s="55" t="inlineStr">
        <is>
          <t>Remark/Notes</t>
        </is>
      </c>
      <c r="N398" s="178" t="n"/>
      <c r="O398" s="178" t="n"/>
      <c r="P398" s="178" t="n"/>
      <c r="Q398" s="178" t="n"/>
      <c r="R398" s="178" t="n"/>
      <c r="S398" s="178" t="n"/>
      <c r="T398" s="178" t="n"/>
    </row>
    <row r="399" ht="15.75" customHeight="1">
      <c r="A399" s="53">
        <f>COUNTIF(E356:E397,"&lt;&gt;")</f>
        <v/>
      </c>
      <c r="B399" s="53">
        <f>SUM(B161:B397)</f>
        <v/>
      </c>
      <c r="C399" s="53">
        <f>COUNTIF(I161:I397,"Approved")</f>
        <v/>
      </c>
      <c r="D399" s="53">
        <f>COUNTIF(I161:I397,"Vacant")</f>
        <v/>
      </c>
      <c r="E399" s="55">
        <f>COUNTIF(I356:I397,"Rejected")</f>
        <v/>
      </c>
      <c r="F399" s="55">
        <f>COUNTIF(I161:I397,"Additional")</f>
        <v/>
      </c>
      <c r="G399" s="55">
        <f>COUNTIF(G161:G397,"-")</f>
        <v/>
      </c>
      <c r="H399" s="55">
        <f>COUNTIF(H161:H397,"-")</f>
        <v/>
      </c>
      <c r="I399" s="60" t="n"/>
      <c r="J399" s="556" t="n"/>
      <c r="K399" s="60" t="n"/>
      <c r="L399" s="60" t="n"/>
      <c r="N399" s="178" t="n"/>
      <c r="O399" s="178" t="n"/>
      <c r="P399" s="178" t="n"/>
      <c r="Q399" s="178" t="n"/>
      <c r="R399" s="178" t="n"/>
      <c r="S399" s="178" t="n"/>
      <c r="T399" s="178" t="n"/>
    </row>
    <row r="400" ht="15.75" customHeight="1">
      <c r="A400" s="236" t="n"/>
      <c r="B400" s="237" t="n"/>
      <c r="C400" s="237" t="n"/>
      <c r="D400" s="237" t="n"/>
      <c r="E400" s="187" t="n"/>
      <c r="I400" s="178" t="n"/>
      <c r="J400" s="579" t="n"/>
      <c r="K400" s="189" t="n"/>
      <c r="L400" s="238" t="n"/>
      <c r="N400" s="178" t="n"/>
      <c r="O400" s="178" t="n"/>
      <c r="P400" s="178" t="n"/>
      <c r="Q400" s="178" t="n"/>
      <c r="R400" s="178" t="n"/>
      <c r="S400" s="178" t="n"/>
      <c r="T400" s="178" t="n"/>
    </row>
    <row r="401" ht="26.25" customHeight="1">
      <c r="A401" s="185" t="inlineStr">
        <is>
          <t>Position</t>
        </is>
      </c>
      <c r="B401" s="12" t="inlineStr">
        <is>
          <t>Contractual Requirement</t>
        </is>
      </c>
      <c r="C401" s="12" t="inlineStr">
        <is>
          <t>On-Site Availability</t>
        </is>
      </c>
      <c r="D401" s="12" t="inlineStr">
        <is>
          <t>Vacant Position</t>
        </is>
      </c>
      <c r="E401" s="14" t="inlineStr">
        <is>
          <t>Emaployee Name</t>
        </is>
      </c>
      <c r="F401" s="14" t="inlineStr">
        <is>
          <t>Decipline</t>
        </is>
      </c>
      <c r="G401" s="15" t="inlineStr">
        <is>
          <t>ID</t>
        </is>
      </c>
      <c r="H401" s="14" t="inlineStr">
        <is>
          <t>Iqama</t>
        </is>
      </c>
      <c r="I401" s="15" t="inlineStr">
        <is>
          <t>Status</t>
        </is>
      </c>
      <c r="J401" s="558" t="n"/>
      <c r="K401" s="211" t="n"/>
      <c r="L401" s="15" t="inlineStr">
        <is>
          <t>Remarks/Notes</t>
        </is>
      </c>
      <c r="N401" s="178" t="n"/>
      <c r="O401" s="178" t="n"/>
      <c r="P401" s="178" t="n"/>
      <c r="Q401" s="178" t="n"/>
      <c r="R401" s="178" t="n"/>
      <c r="S401" s="178" t="n"/>
      <c r="T401" s="178" t="n"/>
    </row>
    <row r="402" ht="15.75" customHeight="1">
      <c r="A402" s="439" t="inlineStr">
        <is>
          <t>QHSE Manager</t>
        </is>
      </c>
      <c r="B402" s="439" t="n">
        <v>2</v>
      </c>
      <c r="C402" s="439">
        <f>COUNTIF(E402,"&lt;&gt;")</f>
        <v/>
      </c>
      <c r="D402" s="439">
        <f>C402-B402</f>
        <v/>
      </c>
      <c r="E402" s="445" t="inlineStr">
        <is>
          <t>Faisal Anwar Khan</t>
        </is>
      </c>
      <c r="F402" s="120" t="inlineStr">
        <is>
          <t>Health &amp; Safety</t>
        </is>
      </c>
      <c r="G402" s="446" t="inlineStr">
        <is>
          <t>-</t>
        </is>
      </c>
      <c r="H402" s="446" t="n">
        <v>2507389415</v>
      </c>
      <c r="I402" s="446" t="inlineStr">
        <is>
          <t>Approved</t>
        </is>
      </c>
      <c r="J402" s="551" t="n">
        <v>46092</v>
      </c>
      <c r="K402" s="446" t="inlineStr">
        <is>
          <t>FMCO</t>
        </is>
      </c>
      <c r="L402" s="32" t="inlineStr">
        <is>
          <t>-</t>
        </is>
      </c>
      <c r="N402" s="178" t="n"/>
      <c r="O402" s="178" t="n"/>
      <c r="P402" s="178" t="n"/>
      <c r="Q402" s="178" t="n"/>
      <c r="R402" s="178" t="n"/>
      <c r="S402" s="178" t="n"/>
      <c r="T402" s="178" t="n"/>
    </row>
    <row r="403" ht="15.75" customHeight="1">
      <c r="A403" s="553" t="n"/>
      <c r="B403" s="553" t="n"/>
      <c r="C403" s="553" t="n"/>
      <c r="D403" s="553" t="n"/>
      <c r="E403" s="187" t="n"/>
      <c r="F403" s="120" t="inlineStr">
        <is>
          <t>Health &amp; Safety</t>
        </is>
      </c>
      <c r="G403" s="446" t="inlineStr">
        <is>
          <t>-</t>
        </is>
      </c>
      <c r="H403" s="446" t="inlineStr">
        <is>
          <t>-</t>
        </is>
      </c>
      <c r="I403" s="446" t="inlineStr">
        <is>
          <t>Vacant</t>
        </is>
      </c>
      <c r="J403" s="552" t="n"/>
      <c r="K403" s="446" t="inlineStr">
        <is>
          <t>-</t>
        </is>
      </c>
      <c r="L403" s="32" t="inlineStr">
        <is>
          <t>-</t>
        </is>
      </c>
      <c r="N403" s="178" t="n"/>
      <c r="O403" s="178" t="n"/>
      <c r="P403" s="178" t="n"/>
      <c r="Q403" s="178" t="n"/>
      <c r="R403" s="178" t="n"/>
      <c r="S403" s="178" t="n"/>
      <c r="T403" s="178" t="n"/>
    </row>
    <row r="404" ht="15.75" customHeight="1">
      <c r="A404" s="430" t="inlineStr">
        <is>
          <t>Environmental Inspector</t>
        </is>
      </c>
      <c r="B404" s="430" t="n">
        <v>3</v>
      </c>
      <c r="C404" s="430">
        <f>COUNTIF(E404:E406,"&lt;&gt;")</f>
        <v/>
      </c>
      <c r="D404" s="430">
        <f>C404-B404</f>
        <v/>
      </c>
      <c r="E404" s="187" t="n"/>
      <c r="F404" s="120" t="inlineStr">
        <is>
          <t>Health &amp; Safety</t>
        </is>
      </c>
      <c r="G404" s="446" t="inlineStr">
        <is>
          <t>-</t>
        </is>
      </c>
      <c r="H404" s="446" t="inlineStr">
        <is>
          <t>-</t>
        </is>
      </c>
      <c r="I404" s="446" t="inlineStr">
        <is>
          <t>Vacant</t>
        </is>
      </c>
      <c r="J404" s="552" t="n"/>
      <c r="K404" s="446" t="inlineStr">
        <is>
          <t>-</t>
        </is>
      </c>
      <c r="L404" s="32" t="inlineStr">
        <is>
          <t>-</t>
        </is>
      </c>
      <c r="N404" s="178" t="n"/>
      <c r="O404" s="178" t="n"/>
      <c r="P404" s="178" t="n"/>
      <c r="Q404" s="178" t="n"/>
      <c r="R404" s="178" t="n"/>
      <c r="S404" s="178" t="n"/>
      <c r="T404" s="178" t="n"/>
    </row>
    <row r="405" ht="15.75" customHeight="1">
      <c r="A405" s="554" t="n"/>
      <c r="B405" s="554" t="n"/>
      <c r="C405" s="554" t="n"/>
      <c r="D405" s="554" t="n"/>
      <c r="E405" s="187" t="n"/>
      <c r="F405" s="120" t="inlineStr">
        <is>
          <t>Health &amp; Safety</t>
        </is>
      </c>
      <c r="G405" s="446" t="inlineStr">
        <is>
          <t>-</t>
        </is>
      </c>
      <c r="H405" s="446" t="inlineStr">
        <is>
          <t>-</t>
        </is>
      </c>
      <c r="I405" s="446" t="inlineStr">
        <is>
          <t>Vacant</t>
        </is>
      </c>
      <c r="J405" s="552" t="n"/>
      <c r="K405" s="446" t="inlineStr">
        <is>
          <t>-</t>
        </is>
      </c>
      <c r="L405" s="32" t="inlineStr">
        <is>
          <t>-</t>
        </is>
      </c>
      <c r="N405" s="178" t="n"/>
      <c r="O405" s="178" t="n"/>
      <c r="P405" s="178" t="n"/>
      <c r="Q405" s="178" t="n"/>
      <c r="R405" s="178" t="n"/>
      <c r="S405" s="178" t="n"/>
      <c r="T405" s="178" t="n"/>
    </row>
    <row r="406" ht="15.75" customHeight="1">
      <c r="A406" s="553" t="n"/>
      <c r="B406" s="553" t="n"/>
      <c r="C406" s="553" t="n"/>
      <c r="D406" s="553" t="n"/>
      <c r="E406" s="187" t="n"/>
      <c r="F406" s="120" t="inlineStr">
        <is>
          <t>Health &amp; Safety</t>
        </is>
      </c>
      <c r="G406" s="446" t="inlineStr">
        <is>
          <t>-</t>
        </is>
      </c>
      <c r="H406" s="446" t="inlineStr">
        <is>
          <t>-</t>
        </is>
      </c>
      <c r="I406" s="446" t="inlineStr">
        <is>
          <t>Vacant</t>
        </is>
      </c>
      <c r="J406" s="552" t="n"/>
      <c r="K406" s="446" t="inlineStr">
        <is>
          <t>-</t>
        </is>
      </c>
      <c r="L406" s="32" t="inlineStr">
        <is>
          <t>-</t>
        </is>
      </c>
      <c r="N406" s="178" t="n"/>
      <c r="O406" s="178" t="n"/>
      <c r="P406" s="178" t="n"/>
      <c r="Q406" s="178" t="n"/>
      <c r="R406" s="178" t="n"/>
      <c r="S406" s="178" t="n"/>
      <c r="T406" s="178" t="n"/>
    </row>
    <row r="407" ht="14.25" customHeight="1">
      <c r="A407" s="439" t="inlineStr">
        <is>
          <t>QHSE Officer</t>
        </is>
      </c>
      <c r="B407" s="439" t="n">
        <v>2</v>
      </c>
      <c r="C407" s="439">
        <f>COUNTIF(E407:E408,"&lt;&gt;")</f>
        <v/>
      </c>
      <c r="D407" s="439">
        <f>C407-B407</f>
        <v/>
      </c>
      <c r="E407" s="445" t="inlineStr">
        <is>
          <t xml:space="preserve">Esbeth Sebastian </t>
        </is>
      </c>
      <c r="F407" s="120" t="inlineStr">
        <is>
          <t>Health &amp; Safety</t>
        </is>
      </c>
      <c r="G407" s="446" t="inlineStr">
        <is>
          <t>C00485</t>
        </is>
      </c>
      <c r="H407" s="446" t="n">
        <v>2580327050</v>
      </c>
      <c r="I407" s="446" t="inlineStr">
        <is>
          <t>Approved</t>
        </is>
      </c>
      <c r="J407" s="551" t="n">
        <v>46079</v>
      </c>
      <c r="K407" s="446" t="inlineStr">
        <is>
          <t>MEHAN VISA</t>
        </is>
      </c>
      <c r="L407" s="32" t="inlineStr">
        <is>
          <t>-</t>
        </is>
      </c>
      <c r="N407" s="178" t="n"/>
      <c r="O407" s="178" t="n"/>
      <c r="P407" s="178" t="n"/>
      <c r="Q407" s="178" t="n"/>
      <c r="R407" s="178" t="n"/>
      <c r="S407" s="178" t="n"/>
      <c r="T407" s="178" t="n"/>
    </row>
    <row r="408" ht="14.25" customHeight="1">
      <c r="A408" s="553" t="n"/>
      <c r="B408" s="553" t="n"/>
      <c r="C408" s="553" t="n"/>
      <c r="D408" s="553" t="n"/>
      <c r="E408" s="445" t="inlineStr">
        <is>
          <t>Tanzeel Ur Rehman Abbasi</t>
        </is>
      </c>
      <c r="F408" s="120" t="inlineStr">
        <is>
          <t>Health &amp; Safety</t>
        </is>
      </c>
      <c r="G408" s="446" t="inlineStr">
        <is>
          <t>-</t>
        </is>
      </c>
      <c r="H408" s="446" t="n">
        <v>2625573221</v>
      </c>
      <c r="I408" s="446" t="inlineStr">
        <is>
          <t>Approved</t>
        </is>
      </c>
      <c r="J408" s="551" t="n">
        <v>46220</v>
      </c>
      <c r="K408" s="446" t="inlineStr">
        <is>
          <t>FMCO</t>
        </is>
      </c>
      <c r="L408" s="32" t="inlineStr">
        <is>
          <t>-</t>
        </is>
      </c>
      <c r="N408" s="178" t="n"/>
      <c r="O408" s="178" t="n"/>
      <c r="P408" s="178" t="n"/>
      <c r="Q408" s="178" t="n"/>
      <c r="R408" s="178" t="n"/>
      <c r="S408" s="178" t="n"/>
      <c r="T408" s="178" t="n"/>
    </row>
    <row r="409" ht="14.25" customHeight="1">
      <c r="A409" s="439" t="inlineStr">
        <is>
          <t>Safety Officer</t>
        </is>
      </c>
      <c r="B409" s="439" t="n">
        <v>2</v>
      </c>
      <c r="C409" s="439">
        <f>COUNTIF(E409:E410,"&lt;&gt;")</f>
        <v/>
      </c>
      <c r="D409" s="439">
        <f>C409-B409</f>
        <v/>
      </c>
      <c r="E409" s="445" t="inlineStr">
        <is>
          <t>Shrihan Nuwan Chaminda Silva</t>
        </is>
      </c>
      <c r="F409" s="120" t="inlineStr">
        <is>
          <t>Health &amp; Safety</t>
        </is>
      </c>
      <c r="G409" s="446" t="n">
        <v>702273</v>
      </c>
      <c r="H409" s="446" t="n">
        <v>2547039087</v>
      </c>
      <c r="I409" s="446" t="inlineStr">
        <is>
          <t>Approved</t>
        </is>
      </c>
      <c r="J409" s="551" t="n">
        <v>45600</v>
      </c>
      <c r="K409" s="446" t="inlineStr">
        <is>
          <t>FMCO</t>
        </is>
      </c>
      <c r="L409" s="32" t="inlineStr">
        <is>
          <t>-</t>
        </is>
      </c>
      <c r="N409" s="178" t="n"/>
      <c r="O409" s="178" t="n"/>
      <c r="P409" s="178" t="n"/>
      <c r="Q409" s="178" t="n"/>
      <c r="R409" s="178" t="n"/>
      <c r="S409" s="178" t="n"/>
      <c r="T409" s="178" t="n"/>
    </row>
    <row r="410" ht="15.75" customHeight="1">
      <c r="A410" s="553" t="n"/>
      <c r="B410" s="553" t="n"/>
      <c r="C410" s="553" t="n"/>
      <c r="D410" s="553" t="n"/>
      <c r="E410" s="445" t="inlineStr">
        <is>
          <t>Tanweer Ejaz Khan</t>
        </is>
      </c>
      <c r="F410" s="120" t="inlineStr">
        <is>
          <t>Health &amp; Safety</t>
        </is>
      </c>
      <c r="G410" s="446" t="inlineStr">
        <is>
          <t>EM-0002706</t>
        </is>
      </c>
      <c r="H410" s="446" t="n">
        <v>2587448271</v>
      </c>
      <c r="I410" s="446" t="inlineStr">
        <is>
          <t>Approved</t>
        </is>
      </c>
      <c r="J410" s="551" t="n">
        <v>45586</v>
      </c>
      <c r="K410" s="446" t="inlineStr">
        <is>
          <t>AL-FALAK VISA</t>
        </is>
      </c>
      <c r="L410" s="32" t="inlineStr">
        <is>
          <t>-</t>
        </is>
      </c>
      <c r="N410" s="178" t="n"/>
      <c r="O410" s="178" t="n"/>
      <c r="P410" s="178" t="n"/>
      <c r="Q410" s="178" t="n"/>
      <c r="R410" s="178" t="n"/>
      <c r="S410" s="178" t="n"/>
      <c r="T410" s="178" t="n"/>
    </row>
    <row r="411" ht="26.25" customHeight="1">
      <c r="A411" s="53" t="inlineStr">
        <is>
          <t>Total Team 
Health and Safety/HSE</t>
        </is>
      </c>
      <c r="B411" s="53" t="inlineStr">
        <is>
          <t>Contractual Requirement</t>
        </is>
      </c>
      <c r="C411" s="53" t="inlineStr">
        <is>
          <t>Approved</t>
        </is>
      </c>
      <c r="D411" s="53" t="inlineStr">
        <is>
          <t>Vacant Position</t>
        </is>
      </c>
      <c r="E411" s="55" t="inlineStr">
        <is>
          <t>Rejected</t>
        </is>
      </c>
      <c r="F411" s="55" t="inlineStr">
        <is>
          <t xml:space="preserve">Additional </t>
        </is>
      </c>
      <c r="G411" s="55" t="inlineStr">
        <is>
          <t>ID</t>
        </is>
      </c>
      <c r="H411" s="55" t="inlineStr">
        <is>
          <t>Iqama</t>
        </is>
      </c>
      <c r="I411" s="80" t="inlineStr">
        <is>
          <t>Status</t>
        </is>
      </c>
      <c r="J411" s="555" t="n"/>
      <c r="K411" s="56" t="n"/>
      <c r="L411" s="55" t="inlineStr">
        <is>
          <t>Remark/Notes</t>
        </is>
      </c>
      <c r="N411" s="178" t="n"/>
      <c r="O411" s="178" t="n"/>
      <c r="P411" s="178" t="n"/>
      <c r="Q411" s="178" t="n"/>
      <c r="R411" s="178" t="n"/>
      <c r="S411" s="178" t="n"/>
      <c r="T411" s="178" t="n"/>
    </row>
    <row r="412" ht="15.75" customHeight="1">
      <c r="A412" s="53">
        <f>COUNTIF(E402:E410,"&lt;&gt;")</f>
        <v/>
      </c>
      <c r="B412" s="53">
        <f>SUM(B402:B410)</f>
        <v/>
      </c>
      <c r="C412" s="53">
        <f>COUNTIF(I402:I410,"Approved")</f>
        <v/>
      </c>
      <c r="D412" s="53">
        <f>COUNTIF(I402:I410,"Vacant")</f>
        <v/>
      </c>
      <c r="E412" s="55">
        <f>COUNTIF(I402:I410,"Rejected")</f>
        <v/>
      </c>
      <c r="F412" s="55">
        <f>COUNTIF(I402:I410,"Additional")</f>
        <v/>
      </c>
      <c r="G412" s="55">
        <f>COUNTIF(G402:G410,"-")</f>
        <v/>
      </c>
      <c r="H412" s="55">
        <f>COUNTIF(H402:H410,"-")</f>
        <v/>
      </c>
      <c r="I412" s="60" t="n"/>
      <c r="J412" s="556" t="n"/>
      <c r="K412" s="60" t="n"/>
      <c r="L412" s="60" t="n"/>
      <c r="N412" s="178" t="n"/>
      <c r="O412" s="178" t="n"/>
      <c r="P412" s="178" t="n"/>
      <c r="Q412" s="178" t="n"/>
      <c r="R412" s="178" t="n"/>
      <c r="S412" s="178" t="n"/>
      <c r="T412" s="178" t="n"/>
    </row>
    <row r="413" ht="15.75" customHeight="1">
      <c r="A413" s="236" t="n"/>
      <c r="B413" s="237" t="n"/>
      <c r="C413" s="237" t="n"/>
      <c r="D413" s="237" t="n"/>
      <c r="E413" s="187" t="n"/>
      <c r="I413" s="178" t="n"/>
      <c r="J413" s="579" t="n"/>
      <c r="K413" s="189" t="n"/>
      <c r="L413" s="238" t="n"/>
      <c r="N413" s="178" t="n"/>
      <c r="O413" s="178" t="n"/>
      <c r="P413" s="178" t="n"/>
      <c r="Q413" s="178" t="n"/>
      <c r="R413" s="178" t="n"/>
      <c r="S413" s="178" t="n"/>
      <c r="T413" s="178" t="n"/>
    </row>
    <row r="414" ht="26.25" customHeight="1">
      <c r="A414" s="185" t="inlineStr">
        <is>
          <t>Position</t>
        </is>
      </c>
      <c r="B414" s="12" t="inlineStr">
        <is>
          <t>Contractual Requirement</t>
        </is>
      </c>
      <c r="C414" s="12" t="inlineStr">
        <is>
          <t>On-Site Availability</t>
        </is>
      </c>
      <c r="D414" s="12" t="inlineStr">
        <is>
          <t>Vacant Position</t>
        </is>
      </c>
      <c r="E414" s="14" t="inlineStr">
        <is>
          <t>Emaployee Name</t>
        </is>
      </c>
      <c r="F414" s="14" t="inlineStr">
        <is>
          <t>Decipline</t>
        </is>
      </c>
      <c r="G414" s="15" t="inlineStr">
        <is>
          <t>ID</t>
        </is>
      </c>
      <c r="H414" s="14" t="inlineStr">
        <is>
          <t>Iqama</t>
        </is>
      </c>
      <c r="I414" s="15" t="inlineStr">
        <is>
          <t>Status</t>
        </is>
      </c>
      <c r="J414" s="558" t="n"/>
      <c r="K414" s="211" t="n"/>
      <c r="L414" s="15" t="inlineStr">
        <is>
          <t>Remarks/Notes</t>
        </is>
      </c>
      <c r="N414" s="178" t="n"/>
      <c r="O414" s="178" t="n"/>
      <c r="P414" s="178" t="n"/>
      <c r="Q414" s="178" t="n"/>
      <c r="R414" s="178" t="n"/>
      <c r="S414" s="178" t="n"/>
      <c r="T414" s="178" t="n"/>
    </row>
    <row r="415" ht="15.75" customHeight="1">
      <c r="A415" s="439" t="inlineStr">
        <is>
          <t>Fire Protection Engineer</t>
        </is>
      </c>
      <c r="B415" s="439" t="n">
        <v>2</v>
      </c>
      <c r="C415" s="439">
        <f>COUNTIF(E415:E416,"&lt;&gt;")</f>
        <v/>
      </c>
      <c r="D415" s="439">
        <f>C415-B415</f>
        <v/>
      </c>
      <c r="E415" s="187" t="n"/>
      <c r="F415" s="120" t="inlineStr">
        <is>
          <t>FLS</t>
        </is>
      </c>
      <c r="G415" s="446" t="inlineStr">
        <is>
          <t>-</t>
        </is>
      </c>
      <c r="H415" s="446" t="inlineStr">
        <is>
          <t>-</t>
        </is>
      </c>
      <c r="I415" s="446" t="inlineStr">
        <is>
          <t>Vacant</t>
        </is>
      </c>
      <c r="J415" s="552" t="n"/>
      <c r="K415" s="446" t="inlineStr">
        <is>
          <t>-</t>
        </is>
      </c>
      <c r="L415" s="32" t="inlineStr">
        <is>
          <t>-</t>
        </is>
      </c>
      <c r="N415" s="178" t="n"/>
      <c r="O415" s="178" t="n"/>
      <c r="P415" s="178" t="n"/>
      <c r="Q415" s="178" t="n"/>
      <c r="R415" s="178" t="n"/>
      <c r="S415" s="178" t="n"/>
      <c r="T415" s="178" t="n"/>
    </row>
    <row r="416" ht="15.75" customHeight="1">
      <c r="A416" s="553" t="n"/>
      <c r="B416" s="553" t="n"/>
      <c r="C416" s="553" t="n"/>
      <c r="D416" s="553" t="n"/>
      <c r="E416" s="187" t="n"/>
      <c r="F416" s="120" t="inlineStr">
        <is>
          <t>FLS</t>
        </is>
      </c>
      <c r="G416" s="446" t="inlineStr">
        <is>
          <t>-</t>
        </is>
      </c>
      <c r="H416" s="446" t="inlineStr">
        <is>
          <t>-</t>
        </is>
      </c>
      <c r="I416" s="446" t="inlineStr">
        <is>
          <t>Vacant</t>
        </is>
      </c>
      <c r="J416" s="552" t="n"/>
      <c r="K416" s="446" t="inlineStr">
        <is>
          <t>-</t>
        </is>
      </c>
      <c r="L416" s="32" t="inlineStr">
        <is>
          <t>-</t>
        </is>
      </c>
      <c r="N416" s="178" t="n"/>
      <c r="O416" s="178" t="n"/>
      <c r="P416" s="178" t="n"/>
      <c r="Q416" s="178" t="n"/>
      <c r="R416" s="178" t="n"/>
      <c r="S416" s="178" t="n"/>
      <c r="T416" s="178" t="n"/>
    </row>
    <row r="417" ht="15.75" customHeight="1">
      <c r="A417" s="439" t="inlineStr">
        <is>
          <t>Fire Figting Team Leader</t>
        </is>
      </c>
      <c r="B417" s="439" t="n">
        <v>2</v>
      </c>
      <c r="C417" s="439">
        <f>COUNTIF(E417:E418,"&lt;&gt;")</f>
        <v/>
      </c>
      <c r="D417" s="439">
        <f>C417-B417</f>
        <v/>
      </c>
      <c r="E417" s="445" t="inlineStr">
        <is>
          <t>Muhammad Usman</t>
        </is>
      </c>
      <c r="F417" s="120" t="inlineStr">
        <is>
          <t>FLS</t>
        </is>
      </c>
      <c r="G417" s="446" t="n">
        <v>701767</v>
      </c>
      <c r="H417" s="446" t="n">
        <v>2537299345</v>
      </c>
      <c r="I417" s="446" t="inlineStr">
        <is>
          <t>Approved</t>
        </is>
      </c>
      <c r="J417" s="551" t="n">
        <v>45452</v>
      </c>
      <c r="K417" s="446" t="inlineStr">
        <is>
          <t>FMCO</t>
        </is>
      </c>
      <c r="L417" s="32" t="inlineStr">
        <is>
          <t>-</t>
        </is>
      </c>
      <c r="N417" s="178" t="n"/>
      <c r="O417" s="178" t="n"/>
      <c r="P417" s="178" t="n"/>
      <c r="Q417" s="178" t="n"/>
      <c r="R417" s="178" t="n"/>
      <c r="S417" s="178" t="n"/>
      <c r="T417" s="178" t="n"/>
    </row>
    <row r="418" ht="15.75" customHeight="1">
      <c r="A418" s="553" t="n"/>
      <c r="B418" s="553" t="n"/>
      <c r="C418" s="553" t="n"/>
      <c r="D418" s="553" t="n"/>
      <c r="E418" s="187" t="n"/>
      <c r="F418" s="120" t="inlineStr">
        <is>
          <t>FLS</t>
        </is>
      </c>
      <c r="G418" s="446" t="inlineStr">
        <is>
          <t>-</t>
        </is>
      </c>
      <c r="H418" s="446" t="inlineStr">
        <is>
          <t>-</t>
        </is>
      </c>
      <c r="I418" s="446" t="inlineStr">
        <is>
          <t>Vacant</t>
        </is>
      </c>
      <c r="J418" s="552" t="n"/>
      <c r="K418" s="446" t="inlineStr">
        <is>
          <t>-</t>
        </is>
      </c>
      <c r="L418" s="32" t="inlineStr">
        <is>
          <t>-</t>
        </is>
      </c>
      <c r="N418" s="178" t="n"/>
      <c r="O418" s="178" t="n"/>
      <c r="P418" s="178" t="n"/>
      <c r="Q418" s="178" t="n"/>
      <c r="R418" s="178" t="n"/>
      <c r="S418" s="178" t="n"/>
      <c r="T418" s="178" t="n"/>
    </row>
    <row r="419" ht="15.75" customHeight="1">
      <c r="A419" s="439" t="inlineStr">
        <is>
          <t>Fire Alarm Techncian</t>
        </is>
      </c>
      <c r="B419" s="439" t="n">
        <v>6</v>
      </c>
      <c r="C419" s="439">
        <f>COUNTIF(E419:E424,"&lt;&gt;")</f>
        <v/>
      </c>
      <c r="D419" s="439">
        <f>C419-B419</f>
        <v/>
      </c>
      <c r="E419" s="445" t="inlineStr">
        <is>
          <t>Mohammad Saad Mohammad Sahboob</t>
        </is>
      </c>
      <c r="F419" s="120" t="inlineStr">
        <is>
          <t>FLS</t>
        </is>
      </c>
      <c r="G419" s="446" t="n">
        <v>703535</v>
      </c>
      <c r="H419" s="446" t="n">
        <v>2585449271</v>
      </c>
      <c r="I419" s="446" t="inlineStr">
        <is>
          <t>Approved</t>
        </is>
      </c>
      <c r="J419" s="551" t="n">
        <v>45599</v>
      </c>
      <c r="K419" s="446" t="inlineStr">
        <is>
          <t>FMCO</t>
        </is>
      </c>
      <c r="L419" s="32" t="inlineStr">
        <is>
          <t>-</t>
        </is>
      </c>
      <c r="N419" s="178" t="n"/>
      <c r="O419" s="178" t="n"/>
      <c r="P419" s="178" t="n"/>
      <c r="Q419" s="178" t="n"/>
      <c r="R419" s="178" t="n"/>
      <c r="S419" s="178" t="n"/>
      <c r="T419" s="178" t="n"/>
    </row>
    <row r="420" ht="15.75" customHeight="1">
      <c r="A420" s="554" t="n"/>
      <c r="B420" s="554" t="n"/>
      <c r="C420" s="554" t="n"/>
      <c r="D420" s="554" t="n"/>
      <c r="E420" s="187" t="n"/>
      <c r="F420" s="120" t="inlineStr">
        <is>
          <t>FLS</t>
        </is>
      </c>
      <c r="G420" s="446" t="inlineStr">
        <is>
          <t>-</t>
        </is>
      </c>
      <c r="H420" s="446" t="inlineStr">
        <is>
          <t>-</t>
        </is>
      </c>
      <c r="I420" s="446" t="inlineStr">
        <is>
          <t>Vacant</t>
        </is>
      </c>
      <c r="J420" s="552" t="n"/>
      <c r="K420" s="446" t="inlineStr">
        <is>
          <t>-</t>
        </is>
      </c>
      <c r="L420" s="32" t="inlineStr">
        <is>
          <t>-</t>
        </is>
      </c>
      <c r="N420" s="178" t="n"/>
      <c r="O420" s="178" t="n"/>
      <c r="P420" s="178" t="n"/>
      <c r="Q420" s="178" t="n"/>
      <c r="R420" s="178" t="n"/>
      <c r="S420" s="178" t="n"/>
      <c r="T420" s="178" t="n"/>
    </row>
    <row r="421" ht="14.25" customHeight="1">
      <c r="A421" s="554" t="n"/>
      <c r="B421" s="554" t="n"/>
      <c r="C421" s="554" t="n"/>
      <c r="D421" s="554" t="n"/>
      <c r="E421" s="445" t="inlineStr">
        <is>
          <t>Mohammad Obaidullah</t>
        </is>
      </c>
      <c r="F421" s="120" t="inlineStr">
        <is>
          <t>FLS</t>
        </is>
      </c>
      <c r="G421" s="446" t="inlineStr">
        <is>
          <t>EM-0002694</t>
        </is>
      </c>
      <c r="H421" s="446" t="n">
        <v>2586439123</v>
      </c>
      <c r="I421" s="446" t="inlineStr">
        <is>
          <t>Approved</t>
        </is>
      </c>
      <c r="J421" s="551" t="n">
        <v>45586</v>
      </c>
      <c r="K421" s="446" t="inlineStr">
        <is>
          <t>AL-FALAK VISA</t>
        </is>
      </c>
      <c r="L421" s="32" t="inlineStr">
        <is>
          <t>-</t>
        </is>
      </c>
      <c r="N421" s="178" t="n"/>
      <c r="O421" s="178" t="n"/>
      <c r="P421" s="178" t="n"/>
      <c r="Q421" s="178" t="n"/>
      <c r="R421" s="178" t="n"/>
      <c r="S421" s="178" t="n"/>
      <c r="T421" s="178" t="n"/>
    </row>
    <row r="422" ht="14.25" customHeight="1">
      <c r="A422" s="554" t="n"/>
      <c r="B422" s="554" t="n"/>
      <c r="C422" s="554" t="n"/>
      <c r="D422" s="554" t="n"/>
      <c r="E422" s="445" t="inlineStr">
        <is>
          <t>Haider Ali</t>
        </is>
      </c>
      <c r="F422" s="120" t="inlineStr">
        <is>
          <t>FLS</t>
        </is>
      </c>
      <c r="G422" s="446" t="inlineStr">
        <is>
          <t>C01740</t>
        </is>
      </c>
      <c r="H422" s="446" t="n">
        <v>2635079714</v>
      </c>
      <c r="I422" s="446" t="inlineStr">
        <is>
          <t>Approved</t>
        </is>
      </c>
      <c r="J422" s="551" t="n">
        <v>46137</v>
      </c>
      <c r="K422" s="446" t="inlineStr">
        <is>
          <t>MEHAN VISA</t>
        </is>
      </c>
      <c r="L422" s="32" t="inlineStr">
        <is>
          <t>-</t>
        </is>
      </c>
      <c r="N422" s="178" t="n"/>
      <c r="O422" s="178" t="n"/>
      <c r="P422" s="178" t="n"/>
      <c r="Q422" s="178" t="n"/>
      <c r="R422" s="178" t="n"/>
      <c r="S422" s="178" t="n"/>
      <c r="T422" s="178" t="n"/>
    </row>
    <row r="423" ht="14.25" customHeight="1">
      <c r="A423" s="554" t="n"/>
      <c r="B423" s="554" t="n"/>
      <c r="C423" s="554" t="n"/>
      <c r="D423" s="554" t="n"/>
      <c r="E423" s="445" t="inlineStr">
        <is>
          <t>Md Sabil</t>
        </is>
      </c>
      <c r="F423" s="120" t="inlineStr">
        <is>
          <t>FLS</t>
        </is>
      </c>
      <c r="G423" s="446" t="inlineStr">
        <is>
          <t>-</t>
        </is>
      </c>
      <c r="H423" s="446" t="n">
        <v>2636720761</v>
      </c>
      <c r="I423" s="446" t="inlineStr">
        <is>
          <t>Approved</t>
        </is>
      </c>
      <c r="J423" s="551" t="n">
        <v>46155</v>
      </c>
      <c r="K423" s="221" t="inlineStr">
        <is>
          <t>MEHAN VISA</t>
        </is>
      </c>
      <c r="L423" s="32" t="inlineStr">
        <is>
          <t>-</t>
        </is>
      </c>
      <c r="N423" s="178" t="n"/>
      <c r="O423" s="178" t="n"/>
      <c r="P423" s="178" t="n"/>
      <c r="Q423" s="178" t="n"/>
      <c r="R423" s="178" t="n"/>
      <c r="S423" s="178" t="n"/>
      <c r="T423" s="178" t="n"/>
    </row>
    <row r="424" ht="15.75" customHeight="1">
      <c r="A424" s="553" t="n"/>
      <c r="B424" s="553" t="n"/>
      <c r="C424" s="553" t="n"/>
      <c r="D424" s="553" t="n"/>
      <c r="E424" s="445" t="inlineStr">
        <is>
          <t>MD RIZWAN ANSARI</t>
        </is>
      </c>
      <c r="F424" s="120" t="inlineStr">
        <is>
          <t>FLS</t>
        </is>
      </c>
      <c r="G424" s="446" t="inlineStr">
        <is>
          <t>-</t>
        </is>
      </c>
      <c r="H424" s="446" t="inlineStr">
        <is>
          <t>-</t>
        </is>
      </c>
      <c r="I424" s="446" t="inlineStr">
        <is>
          <t>Approved</t>
        </is>
      </c>
      <c r="J424" s="551" t="n">
        <v>46234</v>
      </c>
      <c r="K424" s="446" t="inlineStr">
        <is>
          <t>-</t>
        </is>
      </c>
      <c r="L424" s="32" t="inlineStr">
        <is>
          <t>-</t>
        </is>
      </c>
      <c r="N424" s="178" t="n"/>
      <c r="O424" s="178" t="n"/>
      <c r="P424" s="178" t="n"/>
      <c r="Q424" s="178" t="n"/>
      <c r="R424" s="178" t="n"/>
      <c r="S424" s="178" t="n"/>
      <c r="T424" s="178" t="n"/>
    </row>
    <row r="425" ht="26.25" customHeight="1">
      <c r="A425" s="53" t="inlineStr">
        <is>
          <t>Total Team 
Fire, Life and Safety/FLS</t>
        </is>
      </c>
      <c r="B425" s="53" t="inlineStr">
        <is>
          <t>Contractual Requirement</t>
        </is>
      </c>
      <c r="C425" s="53" t="inlineStr">
        <is>
          <t>Approved</t>
        </is>
      </c>
      <c r="D425" s="53" t="inlineStr">
        <is>
          <t>Vacant Position</t>
        </is>
      </c>
      <c r="E425" s="55" t="inlineStr">
        <is>
          <t>Rejected</t>
        </is>
      </c>
      <c r="F425" s="55" t="inlineStr">
        <is>
          <t xml:space="preserve">Additional </t>
        </is>
      </c>
      <c r="G425" s="55" t="inlineStr">
        <is>
          <t>ID</t>
        </is>
      </c>
      <c r="H425" s="55" t="inlineStr">
        <is>
          <t>Iqama</t>
        </is>
      </c>
      <c r="I425" s="80" t="inlineStr">
        <is>
          <t>Status</t>
        </is>
      </c>
      <c r="J425" s="555" t="n"/>
      <c r="K425" s="56" t="n"/>
      <c r="L425" s="55" t="inlineStr">
        <is>
          <t>Remark/Notes</t>
        </is>
      </c>
      <c r="N425" s="178" t="n"/>
      <c r="O425" s="178" t="n"/>
      <c r="P425" s="178" t="n"/>
      <c r="Q425" s="178" t="n"/>
      <c r="R425" s="178" t="n"/>
      <c r="S425" s="178" t="n"/>
      <c r="T425" s="178" t="n"/>
    </row>
    <row r="426" ht="15.75" customHeight="1">
      <c r="A426" s="53">
        <f>COUNTIF(E415:E424,"&lt;&gt;")</f>
        <v/>
      </c>
      <c r="B426" s="53">
        <f>SUM(B415:B424)</f>
        <v/>
      </c>
      <c r="C426" s="53">
        <f>COUNTIF(I415:I424,"Approved")</f>
        <v/>
      </c>
      <c r="D426" s="53">
        <f>COUNTIF(I415:I424,"Vacant")</f>
        <v/>
      </c>
      <c r="E426" s="55">
        <f>COUNTIF(L415:L424,"Rejected")</f>
        <v/>
      </c>
      <c r="F426" s="55">
        <f>COUNTIF(I415:I424,"Additional")</f>
        <v/>
      </c>
      <c r="G426" s="55">
        <f>COUNTIF(G415:G424,"-")</f>
        <v/>
      </c>
      <c r="H426" s="55">
        <f>COUNTIF(H415:H424,"-")</f>
        <v/>
      </c>
      <c r="I426" s="60" t="n"/>
      <c r="J426" s="556" t="n"/>
      <c r="K426" s="60" t="n"/>
      <c r="L426" s="60" t="n"/>
      <c r="N426" s="178" t="n"/>
      <c r="O426" s="178" t="n"/>
      <c r="P426" s="178" t="n"/>
      <c r="Q426" s="178" t="n"/>
      <c r="R426" s="178" t="n"/>
      <c r="S426" s="178" t="n"/>
      <c r="T426" s="178" t="n"/>
    </row>
    <row r="427" ht="15.75" customHeight="1">
      <c r="A427" s="239" t="n"/>
      <c r="B427" s="240" t="n"/>
      <c r="C427" s="240" t="n"/>
      <c r="D427" s="240" t="n"/>
      <c r="E427" s="187" t="n"/>
      <c r="F427" s="241" t="n"/>
      <c r="G427" s="241" t="n"/>
      <c r="H427" s="241" t="n"/>
      <c r="I427" s="241" t="n"/>
      <c r="J427" s="579" t="n"/>
      <c r="K427" s="189" t="n"/>
      <c r="L427" s="242" t="n"/>
      <c r="N427" s="178" t="n"/>
      <c r="O427" s="178" t="n"/>
      <c r="P427" s="178" t="n"/>
      <c r="Q427" s="178" t="n"/>
      <c r="R427" s="178" t="n"/>
      <c r="S427" s="178" t="n"/>
      <c r="T427" s="178" t="n"/>
    </row>
    <row r="428" ht="26.25" customHeight="1">
      <c r="A428" s="185" t="inlineStr">
        <is>
          <t>Position</t>
        </is>
      </c>
      <c r="B428" s="12" t="inlineStr">
        <is>
          <t>Contractual Requirement</t>
        </is>
      </c>
      <c r="C428" s="12" t="inlineStr">
        <is>
          <t>On-Site Availability</t>
        </is>
      </c>
      <c r="D428" s="12" t="inlineStr">
        <is>
          <t>Vacant Position</t>
        </is>
      </c>
      <c r="E428" s="14" t="inlineStr">
        <is>
          <t>Emaployee Name</t>
        </is>
      </c>
      <c r="F428" s="14" t="inlineStr">
        <is>
          <t>Decipline</t>
        </is>
      </c>
      <c r="G428" s="15" t="inlineStr">
        <is>
          <t>ID</t>
        </is>
      </c>
      <c r="H428" s="14" t="inlineStr">
        <is>
          <t>Iqama</t>
        </is>
      </c>
      <c r="I428" s="15" t="inlineStr">
        <is>
          <t>Status</t>
        </is>
      </c>
      <c r="J428" s="558" t="n"/>
      <c r="K428" s="211" t="n"/>
      <c r="L428" s="15" t="inlineStr">
        <is>
          <t>Remarks/Notes</t>
        </is>
      </c>
      <c r="N428" s="178" t="n"/>
      <c r="O428" s="178" t="n"/>
      <c r="P428" s="178" t="n"/>
      <c r="Q428" s="178" t="n"/>
      <c r="R428" s="178" t="n"/>
      <c r="S428" s="178" t="n"/>
      <c r="T428" s="178" t="n"/>
    </row>
    <row r="429" ht="15.75" customHeight="1">
      <c r="A429" s="429" t="inlineStr">
        <is>
          <t>Security Manager</t>
        </is>
      </c>
      <c r="B429" s="429" t="n">
        <v>1</v>
      </c>
      <c r="C429" s="429">
        <f>COUNTIF(E429,"&lt;&gt;")</f>
        <v/>
      </c>
      <c r="D429" s="431">
        <f>C429-B429</f>
        <v/>
      </c>
      <c r="E429" s="445" t="inlineStr">
        <is>
          <t>Musaad Shafi Alghaythi</t>
        </is>
      </c>
      <c r="F429" s="188" t="inlineStr">
        <is>
          <t>Security Services</t>
        </is>
      </c>
      <c r="G429" s="446" t="n">
        <v>704036</v>
      </c>
      <c r="H429" s="446" t="n">
        <v>1119747507</v>
      </c>
      <c r="I429" s="446" t="inlineStr">
        <is>
          <t>Approved</t>
        </is>
      </c>
      <c r="J429" s="551" t="n">
        <v>45946</v>
      </c>
      <c r="K429" s="446" t="inlineStr">
        <is>
          <t>FMCO</t>
        </is>
      </c>
      <c r="L429" s="243" t="inlineStr">
        <is>
          <t>-</t>
        </is>
      </c>
      <c r="N429" s="178" t="n"/>
      <c r="O429" s="178" t="n"/>
      <c r="P429" s="178" t="n"/>
      <c r="Q429" s="178" t="n"/>
      <c r="R429" s="178" t="n"/>
      <c r="S429" s="178" t="n"/>
      <c r="T429" s="178" t="n"/>
    </row>
    <row r="430" ht="15.75" customHeight="1">
      <c r="A430" s="426" t="inlineStr">
        <is>
          <t>Security Supervisor</t>
        </is>
      </c>
      <c r="B430" s="439" t="n">
        <v>8</v>
      </c>
      <c r="C430" s="439">
        <f>COUNTIF(E430:E437,"&lt;&gt;")</f>
        <v/>
      </c>
      <c r="D430" s="427">
        <f>C430-B430</f>
        <v/>
      </c>
      <c r="E430" s="445" t="inlineStr">
        <is>
          <t>Mohammed Ali Alharthi</t>
        </is>
      </c>
      <c r="F430" s="188" t="inlineStr">
        <is>
          <t>Security Services</t>
        </is>
      </c>
      <c r="G430" s="446" t="n">
        <v>704151</v>
      </c>
      <c r="H430" s="446" t="n">
        <v>1084829413</v>
      </c>
      <c r="I430" s="446" t="inlineStr">
        <is>
          <t>Approved</t>
        </is>
      </c>
      <c r="J430" s="551" t="n">
        <v>46084</v>
      </c>
      <c r="K430" s="446" t="inlineStr">
        <is>
          <t>FMCO</t>
        </is>
      </c>
      <c r="L430" s="243" t="inlineStr">
        <is>
          <t>-</t>
        </is>
      </c>
      <c r="N430" s="178" t="n"/>
      <c r="O430" s="178" t="n"/>
      <c r="P430" s="178" t="n"/>
      <c r="Q430" s="178" t="n"/>
      <c r="R430" s="178" t="n"/>
      <c r="S430" s="178" t="n"/>
      <c r="T430" s="178" t="n"/>
    </row>
    <row r="431" ht="15.75" customHeight="1">
      <c r="A431" s="554" t="n"/>
      <c r="B431" s="554" t="n"/>
      <c r="C431" s="554" t="n"/>
      <c r="D431" s="554" t="n"/>
      <c r="E431" s="445" t="inlineStr">
        <is>
          <t>Muteb Saeed Alotaibi</t>
        </is>
      </c>
      <c r="F431" s="188" t="inlineStr">
        <is>
          <t>Security Services</t>
        </is>
      </c>
      <c r="G431" s="446" t="n">
        <v>704122</v>
      </c>
      <c r="H431" s="446" t="n">
        <v>1128520887</v>
      </c>
      <c r="I431" s="446" t="inlineStr">
        <is>
          <t>Approved</t>
        </is>
      </c>
      <c r="J431" s="551" t="n">
        <v>46047</v>
      </c>
      <c r="K431" s="446" t="inlineStr">
        <is>
          <t>FMCO</t>
        </is>
      </c>
      <c r="L431" s="243" t="inlineStr">
        <is>
          <t>-</t>
        </is>
      </c>
      <c r="N431" s="178" t="n"/>
      <c r="O431" s="178" t="n"/>
      <c r="P431" s="178" t="n"/>
      <c r="Q431" s="178" t="n"/>
      <c r="R431" s="178" t="n"/>
      <c r="S431" s="178" t="n"/>
      <c r="T431" s="178" t="n"/>
    </row>
    <row r="432" ht="15.75" customHeight="1">
      <c r="A432" s="554" t="n"/>
      <c r="B432" s="554" t="n"/>
      <c r="C432" s="554" t="n"/>
      <c r="D432" s="554" t="n"/>
      <c r="E432" s="187" t="n"/>
      <c r="F432" s="188" t="inlineStr">
        <is>
          <t>Security Services</t>
        </is>
      </c>
      <c r="G432" s="446" t="inlineStr">
        <is>
          <t>-</t>
        </is>
      </c>
      <c r="H432" s="446" t="inlineStr">
        <is>
          <t>-</t>
        </is>
      </c>
      <c r="I432" s="446" t="inlineStr">
        <is>
          <t>Vacant</t>
        </is>
      </c>
      <c r="J432" s="552" t="n"/>
      <c r="K432" s="446" t="inlineStr">
        <is>
          <t>-</t>
        </is>
      </c>
      <c r="L432" s="243" t="inlineStr">
        <is>
          <t>-</t>
        </is>
      </c>
      <c r="N432" s="178" t="n"/>
      <c r="O432" s="178" t="n"/>
      <c r="P432" s="178" t="n"/>
      <c r="Q432" s="178" t="n"/>
      <c r="R432" s="178" t="n"/>
      <c r="S432" s="178" t="n"/>
      <c r="T432" s="178" t="n"/>
    </row>
    <row r="433" ht="15.75" customHeight="1">
      <c r="A433" s="554" t="n"/>
      <c r="B433" s="554" t="n"/>
      <c r="C433" s="554" t="n"/>
      <c r="D433" s="554" t="n"/>
      <c r="E433" s="187" t="n"/>
      <c r="F433" s="188" t="inlineStr">
        <is>
          <t>Security Services</t>
        </is>
      </c>
      <c r="G433" s="446" t="inlineStr">
        <is>
          <t>-</t>
        </is>
      </c>
      <c r="H433" s="45" t="inlineStr">
        <is>
          <t>-</t>
        </is>
      </c>
      <c r="I433" s="446" t="inlineStr">
        <is>
          <t>Vacant</t>
        </is>
      </c>
      <c r="J433" s="552" t="n"/>
      <c r="K433" s="446" t="inlineStr">
        <is>
          <t>-</t>
        </is>
      </c>
      <c r="L433" s="243" t="inlineStr">
        <is>
          <t>-</t>
        </is>
      </c>
      <c r="N433" s="178" t="n"/>
      <c r="O433" s="178" t="n"/>
      <c r="P433" s="178" t="n"/>
      <c r="Q433" s="178" t="n"/>
      <c r="R433" s="178" t="n"/>
      <c r="S433" s="178" t="n"/>
      <c r="T433" s="178" t="n"/>
    </row>
    <row r="434" ht="15.75" customHeight="1">
      <c r="A434" s="554" t="n"/>
      <c r="B434" s="554" t="n"/>
      <c r="C434" s="554" t="n"/>
      <c r="D434" s="554" t="n"/>
      <c r="E434" s="187" t="n"/>
      <c r="F434" s="188" t="inlineStr">
        <is>
          <t>Security Services</t>
        </is>
      </c>
      <c r="G434" s="446" t="inlineStr">
        <is>
          <t>-</t>
        </is>
      </c>
      <c r="H434" s="45" t="inlineStr">
        <is>
          <t>-</t>
        </is>
      </c>
      <c r="I434" s="446" t="inlineStr">
        <is>
          <t>Vacant</t>
        </is>
      </c>
      <c r="J434" s="552" t="n"/>
      <c r="K434" s="446" t="inlineStr">
        <is>
          <t>-</t>
        </is>
      </c>
      <c r="L434" s="243" t="inlineStr">
        <is>
          <t>-</t>
        </is>
      </c>
      <c r="N434" s="178" t="n"/>
      <c r="O434" s="178" t="n"/>
      <c r="P434" s="178" t="n"/>
      <c r="Q434" s="178" t="n"/>
      <c r="R434" s="178" t="n"/>
      <c r="S434" s="178" t="n"/>
      <c r="T434" s="178" t="n"/>
    </row>
    <row r="435" ht="15.75" customHeight="1">
      <c r="A435" s="554" t="n"/>
      <c r="B435" s="554" t="n"/>
      <c r="C435" s="554" t="n"/>
      <c r="D435" s="554" t="n"/>
      <c r="E435" s="187" t="n"/>
      <c r="F435" s="188" t="inlineStr">
        <is>
          <t>Security Services</t>
        </is>
      </c>
      <c r="G435" s="446" t="inlineStr">
        <is>
          <t>-</t>
        </is>
      </c>
      <c r="H435" s="45" t="inlineStr">
        <is>
          <t>-</t>
        </is>
      </c>
      <c r="I435" s="446" t="inlineStr">
        <is>
          <t>Vacant</t>
        </is>
      </c>
      <c r="J435" s="552" t="n"/>
      <c r="K435" s="446" t="inlineStr">
        <is>
          <t>-</t>
        </is>
      </c>
      <c r="L435" s="243" t="inlineStr">
        <is>
          <t>-</t>
        </is>
      </c>
      <c r="N435" s="178" t="n"/>
      <c r="O435" s="178" t="n"/>
      <c r="P435" s="178" t="n"/>
      <c r="Q435" s="178" t="n"/>
      <c r="R435" s="178" t="n"/>
      <c r="S435" s="178" t="n"/>
      <c r="T435" s="178" t="n"/>
    </row>
    <row r="436" ht="15.75" customHeight="1">
      <c r="A436" s="554" t="n"/>
      <c r="B436" s="554" t="n"/>
      <c r="C436" s="554" t="n"/>
      <c r="D436" s="554" t="n"/>
      <c r="E436" s="187" t="n"/>
      <c r="F436" s="188" t="inlineStr">
        <is>
          <t>Security Services</t>
        </is>
      </c>
      <c r="G436" s="446" t="inlineStr">
        <is>
          <t>-</t>
        </is>
      </c>
      <c r="H436" s="45" t="inlineStr">
        <is>
          <t>-</t>
        </is>
      </c>
      <c r="I436" s="446" t="inlineStr">
        <is>
          <t>Vacant</t>
        </is>
      </c>
      <c r="J436" s="552" t="n"/>
      <c r="K436" s="446" t="inlineStr">
        <is>
          <t>-</t>
        </is>
      </c>
      <c r="L436" s="243" t="inlineStr">
        <is>
          <t>-</t>
        </is>
      </c>
      <c r="N436" s="178" t="n"/>
      <c r="O436" s="178" t="n"/>
      <c r="P436" s="178" t="n"/>
      <c r="Q436" s="178" t="n"/>
      <c r="R436" s="178" t="n"/>
      <c r="S436" s="178" t="n"/>
      <c r="T436" s="178" t="n"/>
    </row>
    <row r="437" ht="15.75" customHeight="1">
      <c r="A437" s="553" t="n"/>
      <c r="B437" s="553" t="n"/>
      <c r="C437" s="553" t="n"/>
      <c r="D437" s="553" t="n"/>
      <c r="E437" s="187" t="n"/>
      <c r="F437" s="188" t="inlineStr">
        <is>
          <t>Security Services</t>
        </is>
      </c>
      <c r="G437" s="446" t="inlineStr">
        <is>
          <t>-</t>
        </is>
      </c>
      <c r="H437" s="45" t="inlineStr">
        <is>
          <t>-</t>
        </is>
      </c>
      <c r="I437" s="446" t="inlineStr">
        <is>
          <t>Vacant</t>
        </is>
      </c>
      <c r="J437" s="552" t="n"/>
      <c r="K437" s="446" t="inlineStr">
        <is>
          <t>-</t>
        </is>
      </c>
      <c r="L437" s="243" t="inlineStr">
        <is>
          <t>-</t>
        </is>
      </c>
      <c r="N437" s="178" t="n"/>
      <c r="O437" s="178" t="n"/>
      <c r="P437" s="178" t="n"/>
      <c r="Q437" s="178" t="n"/>
      <c r="R437" s="178" t="n"/>
      <c r="S437" s="178" t="n"/>
      <c r="T437" s="178" t="n"/>
    </row>
    <row r="438" ht="15.75" customHeight="1">
      <c r="A438" s="426" t="inlineStr">
        <is>
          <t>Security Admins</t>
        </is>
      </c>
      <c r="B438" s="439" t="n">
        <v>8</v>
      </c>
      <c r="C438" s="439">
        <f>COUNTIF(E438:E445,"&lt;&gt;")</f>
        <v/>
      </c>
      <c r="D438" s="427">
        <f>C438-B438</f>
        <v/>
      </c>
      <c r="E438" s="445" t="inlineStr">
        <is>
          <t>Ali Mubarak Alqahtani</t>
        </is>
      </c>
      <c r="F438" s="188" t="inlineStr">
        <is>
          <t>Security Services</t>
        </is>
      </c>
      <c r="G438" s="446" t="n">
        <v>703929</v>
      </c>
      <c r="H438" s="446" t="n">
        <v>1119268140</v>
      </c>
      <c r="I438" s="446" t="inlineStr">
        <is>
          <t>Approved</t>
        </is>
      </c>
      <c r="J438" s="551" t="n">
        <v>45871</v>
      </c>
      <c r="K438" s="446" t="inlineStr">
        <is>
          <t>FMCO</t>
        </is>
      </c>
      <c r="L438" s="243" t="inlineStr">
        <is>
          <t>-</t>
        </is>
      </c>
      <c r="N438" s="178" t="n"/>
      <c r="O438" s="178" t="n"/>
      <c r="P438" s="178" t="n"/>
      <c r="Q438" s="178" t="n"/>
      <c r="R438" s="178" t="n"/>
      <c r="S438" s="178" t="n"/>
      <c r="T438" s="178" t="n"/>
    </row>
    <row r="439" ht="15.75" customHeight="1">
      <c r="A439" s="554" t="n"/>
      <c r="B439" s="554" t="n"/>
      <c r="C439" s="554" t="n"/>
      <c r="D439" s="554" t="n"/>
      <c r="E439" s="445" t="inlineStr">
        <is>
          <t>Feras Mohammed Alajlan</t>
        </is>
      </c>
      <c r="F439" s="188" t="inlineStr">
        <is>
          <t>Security Services</t>
        </is>
      </c>
      <c r="G439" s="446" t="inlineStr">
        <is>
          <t>-</t>
        </is>
      </c>
      <c r="H439" s="446" t="n">
        <v>1097855389</v>
      </c>
      <c r="I439" s="446" t="inlineStr">
        <is>
          <t>Approved</t>
        </is>
      </c>
      <c r="J439" s="551" t="n">
        <v>46134</v>
      </c>
      <c r="K439" s="446" t="inlineStr">
        <is>
          <t>FMCO</t>
        </is>
      </c>
      <c r="L439" s="243" t="inlineStr">
        <is>
          <t>-</t>
        </is>
      </c>
      <c r="N439" s="178" t="n"/>
      <c r="O439" s="178" t="n"/>
      <c r="P439" s="178" t="n"/>
      <c r="Q439" s="178" t="n"/>
      <c r="R439" s="178" t="n"/>
      <c r="S439" s="178" t="n"/>
      <c r="T439" s="178" t="n"/>
    </row>
    <row r="440" ht="15.75" customHeight="1">
      <c r="A440" s="554" t="n"/>
      <c r="B440" s="554" t="n"/>
      <c r="C440" s="554" t="n"/>
      <c r="D440" s="554" t="n"/>
      <c r="E440" s="187" t="n"/>
      <c r="F440" s="188" t="inlineStr">
        <is>
          <t>Security Services</t>
        </is>
      </c>
      <c r="G440" s="446" t="inlineStr">
        <is>
          <t>-</t>
        </is>
      </c>
      <c r="H440" s="446" t="inlineStr">
        <is>
          <t>-</t>
        </is>
      </c>
      <c r="I440" s="446" t="inlineStr">
        <is>
          <t>Vacant</t>
        </is>
      </c>
      <c r="J440" s="552" t="n"/>
      <c r="K440" s="446" t="inlineStr">
        <is>
          <t>-</t>
        </is>
      </c>
      <c r="L440" s="243" t="inlineStr">
        <is>
          <t>-</t>
        </is>
      </c>
      <c r="N440" s="178" t="n"/>
      <c r="O440" s="178" t="n"/>
      <c r="P440" s="178" t="n"/>
      <c r="Q440" s="178" t="n"/>
      <c r="R440" s="178" t="n"/>
      <c r="S440" s="178" t="n"/>
      <c r="T440" s="178" t="n"/>
    </row>
    <row r="441" ht="15.75" customHeight="1">
      <c r="A441" s="554" t="n"/>
      <c r="B441" s="554" t="n"/>
      <c r="C441" s="554" t="n"/>
      <c r="D441" s="554" t="n"/>
      <c r="E441" s="187" t="n"/>
      <c r="F441" s="188" t="inlineStr">
        <is>
          <t>Security Services</t>
        </is>
      </c>
      <c r="G441" s="446" t="inlineStr">
        <is>
          <t>-</t>
        </is>
      </c>
      <c r="H441" s="446" t="inlineStr">
        <is>
          <t>-</t>
        </is>
      </c>
      <c r="I441" s="446" t="inlineStr">
        <is>
          <t>Vacant</t>
        </is>
      </c>
      <c r="J441" s="552" t="n"/>
      <c r="K441" s="446" t="inlineStr">
        <is>
          <t>-</t>
        </is>
      </c>
      <c r="L441" s="243" t="inlineStr">
        <is>
          <t>-</t>
        </is>
      </c>
      <c r="N441" s="178" t="n"/>
      <c r="O441" s="178" t="n"/>
      <c r="P441" s="178" t="n"/>
      <c r="Q441" s="178" t="n"/>
      <c r="R441" s="178" t="n"/>
      <c r="S441" s="178" t="n"/>
      <c r="T441" s="178" t="n"/>
    </row>
    <row r="442" ht="15.75" customHeight="1">
      <c r="A442" s="554" t="n"/>
      <c r="B442" s="554" t="n"/>
      <c r="C442" s="554" t="n"/>
      <c r="D442" s="554" t="n"/>
      <c r="E442" s="187" t="n"/>
      <c r="F442" s="188" t="inlineStr">
        <is>
          <t>Security Services</t>
        </is>
      </c>
      <c r="G442" s="446" t="inlineStr">
        <is>
          <t>-</t>
        </is>
      </c>
      <c r="H442" s="45" t="inlineStr">
        <is>
          <t>-</t>
        </is>
      </c>
      <c r="I442" s="446" t="inlineStr">
        <is>
          <t>Vacant</t>
        </is>
      </c>
      <c r="J442" s="552" t="n"/>
      <c r="K442" s="446" t="inlineStr">
        <is>
          <t>-</t>
        </is>
      </c>
      <c r="L442" s="243" t="inlineStr">
        <is>
          <t>-</t>
        </is>
      </c>
      <c r="N442" s="178" t="n"/>
      <c r="O442" s="178" t="n"/>
      <c r="P442" s="178" t="n"/>
      <c r="Q442" s="178" t="n"/>
      <c r="R442" s="178" t="n"/>
      <c r="S442" s="178" t="n"/>
      <c r="T442" s="178" t="n"/>
    </row>
    <row r="443" ht="15.75" customHeight="1">
      <c r="A443" s="554" t="n"/>
      <c r="B443" s="554" t="n"/>
      <c r="C443" s="554" t="n"/>
      <c r="D443" s="554" t="n"/>
      <c r="E443" s="187" t="n"/>
      <c r="F443" s="188" t="inlineStr">
        <is>
          <t>Security Services</t>
        </is>
      </c>
      <c r="G443" s="446" t="inlineStr">
        <is>
          <t>-</t>
        </is>
      </c>
      <c r="H443" s="45" t="inlineStr">
        <is>
          <t>-</t>
        </is>
      </c>
      <c r="I443" s="446" t="inlineStr">
        <is>
          <t>Vacant</t>
        </is>
      </c>
      <c r="J443" s="552" t="n"/>
      <c r="K443" s="446" t="inlineStr">
        <is>
          <t>-</t>
        </is>
      </c>
      <c r="L443" s="243" t="inlineStr">
        <is>
          <t>-</t>
        </is>
      </c>
      <c r="N443" s="178" t="n"/>
      <c r="O443" s="178" t="n"/>
      <c r="P443" s="178" t="n"/>
      <c r="Q443" s="178" t="n"/>
      <c r="R443" s="178" t="n"/>
      <c r="S443" s="178" t="n"/>
      <c r="T443" s="178" t="n"/>
    </row>
    <row r="444" ht="15.75" customHeight="1">
      <c r="A444" s="554" t="n"/>
      <c r="B444" s="554" t="n"/>
      <c r="C444" s="554" t="n"/>
      <c r="D444" s="554" t="n"/>
      <c r="E444" s="187" t="n"/>
      <c r="F444" s="188" t="inlineStr">
        <is>
          <t>Security Services</t>
        </is>
      </c>
      <c r="G444" s="446" t="inlineStr">
        <is>
          <t>-</t>
        </is>
      </c>
      <c r="H444" s="45" t="inlineStr">
        <is>
          <t>-</t>
        </is>
      </c>
      <c r="I444" s="446" t="inlineStr">
        <is>
          <t>Vacant</t>
        </is>
      </c>
      <c r="J444" s="552" t="n"/>
      <c r="K444" s="446" t="inlineStr">
        <is>
          <t>-</t>
        </is>
      </c>
      <c r="L444" s="243" t="inlineStr">
        <is>
          <t>-</t>
        </is>
      </c>
      <c r="N444" s="178" t="n"/>
      <c r="O444" s="178" t="n"/>
      <c r="P444" s="178" t="n"/>
      <c r="Q444" s="178" t="n"/>
      <c r="R444" s="178" t="n"/>
      <c r="S444" s="178" t="n"/>
      <c r="T444" s="178" t="n"/>
    </row>
    <row r="445" ht="15.75" customHeight="1">
      <c r="A445" s="553" t="n"/>
      <c r="B445" s="553" t="n"/>
      <c r="C445" s="553" t="n"/>
      <c r="D445" s="553" t="n"/>
      <c r="E445" s="187" t="n"/>
      <c r="F445" s="188" t="inlineStr">
        <is>
          <t>Security Services</t>
        </is>
      </c>
      <c r="G445" s="446" t="inlineStr">
        <is>
          <t>-</t>
        </is>
      </c>
      <c r="H445" s="45" t="inlineStr">
        <is>
          <t>-</t>
        </is>
      </c>
      <c r="I445" s="446" t="inlineStr">
        <is>
          <t>Vacant</t>
        </is>
      </c>
      <c r="J445" s="552" t="n"/>
      <c r="K445" s="446" t="inlineStr">
        <is>
          <t>-</t>
        </is>
      </c>
      <c r="L445" s="243" t="inlineStr">
        <is>
          <t>-</t>
        </is>
      </c>
      <c r="N445" s="178" t="n"/>
      <c r="O445" s="178" t="n"/>
      <c r="P445" s="178" t="n"/>
      <c r="Q445" s="178" t="n"/>
      <c r="R445" s="178" t="n"/>
      <c r="S445" s="178" t="n"/>
      <c r="T445" s="178" t="n"/>
    </row>
    <row r="446" ht="15.75" customHeight="1">
      <c r="A446" s="426" t="inlineStr">
        <is>
          <t>Security Watchman/Guards</t>
        </is>
      </c>
      <c r="B446" s="439" t="n">
        <v>60</v>
      </c>
      <c r="C446" s="439">
        <f>COUNTIF(E446:E505,"&lt;&gt;")</f>
        <v/>
      </c>
      <c r="D446" s="439">
        <f>C446-B446</f>
        <v/>
      </c>
      <c r="E446" s="445" t="inlineStr">
        <is>
          <t>Saad Saed Alshahrani</t>
        </is>
      </c>
      <c r="F446" s="188" t="inlineStr">
        <is>
          <t>Security Services</t>
        </is>
      </c>
      <c r="G446" s="446" t="n">
        <v>704102</v>
      </c>
      <c r="H446" s="446" t="n">
        <v>1097999765</v>
      </c>
      <c r="I446" s="446" t="inlineStr">
        <is>
          <t>Approved</t>
        </is>
      </c>
      <c r="J446" s="551" t="n">
        <v>46040</v>
      </c>
      <c r="K446" s="446" t="inlineStr">
        <is>
          <t>FMCO</t>
        </is>
      </c>
      <c r="L446" s="243" t="inlineStr">
        <is>
          <t>-</t>
        </is>
      </c>
      <c r="N446" s="178" t="n"/>
      <c r="O446" s="178" t="n"/>
      <c r="P446" s="178" t="n"/>
      <c r="Q446" s="178" t="n"/>
      <c r="R446" s="178" t="n"/>
      <c r="S446" s="178" t="n"/>
      <c r="T446" s="178" t="n"/>
    </row>
    <row r="447" ht="15.75" customHeight="1">
      <c r="A447" s="554" t="n"/>
      <c r="B447" s="554" t="n"/>
      <c r="C447" s="554" t="n"/>
      <c r="D447" s="554" t="n"/>
      <c r="E447" s="445" t="inlineStr">
        <is>
          <t>Saad Saleh Alotaibi</t>
        </is>
      </c>
      <c r="F447" s="188" t="inlineStr">
        <is>
          <t>Security Services</t>
        </is>
      </c>
      <c r="G447" s="446" t="n">
        <v>703623</v>
      </c>
      <c r="H447" s="446" t="n">
        <v>1129643811</v>
      </c>
      <c r="I447" s="446" t="inlineStr">
        <is>
          <t>Approved</t>
        </is>
      </c>
      <c r="J447" s="551" t="n">
        <v>45624</v>
      </c>
      <c r="K447" s="446" t="inlineStr">
        <is>
          <t>FMCO</t>
        </is>
      </c>
      <c r="L447" s="243" t="inlineStr">
        <is>
          <t>-</t>
        </is>
      </c>
      <c r="N447" s="178" t="n"/>
      <c r="O447" s="178" t="n"/>
      <c r="P447" s="178" t="n"/>
      <c r="Q447" s="178" t="n"/>
      <c r="R447" s="178" t="n"/>
      <c r="S447" s="178" t="n"/>
      <c r="T447" s="178" t="n"/>
    </row>
    <row r="448" ht="15.75" customHeight="1">
      <c r="A448" s="554" t="n"/>
      <c r="B448" s="554" t="n"/>
      <c r="C448" s="554" t="n"/>
      <c r="D448" s="554" t="n"/>
      <c r="E448" s="445" t="inlineStr">
        <is>
          <t>Mubarak Al Qahtani</t>
        </is>
      </c>
      <c r="F448" s="188" t="inlineStr">
        <is>
          <t>Security Services</t>
        </is>
      </c>
      <c r="G448" s="446" t="n">
        <v>703764</v>
      </c>
      <c r="H448" s="446" t="n">
        <v>1126822970</v>
      </c>
      <c r="I448" s="446" t="inlineStr">
        <is>
          <t>Approved</t>
        </is>
      </c>
      <c r="J448" s="551" t="n">
        <v>45704</v>
      </c>
      <c r="K448" s="446" t="inlineStr">
        <is>
          <t>FMCO</t>
        </is>
      </c>
      <c r="L448" s="243" t="inlineStr">
        <is>
          <t>-</t>
        </is>
      </c>
      <c r="N448" s="178" t="n"/>
      <c r="O448" s="178" t="n"/>
      <c r="P448" s="178" t="n"/>
      <c r="Q448" s="178" t="n"/>
      <c r="R448" s="178" t="n"/>
      <c r="S448" s="178" t="n"/>
      <c r="T448" s="178" t="n"/>
    </row>
    <row r="449" ht="15.75" customHeight="1">
      <c r="A449" s="554" t="n"/>
      <c r="B449" s="554" t="n"/>
      <c r="C449" s="554" t="n"/>
      <c r="D449" s="554" t="n"/>
      <c r="E449" s="445" t="inlineStr">
        <is>
          <t>Mushabab Al Qahtani</t>
        </is>
      </c>
      <c r="F449" s="188" t="inlineStr">
        <is>
          <t>Security Services</t>
        </is>
      </c>
      <c r="G449" s="446" t="n">
        <v>703766</v>
      </c>
      <c r="H449" s="446" t="n">
        <v>1128569694</v>
      </c>
      <c r="I449" s="446" t="inlineStr">
        <is>
          <t>Approved</t>
        </is>
      </c>
      <c r="J449" s="551" t="n">
        <v>45704</v>
      </c>
      <c r="K449" s="446" t="inlineStr">
        <is>
          <t>FMCO</t>
        </is>
      </c>
      <c r="L449" s="243" t="inlineStr">
        <is>
          <t>-</t>
        </is>
      </c>
      <c r="N449" s="178" t="n"/>
      <c r="O449" s="178" t="n"/>
      <c r="P449" s="178" t="n"/>
      <c r="Q449" s="178" t="n"/>
      <c r="R449" s="178" t="n"/>
      <c r="S449" s="178" t="n"/>
      <c r="T449" s="178" t="n"/>
    </row>
    <row r="450" ht="15.75" customHeight="1">
      <c r="A450" s="554" t="n"/>
      <c r="B450" s="554" t="n"/>
      <c r="C450" s="554" t="n"/>
      <c r="D450" s="554" t="n"/>
      <c r="E450" s="445" t="inlineStr">
        <is>
          <t>Abdul Rahman Al Otaibi</t>
        </is>
      </c>
      <c r="F450" s="188" t="inlineStr">
        <is>
          <t>Security Services</t>
        </is>
      </c>
      <c r="G450" s="446" t="n">
        <v>703802</v>
      </c>
      <c r="H450" s="446" t="n">
        <v>1123257618</v>
      </c>
      <c r="I450" s="446" t="inlineStr">
        <is>
          <t>Approved</t>
        </is>
      </c>
      <c r="J450" s="551" t="n">
        <v>45756</v>
      </c>
      <c r="K450" s="446" t="inlineStr">
        <is>
          <t>FMCO</t>
        </is>
      </c>
      <c r="L450" s="243" t="inlineStr">
        <is>
          <t>-</t>
        </is>
      </c>
      <c r="N450" s="178" t="n"/>
      <c r="O450" s="178" t="n"/>
      <c r="P450" s="178" t="n"/>
      <c r="Q450" s="178" t="n"/>
      <c r="R450" s="178" t="n"/>
      <c r="S450" s="178" t="n"/>
      <c r="T450" s="178" t="n"/>
    </row>
    <row r="451" ht="15.75" customHeight="1">
      <c r="A451" s="554" t="n"/>
      <c r="B451" s="554" t="n"/>
      <c r="C451" s="554" t="n"/>
      <c r="D451" s="554" t="n"/>
      <c r="E451" s="445" t="inlineStr">
        <is>
          <t>Owedh Al Shaibani</t>
        </is>
      </c>
      <c r="F451" s="188" t="inlineStr">
        <is>
          <t>Security Services</t>
        </is>
      </c>
      <c r="G451" s="446" t="n">
        <v>703803</v>
      </c>
      <c r="H451" s="446" t="n">
        <v>1046979405</v>
      </c>
      <c r="I451" s="446" t="inlineStr">
        <is>
          <t>Approved</t>
        </is>
      </c>
      <c r="J451" s="551" t="n">
        <v>45756</v>
      </c>
      <c r="K451" s="446" t="inlineStr">
        <is>
          <t>FMCO</t>
        </is>
      </c>
      <c r="L451" s="243" t="inlineStr">
        <is>
          <t>-</t>
        </is>
      </c>
      <c r="N451" s="178" t="n"/>
      <c r="O451" s="178" t="n"/>
      <c r="P451" s="178" t="n"/>
      <c r="Q451" s="178" t="n"/>
      <c r="R451" s="178" t="n"/>
      <c r="S451" s="178" t="n"/>
      <c r="T451" s="178" t="n"/>
    </row>
    <row r="452" ht="15.75" customHeight="1">
      <c r="A452" s="554" t="n"/>
      <c r="B452" s="554" t="n"/>
      <c r="C452" s="554" t="n"/>
      <c r="D452" s="554" t="n"/>
      <c r="E452" s="445" t="inlineStr">
        <is>
          <t>Muqbil Al Qahtani</t>
        </is>
      </c>
      <c r="F452" s="188" t="inlineStr">
        <is>
          <t>Security Services</t>
        </is>
      </c>
      <c r="G452" s="446" t="n">
        <v>703806</v>
      </c>
      <c r="H452" s="446" t="n">
        <v>1131162891</v>
      </c>
      <c r="I452" s="446" t="inlineStr">
        <is>
          <t>Approved</t>
        </is>
      </c>
      <c r="J452" s="551" t="n">
        <v>45756</v>
      </c>
      <c r="K452" s="446" t="inlineStr">
        <is>
          <t>FMCO</t>
        </is>
      </c>
      <c r="L452" s="243" t="inlineStr">
        <is>
          <t>-</t>
        </is>
      </c>
      <c r="N452" s="178" t="n"/>
      <c r="O452" s="178" t="n"/>
      <c r="P452" s="178" t="n"/>
      <c r="Q452" s="178" t="n"/>
      <c r="R452" s="178" t="n"/>
      <c r="S452" s="178" t="n"/>
      <c r="T452" s="178" t="n"/>
    </row>
    <row r="453" ht="15.75" customHeight="1">
      <c r="A453" s="554" t="n"/>
      <c r="B453" s="554" t="n"/>
      <c r="C453" s="554" t="n"/>
      <c r="D453" s="554" t="n"/>
      <c r="E453" s="445" t="inlineStr">
        <is>
          <t>Meshari Al Dossari</t>
        </is>
      </c>
      <c r="F453" s="188" t="inlineStr">
        <is>
          <t>Security Services</t>
        </is>
      </c>
      <c r="G453" s="446" t="n">
        <v>703807</v>
      </c>
      <c r="H453" s="446" t="n">
        <v>1135470522</v>
      </c>
      <c r="I453" s="446" t="inlineStr">
        <is>
          <t>Approved</t>
        </is>
      </c>
      <c r="J453" s="551" t="n">
        <v>45756</v>
      </c>
      <c r="K453" s="446" t="inlineStr">
        <is>
          <t>FMCO</t>
        </is>
      </c>
      <c r="L453" s="243" t="inlineStr">
        <is>
          <t>-</t>
        </is>
      </c>
      <c r="N453" s="178" t="n"/>
      <c r="O453" s="178" t="n"/>
      <c r="P453" s="178" t="n"/>
      <c r="Q453" s="178" t="n"/>
      <c r="R453" s="178" t="n"/>
      <c r="S453" s="178" t="n"/>
      <c r="T453" s="178" t="n"/>
    </row>
    <row r="454" ht="15.75" customHeight="1">
      <c r="A454" s="554" t="n"/>
      <c r="B454" s="554" t="n"/>
      <c r="C454" s="554" t="n"/>
      <c r="D454" s="554" t="n"/>
      <c r="E454" s="445" t="inlineStr">
        <is>
          <t>Mohammad  Al Otaibi</t>
        </is>
      </c>
      <c r="F454" s="188" t="inlineStr">
        <is>
          <t>Security Services</t>
        </is>
      </c>
      <c r="G454" s="446" t="n">
        <v>703814</v>
      </c>
      <c r="H454" s="446" t="n">
        <v>1121146896</v>
      </c>
      <c r="I454" s="446" t="inlineStr">
        <is>
          <t>Approved</t>
        </is>
      </c>
      <c r="J454" s="551" t="n">
        <v>45763</v>
      </c>
      <c r="K454" s="446" t="inlineStr">
        <is>
          <t>FMCO</t>
        </is>
      </c>
      <c r="L454" s="243" t="inlineStr">
        <is>
          <t>-</t>
        </is>
      </c>
      <c r="N454" s="178" t="n"/>
      <c r="O454" s="178" t="n"/>
      <c r="P454" s="178" t="n"/>
      <c r="Q454" s="178" t="n"/>
      <c r="R454" s="178" t="n"/>
      <c r="S454" s="178" t="n"/>
      <c r="T454" s="178" t="n"/>
    </row>
    <row r="455" ht="15.75" customHeight="1">
      <c r="A455" s="554" t="n"/>
      <c r="B455" s="554" t="n"/>
      <c r="C455" s="554" t="n"/>
      <c r="D455" s="554" t="n"/>
      <c r="E455" s="445" t="inlineStr">
        <is>
          <t>Khalid Meshari Alotaibi</t>
        </is>
      </c>
      <c r="F455" s="188" t="inlineStr">
        <is>
          <t>Security Services</t>
        </is>
      </c>
      <c r="G455" s="446" t="n">
        <v>703833</v>
      </c>
      <c r="H455" s="446" t="n">
        <v>1005643356</v>
      </c>
      <c r="I455" s="446" t="inlineStr">
        <is>
          <t>Approved</t>
        </is>
      </c>
      <c r="J455" s="551" t="n">
        <v>45791</v>
      </c>
      <c r="K455" s="446" t="inlineStr">
        <is>
          <t>FMCO</t>
        </is>
      </c>
      <c r="L455" s="243" t="inlineStr">
        <is>
          <t>-</t>
        </is>
      </c>
      <c r="N455" s="178" t="n"/>
      <c r="O455" s="178" t="n"/>
      <c r="P455" s="178" t="n"/>
      <c r="Q455" s="178" t="n"/>
      <c r="R455" s="178" t="n"/>
      <c r="S455" s="178" t="n"/>
      <c r="T455" s="178" t="n"/>
    </row>
    <row r="456" ht="15.75" customHeight="1">
      <c r="A456" s="554" t="n"/>
      <c r="B456" s="554" t="n"/>
      <c r="C456" s="554" t="n"/>
      <c r="D456" s="554" t="n"/>
      <c r="E456" s="445" t="inlineStr">
        <is>
          <t>Ayidh Mesfer  Alqahtani</t>
        </is>
      </c>
      <c r="F456" s="188" t="inlineStr">
        <is>
          <t>Security Services</t>
        </is>
      </c>
      <c r="G456" s="446" t="n">
        <v>703927</v>
      </c>
      <c r="H456" s="446" t="n">
        <v>1097479941</v>
      </c>
      <c r="I456" s="446" t="inlineStr">
        <is>
          <t>Approved</t>
        </is>
      </c>
      <c r="J456" s="551" t="n">
        <v>45869</v>
      </c>
      <c r="K456" s="446" t="inlineStr">
        <is>
          <t>FMCO</t>
        </is>
      </c>
      <c r="L456" s="243" t="inlineStr">
        <is>
          <t>-</t>
        </is>
      </c>
      <c r="N456" s="178" t="n"/>
      <c r="O456" s="178" t="n"/>
      <c r="P456" s="178" t="n"/>
      <c r="Q456" s="178" t="n"/>
      <c r="R456" s="178" t="n"/>
      <c r="S456" s="178" t="n"/>
      <c r="T456" s="178" t="n"/>
    </row>
    <row r="457" ht="15.75" customHeight="1">
      <c r="A457" s="554" t="n"/>
      <c r="B457" s="554" t="n"/>
      <c r="C457" s="554" t="n"/>
      <c r="D457" s="554" t="n"/>
      <c r="E457" s="445" t="inlineStr">
        <is>
          <t>Majed Saeed Mohammad Alshahrani</t>
        </is>
      </c>
      <c r="F457" s="188" t="inlineStr">
        <is>
          <t>Security Services</t>
        </is>
      </c>
      <c r="G457" s="446" t="n">
        <v>704101</v>
      </c>
      <c r="H457" s="446" t="n">
        <v>1130393984</v>
      </c>
      <c r="I457" s="446" t="inlineStr">
        <is>
          <t>Approved</t>
        </is>
      </c>
      <c r="J457" s="551" t="n">
        <v>46040</v>
      </c>
      <c r="K457" s="446" t="inlineStr">
        <is>
          <t>FMCO</t>
        </is>
      </c>
      <c r="L457" s="243" t="inlineStr">
        <is>
          <t>-</t>
        </is>
      </c>
      <c r="N457" s="178" t="n"/>
      <c r="O457" s="178" t="n"/>
      <c r="P457" s="178" t="n"/>
      <c r="Q457" s="178" t="n"/>
      <c r="R457" s="178" t="n"/>
      <c r="S457" s="178" t="n"/>
      <c r="T457" s="178" t="n"/>
    </row>
    <row r="458" ht="15.75" customHeight="1">
      <c r="A458" s="554" t="n"/>
      <c r="B458" s="554" t="n"/>
      <c r="C458" s="554" t="n"/>
      <c r="D458" s="554" t="n"/>
      <c r="E458" s="445" t="inlineStr">
        <is>
          <t>Abdullah Saeed Alshahrani</t>
        </is>
      </c>
      <c r="F458" s="188" t="inlineStr">
        <is>
          <t>Security Services</t>
        </is>
      </c>
      <c r="G458" s="446" t="n">
        <v>704119</v>
      </c>
      <c r="H458" s="446" t="n">
        <v>1121101347</v>
      </c>
      <c r="I458" s="446" t="inlineStr">
        <is>
          <t>Approved</t>
        </is>
      </c>
      <c r="J458" s="551" t="n">
        <v>46047</v>
      </c>
      <c r="K458" s="446" t="inlineStr">
        <is>
          <t>FMCO</t>
        </is>
      </c>
      <c r="L458" s="243" t="inlineStr">
        <is>
          <t>-</t>
        </is>
      </c>
      <c r="N458" s="178" t="n"/>
      <c r="O458" s="178" t="n"/>
      <c r="P458" s="178" t="n"/>
      <c r="Q458" s="178" t="n"/>
      <c r="R458" s="178" t="n"/>
      <c r="S458" s="178" t="n"/>
      <c r="T458" s="178" t="n"/>
    </row>
    <row r="459" ht="15.75" customHeight="1">
      <c r="A459" s="554" t="n"/>
      <c r="B459" s="554" t="n"/>
      <c r="C459" s="554" t="n"/>
      <c r="D459" s="554" t="n"/>
      <c r="E459" s="445" t="inlineStr">
        <is>
          <t>Mohammed Aedh Alaklabe</t>
        </is>
      </c>
      <c r="F459" s="188" t="inlineStr">
        <is>
          <t>Security Services</t>
        </is>
      </c>
      <c r="G459" s="446" t="n">
        <v>704150</v>
      </c>
      <c r="H459" s="446" t="n">
        <v>1139588899</v>
      </c>
      <c r="I459" s="446" t="inlineStr">
        <is>
          <t>Approved</t>
        </is>
      </c>
      <c r="J459" s="551" t="n">
        <v>46079</v>
      </c>
      <c r="K459" s="446" t="inlineStr">
        <is>
          <t>FMCO</t>
        </is>
      </c>
      <c r="L459" s="243" t="inlineStr">
        <is>
          <t>-</t>
        </is>
      </c>
      <c r="N459" s="178" t="n"/>
      <c r="O459" s="178" t="n"/>
      <c r="P459" s="178" t="n"/>
      <c r="Q459" s="178" t="n"/>
      <c r="R459" s="178" t="n"/>
      <c r="S459" s="178" t="n"/>
      <c r="T459" s="178" t="n"/>
    </row>
    <row r="460" ht="15.75" customHeight="1">
      <c r="A460" s="554" t="n"/>
      <c r="B460" s="554" t="n"/>
      <c r="C460" s="554" t="n"/>
      <c r="D460" s="554" t="n"/>
      <c r="E460" s="445" t="inlineStr">
        <is>
          <t>Fayez Hashr Alotaibi</t>
        </is>
      </c>
      <c r="F460" s="188" t="inlineStr">
        <is>
          <t>Security Services</t>
        </is>
      </c>
      <c r="G460" s="446" t="n">
        <v>704056</v>
      </c>
      <c r="H460" s="446" t="n">
        <v>1125804342</v>
      </c>
      <c r="I460" s="446" t="inlineStr">
        <is>
          <t>Approved</t>
        </is>
      </c>
      <c r="J460" s="551" t="n">
        <v>45972</v>
      </c>
      <c r="K460" s="446" t="inlineStr">
        <is>
          <t>FMCO</t>
        </is>
      </c>
      <c r="L460" s="243" t="inlineStr">
        <is>
          <t>-</t>
        </is>
      </c>
      <c r="N460" s="178" t="n"/>
      <c r="O460" s="178" t="n"/>
      <c r="P460" s="178" t="n"/>
      <c r="Q460" s="178" t="n"/>
      <c r="R460" s="178" t="n"/>
      <c r="S460" s="178" t="n"/>
      <c r="T460" s="178" t="n"/>
    </row>
    <row r="461" ht="15.75" customHeight="1">
      <c r="A461" s="554" t="n"/>
      <c r="B461" s="554" t="n"/>
      <c r="C461" s="554" t="n"/>
      <c r="D461" s="554" t="n"/>
      <c r="E461" s="445" t="inlineStr">
        <is>
          <t>Abdullah Bin Atallah Alqahtani</t>
        </is>
      </c>
      <c r="F461" s="188" t="inlineStr">
        <is>
          <t>Security Services</t>
        </is>
      </c>
      <c r="G461" s="446" t="inlineStr">
        <is>
          <t> </t>
        </is>
      </c>
      <c r="H461" s="446" t="n">
        <v>1130438631</v>
      </c>
      <c r="I461" s="446" t="inlineStr">
        <is>
          <t>Approved</t>
        </is>
      </c>
      <c r="J461" s="551" t="n">
        <v>46131</v>
      </c>
      <c r="K461" s="446" t="inlineStr">
        <is>
          <t>FMCO</t>
        </is>
      </c>
      <c r="L461" s="243" t="inlineStr">
        <is>
          <t>-</t>
        </is>
      </c>
      <c r="N461" s="178" t="n"/>
      <c r="O461" s="178" t="n"/>
      <c r="P461" s="178" t="n"/>
      <c r="Q461" s="178" t="n"/>
      <c r="R461" s="178" t="n"/>
      <c r="S461" s="178" t="n"/>
      <c r="T461" s="178" t="n"/>
    </row>
    <row r="462" ht="15.75" customHeight="1">
      <c r="A462" s="554" t="n"/>
      <c r="B462" s="554" t="n"/>
      <c r="C462" s="554" t="n"/>
      <c r="D462" s="554" t="n"/>
      <c r="E462" s="445" t="inlineStr">
        <is>
          <t>Saad Alqahtani</t>
        </is>
      </c>
      <c r="F462" s="188" t="inlineStr">
        <is>
          <t>Security Services</t>
        </is>
      </c>
      <c r="G462" s="446" t="inlineStr">
        <is>
          <t> </t>
        </is>
      </c>
      <c r="H462" s="446" t="n">
        <v>1127072690</v>
      </c>
      <c r="I462" s="446" t="inlineStr">
        <is>
          <t>Approved</t>
        </is>
      </c>
      <c r="J462" s="551" t="n">
        <v>46131</v>
      </c>
      <c r="K462" s="446" t="inlineStr">
        <is>
          <t>FMCO</t>
        </is>
      </c>
      <c r="L462" s="243" t="inlineStr">
        <is>
          <t>-</t>
        </is>
      </c>
      <c r="N462" s="178" t="n"/>
      <c r="O462" s="178" t="n"/>
      <c r="P462" s="178" t="n"/>
      <c r="Q462" s="178" t="n"/>
      <c r="R462" s="178" t="n"/>
      <c r="S462" s="178" t="n"/>
      <c r="T462" s="178" t="n"/>
    </row>
    <row r="463" ht="15.75" customHeight="1">
      <c r="A463" s="554" t="n"/>
      <c r="B463" s="554" t="n"/>
      <c r="C463" s="554" t="n"/>
      <c r="D463" s="554" t="n"/>
      <c r="E463" s="445" t="inlineStr">
        <is>
          <t>Falah Nasser Alkahtni</t>
        </is>
      </c>
      <c r="F463" s="188" t="inlineStr">
        <is>
          <t>Security Services</t>
        </is>
      </c>
      <c r="G463" s="446" t="n">
        <v>704271</v>
      </c>
      <c r="H463" s="446" t="n">
        <v>1129380901</v>
      </c>
      <c r="I463" s="446" t="inlineStr">
        <is>
          <t>Approved</t>
        </is>
      </c>
      <c r="J463" s="551" t="n">
        <v>46155</v>
      </c>
      <c r="K463" s="446" t="inlineStr">
        <is>
          <t>FMCO</t>
        </is>
      </c>
      <c r="L463" s="243" t="inlineStr">
        <is>
          <t>-</t>
        </is>
      </c>
      <c r="N463" s="178" t="n"/>
      <c r="O463" s="178" t="n"/>
      <c r="P463" s="178" t="n"/>
      <c r="Q463" s="178" t="n"/>
      <c r="R463" s="178" t="n"/>
      <c r="S463" s="178" t="n"/>
      <c r="T463" s="178" t="n"/>
    </row>
    <row r="464" ht="15.75" customHeight="1">
      <c r="A464" s="554" t="n"/>
      <c r="B464" s="554" t="n"/>
      <c r="C464" s="554" t="n"/>
      <c r="D464" s="554" t="n"/>
      <c r="E464" s="445" t="inlineStr">
        <is>
          <t xml:space="preserve">Jaber Ahmed Khubrani </t>
        </is>
      </c>
      <c r="F464" s="188" t="inlineStr">
        <is>
          <t>Security Services</t>
        </is>
      </c>
      <c r="G464" s="446" t="n">
        <v>704272</v>
      </c>
      <c r="H464" s="446" t="n">
        <v>1114465709</v>
      </c>
      <c r="I464" s="446" t="inlineStr">
        <is>
          <t>Approved</t>
        </is>
      </c>
      <c r="J464" s="551" t="n">
        <v>46155</v>
      </c>
      <c r="K464" s="446" t="inlineStr">
        <is>
          <t>FMCO</t>
        </is>
      </c>
      <c r="L464" s="243" t="inlineStr">
        <is>
          <t>-</t>
        </is>
      </c>
      <c r="N464" s="178" t="n"/>
      <c r="O464" s="178" t="n"/>
      <c r="P464" s="178" t="n"/>
      <c r="Q464" s="178" t="n"/>
      <c r="R464" s="178" t="n"/>
      <c r="S464" s="178" t="n"/>
      <c r="T464" s="178" t="n"/>
    </row>
    <row r="465" ht="15.75" customHeight="1">
      <c r="A465" s="554" t="n"/>
      <c r="B465" s="554" t="n"/>
      <c r="C465" s="554" t="n"/>
      <c r="D465" s="554" t="n"/>
      <c r="E465" s="445" t="inlineStr">
        <is>
          <t>Munahi Mohammed Alsubaie</t>
        </is>
      </c>
      <c r="F465" s="188" t="inlineStr">
        <is>
          <t>Security Services</t>
        </is>
      </c>
      <c r="G465" s="446" t="n">
        <v>704274</v>
      </c>
      <c r="H465" s="446" t="n">
        <v>1117629459</v>
      </c>
      <c r="I465" s="446" t="inlineStr">
        <is>
          <t>Approved</t>
        </is>
      </c>
      <c r="J465" s="551" t="n">
        <v>46155</v>
      </c>
      <c r="K465" s="446" t="inlineStr">
        <is>
          <t>FMCO</t>
        </is>
      </c>
      <c r="L465" s="243" t="inlineStr">
        <is>
          <t>-</t>
        </is>
      </c>
      <c r="N465" s="178" t="n"/>
      <c r="O465" s="178" t="n"/>
      <c r="P465" s="178" t="n"/>
      <c r="Q465" s="178" t="n"/>
      <c r="R465" s="178" t="n"/>
      <c r="S465" s="178" t="n"/>
      <c r="T465" s="178" t="n"/>
    </row>
    <row r="466" ht="15.75" customHeight="1">
      <c r="A466" s="554" t="n"/>
      <c r="B466" s="554" t="n"/>
      <c r="C466" s="554" t="n"/>
      <c r="D466" s="554" t="n"/>
      <c r="E466" s="445" t="inlineStr">
        <is>
          <t>Ali Mohammed Alqahtani</t>
        </is>
      </c>
      <c r="F466" s="188" t="inlineStr">
        <is>
          <t>Security Services</t>
        </is>
      </c>
      <c r="G466" s="446" t="n">
        <v>704276</v>
      </c>
      <c r="H466" s="446" t="n">
        <v>1131358077</v>
      </c>
      <c r="I466" s="446" t="inlineStr">
        <is>
          <t>Approved</t>
        </is>
      </c>
      <c r="J466" s="551" t="n">
        <v>46155</v>
      </c>
      <c r="K466" s="446" t="inlineStr">
        <is>
          <t>FMCO</t>
        </is>
      </c>
      <c r="L466" s="243" t="inlineStr">
        <is>
          <t>-</t>
        </is>
      </c>
      <c r="N466" s="178" t="n"/>
      <c r="O466" s="178" t="n"/>
      <c r="P466" s="178" t="n"/>
      <c r="Q466" s="178" t="n"/>
      <c r="R466" s="178" t="n"/>
      <c r="S466" s="178" t="n"/>
      <c r="T466" s="178" t="n"/>
    </row>
    <row r="467" ht="15.75" customHeight="1">
      <c r="A467" s="554" t="n"/>
      <c r="B467" s="554" t="n"/>
      <c r="C467" s="554" t="n"/>
      <c r="D467" s="554" t="n"/>
      <c r="E467" s="445" t="inlineStr">
        <is>
          <t>Abdulkarim Mohammed Alshahrani</t>
        </is>
      </c>
      <c r="F467" s="188" t="inlineStr">
        <is>
          <t>Security Services</t>
        </is>
      </c>
      <c r="G467" s="446" t="n">
        <v>704275</v>
      </c>
      <c r="H467" s="446" t="n">
        <v>1094143250</v>
      </c>
      <c r="I467" s="446" t="inlineStr">
        <is>
          <t>Approved</t>
        </is>
      </c>
      <c r="J467" s="551" t="n">
        <v>46155</v>
      </c>
      <c r="K467" s="446" t="inlineStr">
        <is>
          <t>FMCO</t>
        </is>
      </c>
      <c r="L467" s="243" t="inlineStr">
        <is>
          <t>-</t>
        </is>
      </c>
      <c r="N467" s="178" t="n"/>
      <c r="O467" s="178" t="n"/>
      <c r="P467" s="178" t="n"/>
      <c r="Q467" s="178" t="n"/>
      <c r="R467" s="178" t="n"/>
      <c r="S467" s="178" t="n"/>
      <c r="T467" s="178" t="n"/>
    </row>
    <row r="468" ht="15.75" customHeight="1">
      <c r="A468" s="554" t="n"/>
      <c r="B468" s="554" t="n"/>
      <c r="C468" s="554" t="n"/>
      <c r="D468" s="554" t="n"/>
      <c r="E468" s="445" t="inlineStr">
        <is>
          <t>Bader Badi Al Dossari</t>
        </is>
      </c>
      <c r="F468" s="188" t="inlineStr">
        <is>
          <t>Security Services</t>
        </is>
      </c>
      <c r="G468" s="446" t="n">
        <v>704121</v>
      </c>
      <c r="H468" s="446" t="n">
        <v>1111582852</v>
      </c>
      <c r="I468" s="446" t="inlineStr">
        <is>
          <t>Approved</t>
        </is>
      </c>
      <c r="J468" s="551" t="n">
        <v>46047</v>
      </c>
      <c r="K468" s="446" t="inlineStr">
        <is>
          <t>FMCO</t>
        </is>
      </c>
      <c r="L468" s="243" t="inlineStr">
        <is>
          <t>-</t>
        </is>
      </c>
      <c r="N468" s="178" t="n"/>
      <c r="O468" s="178" t="n"/>
      <c r="P468" s="178" t="n"/>
      <c r="Q468" s="178" t="n"/>
      <c r="R468" s="178" t="n"/>
      <c r="S468" s="178" t="n"/>
      <c r="T468" s="178" t="n"/>
    </row>
    <row r="469" ht="15.75" customHeight="1">
      <c r="A469" s="554" t="n"/>
      <c r="B469" s="554" t="n"/>
      <c r="C469" s="554" t="n"/>
      <c r="D469" s="554" t="n"/>
      <c r="E469" s="445" t="inlineStr">
        <is>
          <t>Dhafer Mohammed Alqahtani</t>
        </is>
      </c>
      <c r="F469" s="188" t="inlineStr">
        <is>
          <t>Security Services</t>
        </is>
      </c>
      <c r="G469" s="446" t="inlineStr">
        <is>
          <t>-</t>
        </is>
      </c>
      <c r="H469" s="212" t="n">
        <v>1129832968</v>
      </c>
      <c r="I469" s="446" t="inlineStr">
        <is>
          <t>Approved</t>
        </is>
      </c>
      <c r="J469" s="551" t="n">
        <v>46222</v>
      </c>
      <c r="K469" s="446" t="inlineStr">
        <is>
          <t>FMCO</t>
        </is>
      </c>
      <c r="L469" s="243" t="inlineStr">
        <is>
          <t>-</t>
        </is>
      </c>
      <c r="N469" s="178" t="n"/>
      <c r="O469" s="178" t="n"/>
      <c r="P469" s="178" t="n"/>
      <c r="Q469" s="178" t="n"/>
      <c r="R469" s="178" t="n"/>
      <c r="S469" s="178" t="n"/>
      <c r="T469" s="178" t="n"/>
    </row>
    <row r="470" ht="15.75" customHeight="1">
      <c r="A470" s="554" t="n"/>
      <c r="B470" s="554" t="n"/>
      <c r="C470" s="554" t="n"/>
      <c r="D470" s="554" t="n"/>
      <c r="E470" s="445" t="inlineStr">
        <is>
          <t>Saud Saleh</t>
        </is>
      </c>
      <c r="F470" s="188" t="inlineStr">
        <is>
          <t>Security Services</t>
        </is>
      </c>
      <c r="G470" s="446" t="inlineStr">
        <is>
          <t>-</t>
        </is>
      </c>
      <c r="H470" s="212" t="n">
        <v>1113793069</v>
      </c>
      <c r="I470" s="446" t="inlineStr">
        <is>
          <t>Approved</t>
        </is>
      </c>
      <c r="J470" s="551" t="n">
        <v>46222</v>
      </c>
      <c r="K470" s="446" t="inlineStr">
        <is>
          <t>FMCO</t>
        </is>
      </c>
      <c r="L470" s="243" t="inlineStr">
        <is>
          <t>-</t>
        </is>
      </c>
      <c r="N470" s="178" t="n"/>
      <c r="O470" s="178" t="n"/>
      <c r="P470" s="178" t="n"/>
      <c r="Q470" s="178" t="n"/>
      <c r="R470" s="178" t="n"/>
      <c r="S470" s="178" t="n"/>
      <c r="T470" s="178" t="n"/>
    </row>
    <row r="471" ht="15.75" customHeight="1">
      <c r="A471" s="554" t="n"/>
      <c r="B471" s="554" t="n"/>
      <c r="C471" s="554" t="n"/>
      <c r="D471" s="554" t="n"/>
      <c r="E471" s="445" t="inlineStr">
        <is>
          <t xml:space="preserve">Zaid Mohammaed </t>
        </is>
      </c>
      <c r="F471" s="188" t="inlineStr">
        <is>
          <t>Security Services</t>
        </is>
      </c>
      <c r="G471" s="446" t="inlineStr">
        <is>
          <t>-</t>
        </is>
      </c>
      <c r="H471" s="212" t="n">
        <v>1122344169</v>
      </c>
      <c r="I471" s="446" t="inlineStr">
        <is>
          <t>Approved</t>
        </is>
      </c>
      <c r="J471" s="551" t="n">
        <v>46222</v>
      </c>
      <c r="K471" s="446" t="inlineStr">
        <is>
          <t>FMCO</t>
        </is>
      </c>
      <c r="L471" s="243" t="inlineStr">
        <is>
          <t>-</t>
        </is>
      </c>
      <c r="N471" s="178" t="n"/>
      <c r="O471" s="178" t="n"/>
      <c r="P471" s="178" t="n"/>
      <c r="Q471" s="178" t="n"/>
      <c r="R471" s="178" t="n"/>
      <c r="S471" s="178" t="n"/>
      <c r="T471" s="178" t="n"/>
    </row>
    <row r="472" ht="15.75" customHeight="1">
      <c r="A472" s="554" t="n"/>
      <c r="B472" s="554" t="n"/>
      <c r="C472" s="554" t="n"/>
      <c r="D472" s="554" t="n"/>
      <c r="E472" s="445" t="inlineStr">
        <is>
          <t>Mubarak Mesfer Aldawsari</t>
        </is>
      </c>
      <c r="F472" s="188" t="inlineStr">
        <is>
          <t>Security Services</t>
        </is>
      </c>
      <c r="G472" s="446" t="inlineStr">
        <is>
          <t>-</t>
        </is>
      </c>
      <c r="H472" s="212" t="n">
        <v>1113542904</v>
      </c>
      <c r="I472" s="446" t="inlineStr">
        <is>
          <t>Approved</t>
        </is>
      </c>
      <c r="J472" s="552" t="n"/>
      <c r="K472" s="446" t="inlineStr">
        <is>
          <t>FMCO</t>
        </is>
      </c>
      <c r="L472" s="243" t="inlineStr">
        <is>
          <t>-</t>
        </is>
      </c>
      <c r="N472" s="178" t="n"/>
      <c r="O472" s="178" t="n"/>
      <c r="P472" s="178" t="n"/>
      <c r="Q472" s="178" t="n"/>
      <c r="R472" s="178" t="n"/>
      <c r="S472" s="178" t="n"/>
      <c r="T472" s="178" t="n"/>
    </row>
    <row r="473" ht="15.75" customHeight="1">
      <c r="A473" s="554" t="n"/>
      <c r="B473" s="554" t="n"/>
      <c r="C473" s="554" t="n"/>
      <c r="D473" s="554" t="n"/>
      <c r="E473" s="445" t="inlineStr">
        <is>
          <t>Khalid Abdulhadi Alqahtani</t>
        </is>
      </c>
      <c r="F473" s="188" t="inlineStr">
        <is>
          <t>Security Services</t>
        </is>
      </c>
      <c r="G473" s="446" t="inlineStr">
        <is>
          <t>-</t>
        </is>
      </c>
      <c r="H473" s="212" t="n">
        <v>1126303302</v>
      </c>
      <c r="I473" s="446" t="inlineStr">
        <is>
          <t>Approved</t>
        </is>
      </c>
      <c r="J473" s="552" t="n"/>
      <c r="K473" s="446" t="inlineStr">
        <is>
          <t>FMCO</t>
        </is>
      </c>
      <c r="L473" s="243" t="inlineStr">
        <is>
          <t>-</t>
        </is>
      </c>
      <c r="N473" s="178" t="n"/>
      <c r="O473" s="178" t="n"/>
      <c r="P473" s="178" t="n"/>
      <c r="Q473" s="178" t="n"/>
      <c r="R473" s="178" t="n"/>
      <c r="S473" s="178" t="n"/>
      <c r="T473" s="178" t="n"/>
    </row>
    <row r="474" ht="15.75" customHeight="1">
      <c r="A474" s="554" t="n"/>
      <c r="B474" s="554" t="n"/>
      <c r="C474" s="554" t="n"/>
      <c r="D474" s="554" t="n"/>
      <c r="E474" s="445" t="inlineStr">
        <is>
          <t>Aiydh Saeed Alaklubi</t>
        </is>
      </c>
      <c r="F474" s="188" t="inlineStr">
        <is>
          <t>Security Services</t>
        </is>
      </c>
      <c r="G474" s="446" t="inlineStr">
        <is>
          <t>-</t>
        </is>
      </c>
      <c r="H474" s="212" t="n">
        <v>1120581192</v>
      </c>
      <c r="I474" s="446" t="inlineStr">
        <is>
          <t>Approved</t>
        </is>
      </c>
      <c r="J474" s="552" t="n"/>
      <c r="K474" s="446" t="inlineStr">
        <is>
          <t>FMCO</t>
        </is>
      </c>
      <c r="L474" s="243" t="inlineStr">
        <is>
          <t>-</t>
        </is>
      </c>
      <c r="N474" s="178" t="n"/>
      <c r="O474" s="178" t="n"/>
      <c r="P474" s="178" t="n"/>
      <c r="Q474" s="178" t="n"/>
      <c r="R474" s="178" t="n"/>
      <c r="S474" s="178" t="n"/>
      <c r="T474" s="178" t="n"/>
    </row>
    <row r="475" ht="15.75" customHeight="1">
      <c r="A475" s="554" t="n"/>
      <c r="B475" s="554" t="n"/>
      <c r="C475" s="554" t="n"/>
      <c r="D475" s="554" t="n"/>
      <c r="E475" s="445" t="inlineStr">
        <is>
          <t>Saud Falah Alqahtani</t>
        </is>
      </c>
      <c r="F475" s="188" t="inlineStr">
        <is>
          <t>Security Services</t>
        </is>
      </c>
      <c r="G475" s="446" t="inlineStr">
        <is>
          <t>-</t>
        </is>
      </c>
      <c r="H475" s="212" t="n">
        <v>1124079052</v>
      </c>
      <c r="I475" s="446" t="inlineStr">
        <is>
          <t>Approved</t>
        </is>
      </c>
      <c r="J475" s="552" t="n"/>
      <c r="K475" s="446" t="inlineStr">
        <is>
          <t>FMCO</t>
        </is>
      </c>
      <c r="L475" s="243" t="inlineStr">
        <is>
          <t>-</t>
        </is>
      </c>
      <c r="N475" s="178" t="n"/>
      <c r="O475" s="178" t="n"/>
      <c r="P475" s="178" t="n"/>
      <c r="Q475" s="178" t="n"/>
      <c r="R475" s="178" t="n"/>
      <c r="S475" s="178" t="n"/>
      <c r="T475" s="178" t="n"/>
    </row>
    <row r="476" ht="15.75" customHeight="1">
      <c r="A476" s="554" t="n"/>
      <c r="B476" s="554" t="n"/>
      <c r="C476" s="554" t="n"/>
      <c r="D476" s="554" t="n"/>
      <c r="E476" s="445" t="inlineStr">
        <is>
          <t>MOHAMMED AYAD ALALYAN</t>
        </is>
      </c>
      <c r="F476" s="188" t="inlineStr">
        <is>
          <t>Security Services</t>
        </is>
      </c>
      <c r="G476" s="446" t="inlineStr">
        <is>
          <t>-</t>
        </is>
      </c>
      <c r="H476" s="217" t="n">
        <v>1142920022</v>
      </c>
      <c r="I476" s="446" t="inlineStr">
        <is>
          <t>Approved</t>
        </is>
      </c>
      <c r="J476" s="552" t="n"/>
      <c r="K476" s="446" t="inlineStr">
        <is>
          <t>FMCO</t>
        </is>
      </c>
      <c r="L476" s="243" t="inlineStr">
        <is>
          <t>-</t>
        </is>
      </c>
      <c r="N476" s="178" t="n"/>
      <c r="O476" s="178" t="n"/>
      <c r="P476" s="178" t="n"/>
      <c r="Q476" s="178" t="n"/>
      <c r="R476" s="178" t="n"/>
      <c r="S476" s="178" t="n"/>
      <c r="T476" s="178" t="n"/>
    </row>
    <row r="477" ht="15.75" customHeight="1">
      <c r="A477" s="554" t="n"/>
      <c r="B477" s="554" t="n"/>
      <c r="C477" s="554" t="n"/>
      <c r="D477" s="554" t="n"/>
      <c r="E477" s="445" t="inlineStr">
        <is>
          <t>ABDULLAH FALAH ALKAHTANI</t>
        </is>
      </c>
      <c r="F477" s="188" t="inlineStr">
        <is>
          <t>Security Services</t>
        </is>
      </c>
      <c r="G477" s="446" t="inlineStr">
        <is>
          <t>-</t>
        </is>
      </c>
      <c r="H477" s="217" t="n">
        <v>1133639151</v>
      </c>
      <c r="I477" s="446" t="inlineStr">
        <is>
          <t>Approved</t>
        </is>
      </c>
      <c r="J477" s="552" t="n"/>
      <c r="K477" s="446" t="inlineStr">
        <is>
          <t>FMCO</t>
        </is>
      </c>
      <c r="L477" s="243" t="inlineStr">
        <is>
          <t>-</t>
        </is>
      </c>
      <c r="N477" s="178" t="n"/>
      <c r="O477" s="178" t="n"/>
      <c r="P477" s="178" t="n"/>
      <c r="Q477" s="178" t="n"/>
      <c r="R477" s="178" t="n"/>
      <c r="S477" s="178" t="n"/>
      <c r="T477" s="178" t="n"/>
    </row>
    <row r="478" ht="15.75" customHeight="1">
      <c r="A478" s="554" t="n"/>
      <c r="B478" s="554" t="n"/>
      <c r="C478" s="554" t="n"/>
      <c r="D478" s="554" t="n"/>
      <c r="E478" s="445" t="inlineStr">
        <is>
          <t>SULTAN SAUD ALSUBAIE</t>
        </is>
      </c>
      <c r="F478" s="188" t="inlineStr">
        <is>
          <t>Security Services</t>
        </is>
      </c>
      <c r="G478" s="446" t="inlineStr">
        <is>
          <t>-</t>
        </is>
      </c>
      <c r="H478" s="217" t="n">
        <v>1131075788</v>
      </c>
      <c r="I478" s="446" t="inlineStr">
        <is>
          <t>Approved</t>
        </is>
      </c>
      <c r="J478" s="552" t="n"/>
      <c r="K478" s="446" t="inlineStr">
        <is>
          <t>FMCO</t>
        </is>
      </c>
      <c r="L478" s="243" t="inlineStr">
        <is>
          <t>-</t>
        </is>
      </c>
      <c r="N478" s="178" t="n"/>
      <c r="O478" s="178" t="n"/>
      <c r="P478" s="178" t="n"/>
      <c r="Q478" s="178" t="n"/>
      <c r="R478" s="178" t="n"/>
      <c r="S478" s="178" t="n"/>
      <c r="T478" s="178" t="n"/>
    </row>
    <row r="479" ht="15.75" customHeight="1">
      <c r="A479" s="554" t="n"/>
      <c r="B479" s="554" t="n"/>
      <c r="C479" s="554" t="n"/>
      <c r="D479" s="554" t="n"/>
      <c r="E479" s="409" t="inlineStr">
        <is>
          <t>MESFER ALI ALDAWSARI</t>
        </is>
      </c>
      <c r="F479" s="188" t="inlineStr">
        <is>
          <t>Security Services</t>
        </is>
      </c>
      <c r="G479" s="446" t="n">
        <v>704273</v>
      </c>
      <c r="H479" s="446" t="inlineStr">
        <is>
          <t>1127683504</t>
        </is>
      </c>
      <c r="I479" s="446" t="inlineStr">
        <is>
          <t>Approved</t>
        </is>
      </c>
      <c r="J479" s="582" t="inlineStr">
        <is>
          <t>2026-05-13 00:00:00</t>
        </is>
      </c>
      <c r="K479" s="446" t="inlineStr">
        <is>
          <t>FMCO</t>
        </is>
      </c>
      <c r="L479" s="243" t="n"/>
      <c r="N479" s="178" t="n"/>
      <c r="O479" s="178" t="n"/>
      <c r="P479" s="178" t="n"/>
      <c r="Q479" s="178" t="n"/>
      <c r="R479" s="178" t="n"/>
      <c r="S479" s="178" t="n"/>
      <c r="T479" s="178" t="n"/>
    </row>
    <row r="480" ht="15.75" customHeight="1">
      <c r="A480" s="554" t="n"/>
      <c r="B480" s="554" t="n"/>
      <c r="C480" s="554" t="n"/>
      <c r="D480" s="554" t="n"/>
      <c r="E480" s="409" t="n"/>
      <c r="F480" s="188" t="inlineStr">
        <is>
          <t>Security Services</t>
        </is>
      </c>
      <c r="G480" s="446" t="inlineStr">
        <is>
          <t>-</t>
        </is>
      </c>
      <c r="H480" s="446" t="inlineStr">
        <is>
          <t>-</t>
        </is>
      </c>
      <c r="I480" s="446" t="inlineStr">
        <is>
          <t>Vacant</t>
        </is>
      </c>
      <c r="J480" s="582" t="n"/>
      <c r="K480" s="446" t="inlineStr">
        <is>
          <t>-</t>
        </is>
      </c>
      <c r="L480" s="243" t="inlineStr">
        <is>
          <t>-</t>
        </is>
      </c>
      <c r="N480" s="178" t="n"/>
      <c r="O480" s="178" t="n"/>
      <c r="P480" s="178" t="n"/>
      <c r="Q480" s="178" t="n"/>
      <c r="R480" s="178" t="n"/>
      <c r="S480" s="178" t="n"/>
      <c r="T480" s="178" t="n"/>
    </row>
    <row r="481" ht="15.75" customHeight="1">
      <c r="A481" s="554" t="n"/>
      <c r="B481" s="554" t="n"/>
      <c r="C481" s="554" t="n"/>
      <c r="D481" s="554" t="n"/>
      <c r="E481" s="409" t="n"/>
      <c r="F481" s="188" t="inlineStr">
        <is>
          <t>Security Services</t>
        </is>
      </c>
      <c r="G481" s="446" t="inlineStr">
        <is>
          <t>-</t>
        </is>
      </c>
      <c r="H481" s="446" t="inlineStr">
        <is>
          <t>-</t>
        </is>
      </c>
      <c r="I481" s="446" t="inlineStr">
        <is>
          <t>Vacant</t>
        </is>
      </c>
      <c r="J481" s="582" t="n"/>
      <c r="K481" s="446" t="inlineStr">
        <is>
          <t>-</t>
        </is>
      </c>
      <c r="L481" s="243" t="inlineStr">
        <is>
          <t>-</t>
        </is>
      </c>
      <c r="N481" s="178" t="n"/>
      <c r="O481" s="178" t="n"/>
      <c r="P481" s="178" t="n"/>
      <c r="Q481" s="178" t="n"/>
      <c r="R481" s="178" t="n"/>
      <c r="S481" s="178" t="n"/>
      <c r="T481" s="178" t="n"/>
    </row>
    <row r="482" ht="15.75" customHeight="1">
      <c r="A482" s="554" t="n"/>
      <c r="B482" s="554" t="n"/>
      <c r="C482" s="554" t="n"/>
      <c r="D482" s="554" t="n"/>
      <c r="E482" s="187" t="n"/>
      <c r="F482" s="188" t="inlineStr">
        <is>
          <t>Security Services</t>
        </is>
      </c>
      <c r="G482" s="446" t="inlineStr">
        <is>
          <t>-</t>
        </is>
      </c>
      <c r="H482" s="446" t="inlineStr">
        <is>
          <t>-</t>
        </is>
      </c>
      <c r="I482" s="446" t="inlineStr">
        <is>
          <t>Vacant</t>
        </is>
      </c>
      <c r="J482" s="552" t="n"/>
      <c r="K482" s="446" t="inlineStr">
        <is>
          <t>-</t>
        </is>
      </c>
      <c r="L482" s="243" t="inlineStr">
        <is>
          <t>-</t>
        </is>
      </c>
      <c r="N482" s="178" t="n"/>
      <c r="O482" s="178" t="n"/>
      <c r="P482" s="178" t="n"/>
      <c r="Q482" s="178" t="n"/>
      <c r="R482" s="178" t="n"/>
      <c r="S482" s="178" t="n"/>
      <c r="T482" s="178" t="n"/>
    </row>
    <row r="483" ht="15.75" customHeight="1">
      <c r="A483" s="554" t="n"/>
      <c r="B483" s="554" t="n"/>
      <c r="C483" s="554" t="n"/>
      <c r="D483" s="554" t="n"/>
      <c r="E483" s="187" t="n"/>
      <c r="F483" s="188" t="inlineStr">
        <is>
          <t>Security Services</t>
        </is>
      </c>
      <c r="G483" s="446" t="inlineStr">
        <is>
          <t>-</t>
        </is>
      </c>
      <c r="H483" s="446" t="inlineStr">
        <is>
          <t>-</t>
        </is>
      </c>
      <c r="I483" s="446" t="inlineStr">
        <is>
          <t>Vacant</t>
        </is>
      </c>
      <c r="J483" s="552" t="n"/>
      <c r="K483" s="446" t="inlineStr">
        <is>
          <t>-</t>
        </is>
      </c>
      <c r="L483" s="243" t="inlineStr">
        <is>
          <t>-</t>
        </is>
      </c>
      <c r="N483" s="178" t="n"/>
      <c r="O483" s="178" t="n"/>
      <c r="P483" s="178" t="n"/>
      <c r="Q483" s="178" t="n"/>
      <c r="R483" s="178" t="n"/>
      <c r="S483" s="178" t="n"/>
      <c r="T483" s="178" t="n"/>
    </row>
    <row r="484" ht="15.75" customHeight="1">
      <c r="A484" s="554" t="n"/>
      <c r="B484" s="554" t="n"/>
      <c r="C484" s="554" t="n"/>
      <c r="D484" s="554" t="n"/>
      <c r="E484" s="409" t="n"/>
      <c r="F484" s="188" t="inlineStr">
        <is>
          <t>Security Services</t>
        </is>
      </c>
      <c r="G484" s="446" t="inlineStr">
        <is>
          <t>-</t>
        </is>
      </c>
      <c r="H484" s="446" t="inlineStr">
        <is>
          <t>-</t>
        </is>
      </c>
      <c r="I484" s="446" t="inlineStr">
        <is>
          <t>Vacant</t>
        </is>
      </c>
      <c r="J484" s="552" t="n"/>
      <c r="K484" s="446" t="inlineStr">
        <is>
          <t>-</t>
        </is>
      </c>
      <c r="L484" s="243" t="inlineStr">
        <is>
          <t>-</t>
        </is>
      </c>
      <c r="N484" s="178" t="n"/>
      <c r="O484" s="178" t="n"/>
      <c r="P484" s="178" t="n"/>
      <c r="Q484" s="178" t="n"/>
      <c r="R484" s="178" t="n"/>
      <c r="S484" s="178" t="n"/>
      <c r="T484" s="178" t="n"/>
    </row>
    <row r="485" ht="15.75" customHeight="1">
      <c r="A485" s="554" t="n"/>
      <c r="B485" s="554" t="n"/>
      <c r="C485" s="554" t="n"/>
      <c r="D485" s="554" t="n"/>
      <c r="E485" s="409" t="n"/>
      <c r="F485" s="188" t="inlineStr">
        <is>
          <t>Security Services</t>
        </is>
      </c>
      <c r="G485" s="446" t="inlineStr">
        <is>
          <t>-</t>
        </is>
      </c>
      <c r="H485" s="446" t="inlineStr">
        <is>
          <t>-</t>
        </is>
      </c>
      <c r="I485" s="446" t="inlineStr">
        <is>
          <t>Vacant</t>
        </is>
      </c>
      <c r="J485" s="552" t="n"/>
      <c r="K485" s="446" t="inlineStr">
        <is>
          <t>-</t>
        </is>
      </c>
      <c r="L485" s="243" t="inlineStr">
        <is>
          <t>-</t>
        </is>
      </c>
      <c r="N485" s="178" t="n"/>
      <c r="O485" s="178" t="n"/>
      <c r="P485" s="178" t="n"/>
      <c r="Q485" s="178" t="n"/>
      <c r="R485" s="178" t="n"/>
      <c r="S485" s="178" t="n"/>
      <c r="T485" s="178" t="n"/>
    </row>
    <row r="486" ht="15.75" customHeight="1">
      <c r="A486" s="554" t="n"/>
      <c r="B486" s="554" t="n"/>
      <c r="C486" s="554" t="n"/>
      <c r="D486" s="554" t="n"/>
      <c r="E486" s="409" t="n"/>
      <c r="F486" s="188" t="inlineStr">
        <is>
          <t>Security Services</t>
        </is>
      </c>
      <c r="G486" s="245" t="inlineStr">
        <is>
          <t>-</t>
        </is>
      </c>
      <c r="H486" s="245" t="inlineStr">
        <is>
          <t>-</t>
        </is>
      </c>
      <c r="I486" s="446" t="inlineStr">
        <is>
          <t>Vacant</t>
        </is>
      </c>
      <c r="J486" s="552" t="n"/>
      <c r="K486" s="446" t="inlineStr">
        <is>
          <t>-</t>
        </is>
      </c>
      <c r="L486" s="243" t="inlineStr">
        <is>
          <t>-</t>
        </is>
      </c>
      <c r="N486" s="178" t="n"/>
      <c r="O486" s="178" t="n"/>
      <c r="P486" s="178" t="n"/>
      <c r="Q486" s="178" t="n"/>
      <c r="R486" s="178" t="n"/>
      <c r="S486" s="178" t="n"/>
      <c r="T486" s="178" t="n"/>
    </row>
    <row r="487" ht="15.75" customHeight="1">
      <c r="A487" s="554" t="n"/>
      <c r="B487" s="554" t="n"/>
      <c r="C487" s="554" t="n"/>
      <c r="D487" s="554" t="n"/>
      <c r="E487" s="409" t="n"/>
      <c r="F487" s="188" t="inlineStr">
        <is>
          <t>Security Services</t>
        </is>
      </c>
      <c r="G487" s="245" t="inlineStr">
        <is>
          <t>-</t>
        </is>
      </c>
      <c r="H487" s="245" t="inlineStr">
        <is>
          <t>-</t>
        </is>
      </c>
      <c r="I487" s="446" t="inlineStr">
        <is>
          <t>Vacant</t>
        </is>
      </c>
      <c r="J487" s="552" t="n"/>
      <c r="K487" s="446" t="inlineStr">
        <is>
          <t>-</t>
        </is>
      </c>
      <c r="L487" s="243" t="inlineStr">
        <is>
          <t>-</t>
        </is>
      </c>
      <c r="N487" s="178" t="n"/>
      <c r="O487" s="178" t="n"/>
      <c r="P487" s="178" t="n"/>
      <c r="Q487" s="178" t="n"/>
      <c r="R487" s="178" t="n"/>
      <c r="S487" s="178" t="n"/>
      <c r="T487" s="178" t="n"/>
    </row>
    <row r="488" ht="15.75" customHeight="1">
      <c r="A488" s="554" t="n"/>
      <c r="B488" s="554" t="n"/>
      <c r="C488" s="554" t="n"/>
      <c r="D488" s="554" t="n"/>
      <c r="E488" s="409" t="n"/>
      <c r="F488" s="188" t="inlineStr">
        <is>
          <t>Security Services</t>
        </is>
      </c>
      <c r="G488" s="245" t="inlineStr">
        <is>
          <t>-</t>
        </is>
      </c>
      <c r="H488" s="245" t="inlineStr">
        <is>
          <t>-</t>
        </is>
      </c>
      <c r="I488" s="446" t="inlineStr">
        <is>
          <t>Vacant</t>
        </is>
      </c>
      <c r="J488" s="552" t="n"/>
      <c r="K488" s="446" t="inlineStr">
        <is>
          <t>-</t>
        </is>
      </c>
      <c r="L488" s="243" t="inlineStr">
        <is>
          <t>-</t>
        </is>
      </c>
      <c r="N488" s="178" t="n"/>
      <c r="O488" s="178" t="n"/>
      <c r="P488" s="178" t="n"/>
      <c r="Q488" s="178" t="n"/>
      <c r="R488" s="178" t="n"/>
      <c r="S488" s="178" t="n"/>
      <c r="T488" s="178" t="n"/>
    </row>
    <row r="489" ht="15.75" customHeight="1">
      <c r="A489" s="554" t="n"/>
      <c r="B489" s="554" t="n"/>
      <c r="C489" s="554" t="n"/>
      <c r="D489" s="554" t="n"/>
      <c r="E489" s="409" t="n"/>
      <c r="F489" s="188" t="inlineStr">
        <is>
          <t>Security Services</t>
        </is>
      </c>
      <c r="G489" s="245" t="inlineStr">
        <is>
          <t>-</t>
        </is>
      </c>
      <c r="H489" s="245" t="inlineStr">
        <is>
          <t>-</t>
        </is>
      </c>
      <c r="I489" s="446" t="inlineStr">
        <is>
          <t>Vacant</t>
        </is>
      </c>
      <c r="J489" s="552" t="n"/>
      <c r="K489" s="446" t="inlineStr">
        <is>
          <t>-</t>
        </is>
      </c>
      <c r="L489" s="243" t="inlineStr">
        <is>
          <t>-</t>
        </is>
      </c>
      <c r="N489" s="178" t="n"/>
      <c r="O489" s="178" t="n"/>
      <c r="P489" s="178" t="n"/>
      <c r="Q489" s="178" t="n"/>
      <c r="R489" s="178" t="n"/>
      <c r="S489" s="178" t="n"/>
      <c r="T489" s="178" t="n"/>
    </row>
    <row r="490" ht="15.75" customHeight="1">
      <c r="A490" s="554" t="n"/>
      <c r="B490" s="554" t="n"/>
      <c r="C490" s="554" t="n"/>
      <c r="D490" s="554" t="n"/>
      <c r="E490" s="409" t="n"/>
      <c r="F490" s="188" t="inlineStr">
        <is>
          <t>Security Services</t>
        </is>
      </c>
      <c r="G490" s="245" t="inlineStr">
        <is>
          <t>-</t>
        </is>
      </c>
      <c r="H490" s="245" t="inlineStr">
        <is>
          <t>-</t>
        </is>
      </c>
      <c r="I490" s="446" t="inlineStr">
        <is>
          <t>Vacant</t>
        </is>
      </c>
      <c r="J490" s="552" t="n"/>
      <c r="K490" s="446" t="inlineStr">
        <is>
          <t>-</t>
        </is>
      </c>
      <c r="L490" s="243" t="inlineStr">
        <is>
          <t>-</t>
        </is>
      </c>
      <c r="N490" s="178" t="n"/>
      <c r="O490" s="178" t="n"/>
      <c r="P490" s="178" t="n"/>
      <c r="Q490" s="178" t="n"/>
      <c r="R490" s="178" t="n"/>
      <c r="S490" s="178" t="n"/>
      <c r="T490" s="178" t="n"/>
    </row>
    <row r="491" ht="15.75" customHeight="1">
      <c r="A491" s="554" t="n"/>
      <c r="B491" s="554" t="n"/>
      <c r="C491" s="554" t="n"/>
      <c r="D491" s="554" t="n"/>
      <c r="E491" s="409" t="n"/>
      <c r="F491" s="188" t="inlineStr">
        <is>
          <t>Security Services</t>
        </is>
      </c>
      <c r="G491" s="245" t="inlineStr">
        <is>
          <t>-</t>
        </is>
      </c>
      <c r="H491" s="245" t="inlineStr">
        <is>
          <t>-</t>
        </is>
      </c>
      <c r="I491" s="446" t="inlineStr">
        <is>
          <t>Vacant</t>
        </is>
      </c>
      <c r="J491" s="552" t="n"/>
      <c r="K491" s="446" t="inlineStr">
        <is>
          <t>-</t>
        </is>
      </c>
      <c r="L491" s="243" t="inlineStr">
        <is>
          <t>-</t>
        </is>
      </c>
      <c r="N491" s="178" t="n"/>
      <c r="O491" s="178" t="n"/>
      <c r="P491" s="178" t="n"/>
      <c r="Q491" s="178" t="n"/>
      <c r="R491" s="178" t="n"/>
      <c r="S491" s="178" t="n"/>
      <c r="T491" s="178" t="n"/>
    </row>
    <row r="492" ht="15.75" customHeight="1">
      <c r="A492" s="554" t="n"/>
      <c r="B492" s="554" t="n"/>
      <c r="C492" s="554" t="n"/>
      <c r="D492" s="554" t="n"/>
      <c r="E492" s="409" t="n"/>
      <c r="F492" s="188" t="inlineStr">
        <is>
          <t>Security Services</t>
        </is>
      </c>
      <c r="G492" s="245" t="inlineStr">
        <is>
          <t>-</t>
        </is>
      </c>
      <c r="H492" s="245" t="inlineStr">
        <is>
          <t>-</t>
        </is>
      </c>
      <c r="I492" s="446" t="inlineStr">
        <is>
          <t>Vacant</t>
        </is>
      </c>
      <c r="J492" s="552" t="n"/>
      <c r="K492" s="446" t="inlineStr">
        <is>
          <t>-</t>
        </is>
      </c>
      <c r="L492" s="243" t="inlineStr">
        <is>
          <t>-</t>
        </is>
      </c>
      <c r="N492" s="178" t="n"/>
      <c r="O492" s="178" t="n"/>
      <c r="P492" s="178" t="n"/>
      <c r="Q492" s="178" t="n"/>
      <c r="R492" s="178" t="n"/>
      <c r="S492" s="178" t="n"/>
      <c r="T492" s="178" t="n"/>
    </row>
    <row r="493" ht="15.75" customHeight="1">
      <c r="A493" s="554" t="n"/>
      <c r="B493" s="554" t="n"/>
      <c r="C493" s="554" t="n"/>
      <c r="D493" s="554" t="n"/>
      <c r="E493" s="409" t="n"/>
      <c r="F493" s="188" t="inlineStr">
        <is>
          <t>Security Services</t>
        </is>
      </c>
      <c r="G493" s="245" t="inlineStr">
        <is>
          <t>-</t>
        </is>
      </c>
      <c r="H493" s="245" t="inlineStr">
        <is>
          <t>-</t>
        </is>
      </c>
      <c r="I493" s="446" t="inlineStr">
        <is>
          <t>Vacant</t>
        </is>
      </c>
      <c r="J493" s="552" t="n"/>
      <c r="K493" s="446" t="inlineStr">
        <is>
          <t>-</t>
        </is>
      </c>
      <c r="L493" s="243" t="inlineStr">
        <is>
          <t>-</t>
        </is>
      </c>
      <c r="N493" s="178" t="n"/>
      <c r="O493" s="178" t="n"/>
      <c r="P493" s="178" t="n"/>
      <c r="Q493" s="178" t="n"/>
      <c r="R493" s="178" t="n"/>
      <c r="S493" s="178" t="n"/>
      <c r="T493" s="178" t="n"/>
    </row>
    <row r="494" ht="15.75" customHeight="1">
      <c r="A494" s="554" t="n"/>
      <c r="B494" s="554" t="n"/>
      <c r="C494" s="554" t="n"/>
      <c r="D494" s="554" t="n"/>
      <c r="E494" s="409" t="n"/>
      <c r="F494" s="188" t="inlineStr">
        <is>
          <t>Security Services</t>
        </is>
      </c>
      <c r="G494" s="245" t="inlineStr">
        <is>
          <t>-</t>
        </is>
      </c>
      <c r="H494" s="245" t="inlineStr">
        <is>
          <t>-</t>
        </is>
      </c>
      <c r="I494" s="446" t="inlineStr">
        <is>
          <t>Vacant</t>
        </is>
      </c>
      <c r="J494" s="552" t="n"/>
      <c r="K494" s="446" t="inlineStr">
        <is>
          <t>-</t>
        </is>
      </c>
      <c r="L494" s="243" t="inlineStr">
        <is>
          <t>-</t>
        </is>
      </c>
      <c r="N494" s="178" t="n"/>
      <c r="O494" s="178" t="n"/>
      <c r="P494" s="178" t="n"/>
      <c r="Q494" s="178" t="n"/>
      <c r="R494" s="178" t="n"/>
      <c r="S494" s="178" t="n"/>
      <c r="T494" s="178" t="n"/>
    </row>
    <row r="495" ht="15.75" customHeight="1">
      <c r="A495" s="554" t="n"/>
      <c r="B495" s="554" t="n"/>
      <c r="C495" s="554" t="n"/>
      <c r="D495" s="554" t="n"/>
      <c r="E495" s="409" t="n"/>
      <c r="F495" s="188" t="inlineStr">
        <is>
          <t>Security Services</t>
        </is>
      </c>
      <c r="G495" s="245" t="inlineStr">
        <is>
          <t>-</t>
        </is>
      </c>
      <c r="H495" s="245" t="inlineStr">
        <is>
          <t>-</t>
        </is>
      </c>
      <c r="I495" s="446" t="inlineStr">
        <is>
          <t>Vacant</t>
        </is>
      </c>
      <c r="J495" s="552" t="n"/>
      <c r="K495" s="446" t="inlineStr">
        <is>
          <t>-</t>
        </is>
      </c>
      <c r="L495" s="243" t="inlineStr">
        <is>
          <t>-</t>
        </is>
      </c>
      <c r="N495" s="178" t="n"/>
      <c r="O495" s="178" t="n"/>
      <c r="P495" s="178" t="n"/>
      <c r="Q495" s="178" t="n"/>
      <c r="R495" s="178" t="n"/>
      <c r="S495" s="178" t="n"/>
      <c r="T495" s="178" t="n"/>
    </row>
    <row r="496" ht="15.75" customHeight="1">
      <c r="A496" s="554" t="n"/>
      <c r="B496" s="554" t="n"/>
      <c r="C496" s="554" t="n"/>
      <c r="D496" s="554" t="n"/>
      <c r="E496" s="409" t="n"/>
      <c r="F496" s="188" t="inlineStr">
        <is>
          <t>Security Services</t>
        </is>
      </c>
      <c r="G496" s="245" t="inlineStr">
        <is>
          <t>-</t>
        </is>
      </c>
      <c r="H496" s="245" t="inlineStr">
        <is>
          <t>-</t>
        </is>
      </c>
      <c r="I496" s="446" t="inlineStr">
        <is>
          <t>Vacant</t>
        </is>
      </c>
      <c r="J496" s="552" t="n"/>
      <c r="K496" s="446" t="inlineStr">
        <is>
          <t>-</t>
        </is>
      </c>
      <c r="L496" s="243" t="inlineStr">
        <is>
          <t>-</t>
        </is>
      </c>
      <c r="N496" s="178" t="n"/>
      <c r="O496" s="178" t="n"/>
      <c r="P496" s="178" t="n"/>
      <c r="Q496" s="178" t="n"/>
      <c r="R496" s="178" t="n"/>
      <c r="S496" s="178" t="n"/>
      <c r="T496" s="178" t="n"/>
    </row>
    <row r="497" ht="15.75" customHeight="1">
      <c r="A497" s="554" t="n"/>
      <c r="B497" s="554" t="n"/>
      <c r="C497" s="554" t="n"/>
      <c r="D497" s="554" t="n"/>
      <c r="E497" s="409" t="n"/>
      <c r="F497" s="188" t="inlineStr">
        <is>
          <t>Security Services</t>
        </is>
      </c>
      <c r="G497" s="245" t="inlineStr">
        <is>
          <t>-</t>
        </is>
      </c>
      <c r="H497" s="245" t="inlineStr">
        <is>
          <t>-</t>
        </is>
      </c>
      <c r="I497" s="446" t="inlineStr">
        <is>
          <t>Vacant</t>
        </is>
      </c>
      <c r="J497" s="552" t="n"/>
      <c r="K497" s="446" t="inlineStr">
        <is>
          <t>-</t>
        </is>
      </c>
      <c r="L497" s="243" t="inlineStr">
        <is>
          <t>-</t>
        </is>
      </c>
      <c r="N497" s="178" t="n"/>
      <c r="O497" s="178" t="n"/>
      <c r="P497" s="178" t="n"/>
      <c r="Q497" s="178" t="n"/>
      <c r="R497" s="178" t="n"/>
      <c r="S497" s="178" t="n"/>
      <c r="T497" s="178" t="n"/>
    </row>
    <row r="498" ht="15.75" customHeight="1">
      <c r="A498" s="554" t="n"/>
      <c r="B498" s="554" t="n"/>
      <c r="C498" s="554" t="n"/>
      <c r="D498" s="554" t="n"/>
      <c r="E498" s="409" t="n"/>
      <c r="F498" s="188" t="inlineStr">
        <is>
          <t>Security Services</t>
        </is>
      </c>
      <c r="G498" s="245" t="inlineStr">
        <is>
          <t>-</t>
        </is>
      </c>
      <c r="H498" s="245" t="inlineStr">
        <is>
          <t>-</t>
        </is>
      </c>
      <c r="I498" s="446" t="inlineStr">
        <is>
          <t>Vacant</t>
        </is>
      </c>
      <c r="J498" s="552" t="n"/>
      <c r="K498" s="446" t="inlineStr">
        <is>
          <t>-</t>
        </is>
      </c>
      <c r="L498" s="243" t="inlineStr">
        <is>
          <t>-</t>
        </is>
      </c>
      <c r="N498" s="178" t="n"/>
      <c r="O498" s="178" t="n"/>
      <c r="P498" s="178" t="n"/>
      <c r="Q498" s="178" t="n"/>
      <c r="R498" s="178" t="n"/>
      <c r="S498" s="178" t="n"/>
      <c r="T498" s="178" t="n"/>
    </row>
    <row r="499" ht="15.75" customHeight="1">
      <c r="A499" s="554" t="n"/>
      <c r="B499" s="554" t="n"/>
      <c r="C499" s="554" t="n"/>
      <c r="D499" s="554" t="n"/>
      <c r="E499" s="409" t="n"/>
      <c r="F499" s="188" t="inlineStr">
        <is>
          <t>Security Services</t>
        </is>
      </c>
      <c r="G499" s="245" t="inlineStr">
        <is>
          <t>-</t>
        </is>
      </c>
      <c r="H499" s="245" t="inlineStr">
        <is>
          <t>-</t>
        </is>
      </c>
      <c r="I499" s="446" t="inlineStr">
        <is>
          <t>Vacant</t>
        </is>
      </c>
      <c r="J499" s="552" t="n"/>
      <c r="K499" s="446" t="inlineStr">
        <is>
          <t>-</t>
        </is>
      </c>
      <c r="L499" s="243" t="inlineStr">
        <is>
          <t>-</t>
        </is>
      </c>
      <c r="N499" s="178" t="n"/>
      <c r="O499" s="178" t="n"/>
      <c r="P499" s="178" t="n"/>
      <c r="Q499" s="178" t="n"/>
      <c r="R499" s="178" t="n"/>
      <c r="S499" s="178" t="n"/>
      <c r="T499" s="178" t="n"/>
    </row>
    <row r="500" ht="15.75" customHeight="1">
      <c r="A500" s="554" t="n"/>
      <c r="B500" s="554" t="n"/>
      <c r="C500" s="554" t="n"/>
      <c r="D500" s="554" t="n"/>
      <c r="E500" s="409" t="n"/>
      <c r="F500" s="188" t="inlineStr">
        <is>
          <t>Security Services</t>
        </is>
      </c>
      <c r="G500" s="245" t="inlineStr">
        <is>
          <t>-</t>
        </is>
      </c>
      <c r="H500" s="245" t="inlineStr">
        <is>
          <t>-</t>
        </is>
      </c>
      <c r="I500" s="446" t="inlineStr">
        <is>
          <t>Vacant</t>
        </is>
      </c>
      <c r="J500" s="552" t="n"/>
      <c r="K500" s="446" t="inlineStr">
        <is>
          <t>-</t>
        </is>
      </c>
      <c r="L500" s="243" t="inlineStr">
        <is>
          <t>-</t>
        </is>
      </c>
      <c r="N500" s="178" t="n"/>
      <c r="O500" s="178" t="n"/>
      <c r="P500" s="178" t="n"/>
      <c r="Q500" s="178" t="n"/>
      <c r="R500" s="178" t="n"/>
      <c r="S500" s="178" t="n"/>
      <c r="T500" s="178" t="n"/>
    </row>
    <row r="501" ht="15.75" customHeight="1">
      <c r="A501" s="554" t="n"/>
      <c r="B501" s="554" t="n"/>
      <c r="C501" s="554" t="n"/>
      <c r="D501" s="554" t="n"/>
      <c r="E501" s="409" t="n"/>
      <c r="F501" s="188" t="inlineStr">
        <is>
          <t>Security Services</t>
        </is>
      </c>
      <c r="G501" s="245" t="inlineStr">
        <is>
          <t>-</t>
        </is>
      </c>
      <c r="H501" s="245" t="inlineStr">
        <is>
          <t>-</t>
        </is>
      </c>
      <c r="I501" s="446" t="inlineStr">
        <is>
          <t>Vacant</t>
        </is>
      </c>
      <c r="J501" s="552" t="n"/>
      <c r="K501" s="446" t="inlineStr">
        <is>
          <t>-</t>
        </is>
      </c>
      <c r="L501" s="243" t="inlineStr">
        <is>
          <t>-</t>
        </is>
      </c>
      <c r="N501" s="178" t="n"/>
      <c r="O501" s="178" t="n"/>
      <c r="P501" s="178" t="n"/>
      <c r="Q501" s="178" t="n"/>
      <c r="R501" s="178" t="n"/>
      <c r="S501" s="178" t="n"/>
      <c r="T501" s="178" t="n"/>
    </row>
    <row r="502" ht="15.75" customHeight="1">
      <c r="A502" s="554" t="n"/>
      <c r="B502" s="554" t="n"/>
      <c r="C502" s="554" t="n"/>
      <c r="D502" s="554" t="n"/>
      <c r="E502" s="409" t="n"/>
      <c r="F502" s="188" t="inlineStr">
        <is>
          <t>Security Services</t>
        </is>
      </c>
      <c r="G502" s="245" t="inlineStr">
        <is>
          <t>-</t>
        </is>
      </c>
      <c r="H502" s="245" t="inlineStr">
        <is>
          <t>-</t>
        </is>
      </c>
      <c r="I502" s="446" t="inlineStr">
        <is>
          <t>Vacant</t>
        </is>
      </c>
      <c r="J502" s="552" t="n"/>
      <c r="K502" s="446" t="inlineStr">
        <is>
          <t>-</t>
        </is>
      </c>
      <c r="L502" s="243" t="inlineStr">
        <is>
          <t>-</t>
        </is>
      </c>
      <c r="N502" s="178" t="n"/>
      <c r="O502" s="178" t="n"/>
      <c r="P502" s="178" t="n"/>
      <c r="Q502" s="178" t="n"/>
      <c r="R502" s="178" t="n"/>
      <c r="S502" s="178" t="n"/>
      <c r="T502" s="178" t="n"/>
    </row>
    <row r="503" ht="15.75" customHeight="1">
      <c r="A503" s="554" t="n"/>
      <c r="B503" s="554" t="n"/>
      <c r="C503" s="554" t="n"/>
      <c r="D503" s="554" t="n"/>
      <c r="E503" s="409" t="n"/>
      <c r="F503" s="188" t="inlineStr">
        <is>
          <t>Security Services</t>
        </is>
      </c>
      <c r="G503" s="245" t="inlineStr">
        <is>
          <t>-</t>
        </is>
      </c>
      <c r="H503" s="245" t="inlineStr">
        <is>
          <t>-</t>
        </is>
      </c>
      <c r="I503" s="446" t="inlineStr">
        <is>
          <t>Vacant</t>
        </is>
      </c>
      <c r="J503" s="552" t="n"/>
      <c r="K503" s="446" t="inlineStr">
        <is>
          <t>-</t>
        </is>
      </c>
      <c r="L503" s="243" t="inlineStr">
        <is>
          <t>-</t>
        </is>
      </c>
      <c r="N503" s="178" t="n"/>
      <c r="O503" s="178" t="n"/>
      <c r="P503" s="178" t="n"/>
      <c r="Q503" s="178" t="n"/>
      <c r="R503" s="178" t="n"/>
      <c r="S503" s="178" t="n"/>
      <c r="T503" s="178" t="n"/>
    </row>
    <row r="504" ht="15.75" customHeight="1">
      <c r="A504" s="554" t="n"/>
      <c r="B504" s="554" t="n"/>
      <c r="C504" s="554" t="n"/>
      <c r="D504" s="554" t="n"/>
      <c r="E504" s="409" t="n"/>
      <c r="F504" s="188" t="inlineStr">
        <is>
          <t>Security Services</t>
        </is>
      </c>
      <c r="G504" s="245" t="inlineStr">
        <is>
          <t>-</t>
        </is>
      </c>
      <c r="H504" s="245" t="inlineStr">
        <is>
          <t>-</t>
        </is>
      </c>
      <c r="I504" s="446" t="inlineStr">
        <is>
          <t>Vacant</t>
        </is>
      </c>
      <c r="J504" s="552" t="n"/>
      <c r="K504" s="446" t="inlineStr">
        <is>
          <t>-</t>
        </is>
      </c>
      <c r="L504" s="243" t="inlineStr">
        <is>
          <t>-</t>
        </is>
      </c>
      <c r="N504" s="178" t="n"/>
      <c r="O504" s="178" t="n"/>
      <c r="P504" s="178" t="n"/>
      <c r="Q504" s="178" t="n"/>
      <c r="R504" s="178" t="n"/>
      <c r="S504" s="178" t="n"/>
      <c r="T504" s="178" t="n"/>
    </row>
    <row r="505" ht="15.75" customHeight="1">
      <c r="A505" s="553" t="n"/>
      <c r="B505" s="553" t="n"/>
      <c r="C505" s="553" t="n"/>
      <c r="D505" s="553" t="n"/>
      <c r="E505" s="409" t="n"/>
      <c r="F505" s="188" t="inlineStr">
        <is>
          <t>Security Services</t>
        </is>
      </c>
      <c r="G505" s="245" t="inlineStr">
        <is>
          <t>-</t>
        </is>
      </c>
      <c r="H505" s="245" t="inlineStr">
        <is>
          <t>-</t>
        </is>
      </c>
      <c r="I505" s="446" t="inlineStr">
        <is>
          <t>Vacant</t>
        </is>
      </c>
      <c r="J505" s="552" t="n"/>
      <c r="K505" s="446" t="inlineStr">
        <is>
          <t>-</t>
        </is>
      </c>
      <c r="L505" s="243" t="inlineStr">
        <is>
          <t>-</t>
        </is>
      </c>
      <c r="N505" s="178" t="n"/>
      <c r="O505" s="178" t="n"/>
      <c r="P505" s="178" t="n"/>
      <c r="Q505" s="178" t="n"/>
      <c r="R505" s="178" t="n"/>
      <c r="S505" s="178" t="n"/>
      <c r="T505" s="178" t="n"/>
    </row>
    <row r="506" ht="15.75" customHeight="1">
      <c r="A506" s="429" t="inlineStr">
        <is>
          <t>Security Partols</t>
        </is>
      </c>
      <c r="B506" s="430" t="n">
        <v>8</v>
      </c>
      <c r="C506" s="430">
        <f>COUNTIF(E506:E513,"&lt;&gt;")</f>
        <v/>
      </c>
      <c r="D506" s="430">
        <f>C506-B506</f>
        <v/>
      </c>
      <c r="E506" s="409" t="n"/>
      <c r="F506" s="188" t="inlineStr">
        <is>
          <t>Security Services</t>
        </is>
      </c>
      <c r="G506" s="245" t="inlineStr">
        <is>
          <t>-</t>
        </is>
      </c>
      <c r="H506" s="245" t="inlineStr">
        <is>
          <t>-</t>
        </is>
      </c>
      <c r="I506" s="446" t="inlineStr">
        <is>
          <t>Vacant</t>
        </is>
      </c>
      <c r="J506" s="552" t="n"/>
      <c r="K506" s="446" t="inlineStr">
        <is>
          <t>-</t>
        </is>
      </c>
      <c r="L506" s="243" t="inlineStr">
        <is>
          <t>-</t>
        </is>
      </c>
      <c r="N506" s="178" t="n"/>
      <c r="O506" s="178" t="n"/>
      <c r="P506" s="178" t="n"/>
      <c r="Q506" s="178" t="n"/>
      <c r="R506" s="178" t="n"/>
      <c r="S506" s="178" t="n"/>
      <c r="T506" s="178" t="n"/>
    </row>
    <row r="507" ht="15.75" customHeight="1">
      <c r="A507" s="554" t="n"/>
      <c r="B507" s="554" t="n"/>
      <c r="C507" s="554" t="n"/>
      <c r="D507" s="554" t="n"/>
      <c r="E507" s="409" t="n"/>
      <c r="F507" s="188" t="inlineStr">
        <is>
          <t>Security Services</t>
        </is>
      </c>
      <c r="G507" s="245" t="inlineStr">
        <is>
          <t>-</t>
        </is>
      </c>
      <c r="H507" s="245" t="inlineStr">
        <is>
          <t>-</t>
        </is>
      </c>
      <c r="I507" s="446" t="inlineStr">
        <is>
          <t>Vacant</t>
        </is>
      </c>
      <c r="J507" s="552" t="n"/>
      <c r="K507" s="446" t="inlineStr">
        <is>
          <t>-</t>
        </is>
      </c>
      <c r="L507" s="243" t="inlineStr">
        <is>
          <t>-</t>
        </is>
      </c>
      <c r="N507" s="178" t="n"/>
      <c r="O507" s="178" t="n"/>
      <c r="P507" s="178" t="n"/>
      <c r="Q507" s="178" t="n"/>
      <c r="R507" s="178" t="n"/>
      <c r="S507" s="178" t="n"/>
      <c r="T507" s="178" t="n"/>
    </row>
    <row r="508" ht="15.75" customHeight="1">
      <c r="A508" s="554" t="n"/>
      <c r="B508" s="554" t="n"/>
      <c r="C508" s="554" t="n"/>
      <c r="D508" s="554" t="n"/>
      <c r="E508" s="409" t="n"/>
      <c r="F508" s="188" t="inlineStr">
        <is>
          <t>Security Services</t>
        </is>
      </c>
      <c r="G508" s="245" t="inlineStr">
        <is>
          <t>-</t>
        </is>
      </c>
      <c r="H508" s="245" t="inlineStr">
        <is>
          <t>-</t>
        </is>
      </c>
      <c r="I508" s="446" t="inlineStr">
        <is>
          <t>Vacant</t>
        </is>
      </c>
      <c r="J508" s="552" t="n"/>
      <c r="K508" s="446" t="inlineStr">
        <is>
          <t>-</t>
        </is>
      </c>
      <c r="L508" s="243" t="inlineStr">
        <is>
          <t>-</t>
        </is>
      </c>
      <c r="N508" s="178" t="n"/>
      <c r="O508" s="178" t="n"/>
      <c r="P508" s="178" t="n"/>
      <c r="Q508" s="178" t="n"/>
      <c r="R508" s="178" t="n"/>
      <c r="S508" s="178" t="n"/>
      <c r="T508" s="178" t="n"/>
    </row>
    <row r="509" ht="15.75" customHeight="1">
      <c r="A509" s="554" t="n"/>
      <c r="B509" s="554" t="n"/>
      <c r="C509" s="554" t="n"/>
      <c r="D509" s="554" t="n"/>
      <c r="E509" s="409" t="n"/>
      <c r="F509" s="188" t="inlineStr">
        <is>
          <t>Security Services</t>
        </is>
      </c>
      <c r="G509" s="245" t="inlineStr">
        <is>
          <t>-</t>
        </is>
      </c>
      <c r="H509" s="245" t="inlineStr">
        <is>
          <t>-</t>
        </is>
      </c>
      <c r="I509" s="446" t="inlineStr">
        <is>
          <t>Vacant</t>
        </is>
      </c>
      <c r="J509" s="552" t="n"/>
      <c r="K509" s="446" t="inlineStr">
        <is>
          <t>-</t>
        </is>
      </c>
      <c r="L509" s="243" t="inlineStr">
        <is>
          <t>-</t>
        </is>
      </c>
      <c r="N509" s="178" t="n"/>
      <c r="O509" s="178" t="n"/>
      <c r="P509" s="178" t="n"/>
      <c r="Q509" s="178" t="n"/>
      <c r="R509" s="178" t="n"/>
      <c r="S509" s="178" t="n"/>
      <c r="T509" s="178" t="n"/>
    </row>
    <row r="510" ht="15.75" customHeight="1">
      <c r="A510" s="554" t="n"/>
      <c r="B510" s="554" t="n"/>
      <c r="C510" s="554" t="n"/>
      <c r="D510" s="554" t="n"/>
      <c r="E510" s="409" t="n"/>
      <c r="F510" s="188" t="inlineStr">
        <is>
          <t>Security Services</t>
        </is>
      </c>
      <c r="G510" s="245" t="inlineStr">
        <is>
          <t>-</t>
        </is>
      </c>
      <c r="H510" s="245" t="inlineStr">
        <is>
          <t>-</t>
        </is>
      </c>
      <c r="I510" s="446" t="inlineStr">
        <is>
          <t>Vacant</t>
        </is>
      </c>
      <c r="J510" s="552" t="n"/>
      <c r="K510" s="446" t="inlineStr">
        <is>
          <t>-</t>
        </is>
      </c>
      <c r="L510" s="243" t="inlineStr">
        <is>
          <t>-</t>
        </is>
      </c>
      <c r="N510" s="178" t="n"/>
      <c r="O510" s="178" t="n"/>
      <c r="P510" s="178" t="n"/>
      <c r="Q510" s="178" t="n"/>
      <c r="R510" s="178" t="n"/>
      <c r="S510" s="178" t="n"/>
      <c r="T510" s="178" t="n"/>
    </row>
    <row r="511" ht="15.75" customHeight="1">
      <c r="A511" s="554" t="n"/>
      <c r="B511" s="554" t="n"/>
      <c r="C511" s="554" t="n"/>
      <c r="D511" s="554" t="n"/>
      <c r="E511" s="409" t="n"/>
      <c r="F511" s="188" t="inlineStr">
        <is>
          <t>Security Services</t>
        </is>
      </c>
      <c r="G511" s="245" t="inlineStr">
        <is>
          <t>-</t>
        </is>
      </c>
      <c r="H511" s="245" t="inlineStr">
        <is>
          <t>-</t>
        </is>
      </c>
      <c r="I511" s="446" t="inlineStr">
        <is>
          <t>Vacant</t>
        </is>
      </c>
      <c r="J511" s="552" t="n"/>
      <c r="K511" s="446" t="inlineStr">
        <is>
          <t>-</t>
        </is>
      </c>
      <c r="L511" s="243" t="inlineStr">
        <is>
          <t>-</t>
        </is>
      </c>
      <c r="N511" s="178" t="n"/>
      <c r="O511" s="178" t="n"/>
      <c r="P511" s="178" t="n"/>
      <c r="Q511" s="178" t="n"/>
      <c r="R511" s="178" t="n"/>
      <c r="S511" s="178" t="n"/>
      <c r="T511" s="178" t="n"/>
    </row>
    <row r="512" ht="15.75" customHeight="1">
      <c r="A512" s="554" t="n"/>
      <c r="B512" s="554" t="n"/>
      <c r="C512" s="554" t="n"/>
      <c r="D512" s="554" t="n"/>
      <c r="E512" s="409" t="n"/>
      <c r="F512" s="188" t="inlineStr">
        <is>
          <t>Security Services</t>
        </is>
      </c>
      <c r="G512" s="245" t="inlineStr">
        <is>
          <t>-</t>
        </is>
      </c>
      <c r="H512" s="245" t="inlineStr">
        <is>
          <t>-</t>
        </is>
      </c>
      <c r="I512" s="446" t="inlineStr">
        <is>
          <t>Vacant</t>
        </is>
      </c>
      <c r="J512" s="552" t="n"/>
      <c r="K512" s="446" t="inlineStr">
        <is>
          <t>-</t>
        </is>
      </c>
      <c r="L512" s="243" t="inlineStr">
        <is>
          <t>-</t>
        </is>
      </c>
      <c r="N512" s="178" t="n"/>
      <c r="O512" s="178" t="n"/>
      <c r="P512" s="178" t="n"/>
      <c r="Q512" s="178" t="n"/>
      <c r="R512" s="178" t="n"/>
      <c r="S512" s="178" t="n"/>
      <c r="T512" s="178" t="n"/>
    </row>
    <row r="513" ht="15.75" customHeight="1">
      <c r="A513" s="553" t="n"/>
      <c r="B513" s="553" t="n"/>
      <c r="C513" s="553" t="n"/>
      <c r="D513" s="553" t="n"/>
      <c r="E513" s="409" t="n"/>
      <c r="F513" s="188" t="inlineStr">
        <is>
          <t>Security Services</t>
        </is>
      </c>
      <c r="G513" s="245" t="inlineStr">
        <is>
          <t>-</t>
        </is>
      </c>
      <c r="H513" s="245" t="inlineStr">
        <is>
          <t>-</t>
        </is>
      </c>
      <c r="I513" s="446" t="inlineStr">
        <is>
          <t>Vacant</t>
        </is>
      </c>
      <c r="J513" s="552" t="n"/>
      <c r="K513" s="446" t="inlineStr">
        <is>
          <t>-</t>
        </is>
      </c>
      <c r="L513" s="243" t="inlineStr">
        <is>
          <t>-</t>
        </is>
      </c>
      <c r="N513" s="178" t="n"/>
      <c r="O513" s="178" t="n"/>
      <c r="P513" s="178" t="n"/>
      <c r="Q513" s="178" t="n"/>
      <c r="R513" s="178" t="n"/>
      <c r="S513" s="178" t="n"/>
      <c r="T513" s="178" t="n"/>
    </row>
    <row r="514" ht="26.25" customHeight="1">
      <c r="A514" s="53" t="inlineStr">
        <is>
          <t>Total Team 
Security Services</t>
        </is>
      </c>
      <c r="B514" s="53" t="inlineStr">
        <is>
          <t>Contractual Requirement</t>
        </is>
      </c>
      <c r="C514" s="53" t="inlineStr">
        <is>
          <t>Approved</t>
        </is>
      </c>
      <c r="D514" s="53" t="inlineStr">
        <is>
          <t>Vacant Position</t>
        </is>
      </c>
      <c r="E514" s="246" t="inlineStr">
        <is>
          <t>Rejected</t>
        </is>
      </c>
      <c r="F514" s="55" t="inlineStr">
        <is>
          <t xml:space="preserve">Additional </t>
        </is>
      </c>
      <c r="G514" s="55" t="inlineStr">
        <is>
          <t>ID</t>
        </is>
      </c>
      <c r="H514" s="55" t="inlineStr">
        <is>
          <t>Iqama</t>
        </is>
      </c>
      <c r="I514" s="80" t="inlineStr">
        <is>
          <t>Status</t>
        </is>
      </c>
      <c r="J514" s="555" t="n"/>
      <c r="K514" s="56" t="n"/>
      <c r="L514" s="55" t="inlineStr">
        <is>
          <t>Remark/Notes</t>
        </is>
      </c>
      <c r="N514" s="178" t="n"/>
      <c r="O514" s="178" t="n"/>
      <c r="P514" s="178" t="n"/>
      <c r="Q514" s="178" t="n"/>
      <c r="R514" s="178" t="n"/>
      <c r="S514" s="178" t="n"/>
      <c r="T514" s="178" t="n"/>
    </row>
    <row r="515" ht="15.75" customHeight="1">
      <c r="A515" s="53">
        <f>COUNTIF(E429:E513,"&lt;&gt;")</f>
        <v/>
      </c>
      <c r="B515" s="53">
        <f>SUM(B429:B513)</f>
        <v/>
      </c>
      <c r="C515" s="53">
        <f>COUNTIF(I429:I513,"Approved")</f>
        <v/>
      </c>
      <c r="D515" s="53">
        <f>COUNTIF(I429:I513,"Vacant")</f>
        <v/>
      </c>
      <c r="E515" s="55">
        <f>COUNTIF(L429:L513,"Rejected")</f>
        <v/>
      </c>
      <c r="F515" s="55">
        <f>COUNTIF(I429:I513,"Additional")</f>
        <v/>
      </c>
      <c r="G515" s="55">
        <f>COUNTIF(G429:G513,"-")</f>
        <v/>
      </c>
      <c r="H515" s="55">
        <f>COUNTIF(H429:H513,"-")</f>
        <v/>
      </c>
      <c r="I515" s="60" t="n"/>
      <c r="J515" s="556" t="n"/>
      <c r="K515" s="60" t="n"/>
      <c r="L515" s="60" t="n"/>
      <c r="N515" s="178" t="n"/>
      <c r="O515" s="178" t="n"/>
      <c r="P515" s="178" t="n"/>
      <c r="Q515" s="178" t="n"/>
      <c r="R515" s="178" t="n"/>
      <c r="S515" s="178" t="n"/>
      <c r="T515" s="178" t="n"/>
    </row>
    <row r="516" ht="15.75" customHeight="1">
      <c r="A516" s="236" t="n"/>
      <c r="B516" s="237" t="n"/>
      <c r="C516" s="237" t="n"/>
      <c r="D516" s="237" t="n"/>
      <c r="I516" s="178" t="n"/>
      <c r="J516" s="579" t="n"/>
      <c r="K516" s="189" t="n"/>
      <c r="L516" s="178" t="n"/>
      <c r="N516" s="178" t="n"/>
      <c r="O516" s="178" t="n"/>
      <c r="P516" s="178" t="n"/>
      <c r="Q516" s="178" t="n"/>
      <c r="R516" s="178" t="n"/>
      <c r="S516" s="178" t="n"/>
      <c r="T516" s="178" t="n"/>
    </row>
    <row r="517" ht="26.25" customHeight="1">
      <c r="A517" s="185" t="inlineStr">
        <is>
          <t>Position</t>
        </is>
      </c>
      <c r="B517" s="12" t="inlineStr">
        <is>
          <t>Contractual Requirement</t>
        </is>
      </c>
      <c r="C517" s="12" t="inlineStr">
        <is>
          <t>On-Site Availability</t>
        </is>
      </c>
      <c r="D517" s="12" t="inlineStr">
        <is>
          <t>Vacant Position</t>
        </is>
      </c>
      <c r="E517" s="15" t="inlineStr">
        <is>
          <t>Emaployee Name</t>
        </is>
      </c>
      <c r="F517" s="14" t="inlineStr">
        <is>
          <t>Decipline</t>
        </is>
      </c>
      <c r="G517" s="15" t="inlineStr">
        <is>
          <t>ID</t>
        </is>
      </c>
      <c r="H517" s="14" t="inlineStr">
        <is>
          <t>Iqama</t>
        </is>
      </c>
      <c r="I517" s="15" t="inlineStr">
        <is>
          <t>Status</t>
        </is>
      </c>
      <c r="J517" s="558" t="n"/>
      <c r="K517" s="211" t="n"/>
      <c r="L517" s="15" t="inlineStr">
        <is>
          <t>Remarks/Notes</t>
        </is>
      </c>
      <c r="N517" s="178" t="n"/>
      <c r="O517" s="178" t="n"/>
      <c r="P517" s="178" t="n"/>
      <c r="Q517" s="178" t="n"/>
      <c r="R517" s="178" t="n"/>
      <c r="S517" s="178" t="n"/>
      <c r="T517" s="178" t="n"/>
    </row>
    <row r="518" ht="15.75" customHeight="1">
      <c r="A518" s="425" t="inlineStr">
        <is>
          <t>Cleaning Staff</t>
        </is>
      </c>
      <c r="B518" s="426" t="n">
        <v>2</v>
      </c>
      <c r="C518" s="426">
        <f>COUNTIF(E518:E519,"&lt;&gt;")</f>
        <v/>
      </c>
      <c r="D518" s="427">
        <f>C518-B518</f>
        <v/>
      </c>
      <c r="E518" s="247" t="inlineStr">
        <is>
          <t>Md Salim Hossain</t>
        </is>
      </c>
      <c r="F518" s="446" t="inlineStr">
        <is>
          <t>Medical Services</t>
        </is>
      </c>
      <c r="G518" s="87" t="inlineStr">
        <is>
          <t>-</t>
        </is>
      </c>
      <c r="H518" s="87" t="n">
        <v>2619885581</v>
      </c>
      <c r="I518" s="446" t="inlineStr">
        <is>
          <t>Approved</t>
        </is>
      </c>
      <c r="J518" s="551" t="n">
        <v>45967</v>
      </c>
      <c r="K518" s="446" t="inlineStr">
        <is>
          <t>Gulf Vision ( RENTAL)</t>
        </is>
      </c>
      <c r="L518" s="243" t="inlineStr">
        <is>
          <t>-</t>
        </is>
      </c>
      <c r="N518" s="178" t="n"/>
      <c r="O518" s="178" t="n"/>
      <c r="P518" s="178" t="n"/>
      <c r="Q518" s="178" t="n"/>
      <c r="R518" s="178" t="n"/>
      <c r="S518" s="178" t="n"/>
      <c r="T518" s="178" t="n"/>
    </row>
    <row r="519" ht="15.75" customHeight="1">
      <c r="A519" s="553" t="n"/>
      <c r="B519" s="553" t="n"/>
      <c r="C519" s="553" t="n"/>
      <c r="D519" s="553" t="n"/>
      <c r="E519" s="445" t="inlineStr">
        <is>
          <t>MD Arsad MIA</t>
        </is>
      </c>
      <c r="F519" s="446" t="inlineStr">
        <is>
          <t>Medical Services</t>
        </is>
      </c>
      <c r="G519" s="87" t="inlineStr">
        <is>
          <t>-</t>
        </is>
      </c>
      <c r="H519" s="87" t="n">
        <v>2516412166</v>
      </c>
      <c r="I519" s="446" t="inlineStr">
        <is>
          <t>Approved</t>
        </is>
      </c>
      <c r="J519" s="564" t="n">
        <v>111986</v>
      </c>
      <c r="K519" s="446" t="inlineStr">
        <is>
          <t>-</t>
        </is>
      </c>
      <c r="L519" s="34" t="inlineStr">
        <is>
          <t>-</t>
        </is>
      </c>
      <c r="N519" s="178" t="n"/>
      <c r="O519" s="178" t="n"/>
      <c r="P519" s="178" t="n"/>
      <c r="Q519" s="178" t="n"/>
      <c r="R519" s="178" t="n"/>
      <c r="S519" s="178" t="n"/>
      <c r="T519" s="178" t="n"/>
    </row>
    <row r="520" ht="26.25" customHeight="1">
      <c r="A520" s="53" t="inlineStr">
        <is>
          <t>Total Team 
Medical Services</t>
        </is>
      </c>
      <c r="B520" s="53" t="inlineStr">
        <is>
          <t>Contractual Requirement</t>
        </is>
      </c>
      <c r="C520" s="53" t="inlineStr">
        <is>
          <t>Approved</t>
        </is>
      </c>
      <c r="D520" s="53" t="inlineStr">
        <is>
          <t>Vacant Position</t>
        </is>
      </c>
      <c r="E520" s="80" t="inlineStr">
        <is>
          <t>Rejected</t>
        </is>
      </c>
      <c r="F520" s="55" t="inlineStr">
        <is>
          <t xml:space="preserve">Additional </t>
        </is>
      </c>
      <c r="G520" s="55" t="inlineStr">
        <is>
          <t>ID</t>
        </is>
      </c>
      <c r="H520" s="55" t="inlineStr">
        <is>
          <t>Iqama</t>
        </is>
      </c>
      <c r="I520" s="80" t="inlineStr">
        <is>
          <t>Status</t>
        </is>
      </c>
      <c r="J520" s="555" t="n"/>
      <c r="K520" s="56" t="n"/>
      <c r="L520" s="55" t="inlineStr">
        <is>
          <t>Remark/Notes</t>
        </is>
      </c>
      <c r="N520" s="178" t="n"/>
      <c r="O520" s="178" t="n"/>
      <c r="P520" s="178" t="n"/>
      <c r="Q520" s="178" t="n"/>
      <c r="R520" s="178" t="n"/>
      <c r="S520" s="178" t="n"/>
      <c r="T520" s="178" t="n"/>
    </row>
    <row r="521" ht="15.75" customHeight="1">
      <c r="A521" s="122">
        <f>COUNTIF(E518:E519,"&lt;&gt;")</f>
        <v/>
      </c>
      <c r="B521" s="122">
        <f>SUM(B518:B519)</f>
        <v/>
      </c>
      <c r="C521" s="122">
        <f>COUNTIF(I518:I519,"Approved")</f>
        <v/>
      </c>
      <c r="D521" s="122">
        <f>COUNTIF(I518:I519,"Vacant")</f>
        <v/>
      </c>
      <c r="E521" s="124">
        <f>COUNTIF(I518:I519,"Rejected")</f>
        <v/>
      </c>
      <c r="F521" s="124">
        <f>COUNTIF(I518:I519,"Additional")</f>
        <v/>
      </c>
      <c r="G521" s="124">
        <f>COUNTIF(G518:G519,"-")</f>
        <v/>
      </c>
      <c r="H521" s="124">
        <f>COUNTIF(H518:H519,"-")</f>
        <v/>
      </c>
      <c r="I521" s="125" t="n"/>
      <c r="J521" s="566" t="n"/>
      <c r="K521" s="125" t="n"/>
      <c r="L521" s="125" t="n"/>
      <c r="N521" s="178" t="n"/>
      <c r="O521" s="178" t="n"/>
      <c r="P521" s="178" t="n"/>
      <c r="Q521" s="178" t="n"/>
      <c r="R521" s="178" t="n"/>
      <c r="S521" s="178" t="n"/>
      <c r="T521" s="178" t="n"/>
    </row>
    <row r="522" ht="15.75" customHeight="1">
      <c r="A522" s="248" t="n"/>
      <c r="B522" s="249" t="n"/>
      <c r="C522" s="249" t="n"/>
      <c r="D522" s="250" t="n"/>
      <c r="E522" s="251" t="n"/>
      <c r="F522" s="251" t="n"/>
      <c r="G522" s="251" t="n"/>
      <c r="H522" s="251" t="n"/>
      <c r="I522" s="249" t="n"/>
      <c r="J522" s="586" t="n"/>
      <c r="K522" s="249" t="n"/>
      <c r="L522" s="253" t="n"/>
      <c r="N522" s="178" t="n"/>
      <c r="O522" s="178" t="n"/>
      <c r="P522" s="178" t="n"/>
      <c r="Q522" s="178" t="n"/>
      <c r="R522" s="178" t="n"/>
      <c r="S522" s="178" t="n"/>
      <c r="T522" s="178" t="n"/>
    </row>
    <row r="523" ht="27.75" customHeight="1">
      <c r="A523" s="254" t="inlineStr">
        <is>
          <t>Position</t>
        </is>
      </c>
      <c r="B523" s="255" t="inlineStr">
        <is>
          <t>Contractual Requirement</t>
        </is>
      </c>
      <c r="C523" s="255" t="inlineStr">
        <is>
          <t>On-Site Availability</t>
        </is>
      </c>
      <c r="D523" s="255" t="inlineStr">
        <is>
          <t>Vacant Position</t>
        </is>
      </c>
      <c r="E523" s="256" t="inlineStr">
        <is>
          <t>Emaployee Name</t>
        </is>
      </c>
      <c r="F523" s="257" t="inlineStr">
        <is>
          <t>Decipline</t>
        </is>
      </c>
      <c r="G523" s="256" t="inlineStr">
        <is>
          <t>ID</t>
        </is>
      </c>
      <c r="H523" s="257" t="inlineStr">
        <is>
          <t>Iqama</t>
        </is>
      </c>
      <c r="I523" s="256" t="inlineStr">
        <is>
          <t>Status</t>
        </is>
      </c>
      <c r="J523" s="587" t="inlineStr">
        <is>
          <t>Joining Date</t>
        </is>
      </c>
      <c r="K523" s="256" t="inlineStr">
        <is>
          <t>Sponser</t>
        </is>
      </c>
      <c r="L523" s="256" t="inlineStr">
        <is>
          <t>Remarks/Notes</t>
        </is>
      </c>
      <c r="N523" s="178" t="n"/>
      <c r="O523" s="178" t="n"/>
      <c r="P523" s="178" t="n"/>
      <c r="Q523" s="178" t="n"/>
      <c r="R523" s="178" t="n"/>
      <c r="S523" s="178" t="n"/>
      <c r="T523" s="178" t="n"/>
    </row>
    <row r="524" ht="15.75" customHeight="1">
      <c r="A524" s="259" t="inlineStr">
        <is>
          <t>Logistics Coordinator</t>
        </is>
      </c>
      <c r="B524" s="260" t="n">
        <v>0</v>
      </c>
      <c r="C524" s="453">
        <f>COUNTIF(E524,"&lt;&gt;")</f>
        <v/>
      </c>
      <c r="D524" s="459" t="n">
        <v>0</v>
      </c>
      <c r="E524" s="452" t="inlineStr">
        <is>
          <t>Syed Anjum Raza</t>
        </is>
      </c>
      <c r="F524" s="235" t="inlineStr">
        <is>
          <t>Logistic Services</t>
        </is>
      </c>
      <c r="G524" s="235" t="inlineStr">
        <is>
          <t>C00702</t>
        </is>
      </c>
      <c r="H524" s="235" t="n">
        <v>2582099210</v>
      </c>
      <c r="I524" s="233" t="inlineStr">
        <is>
          <t>Additional</t>
        </is>
      </c>
      <c r="J524" s="584" t="n">
        <v>45599</v>
      </c>
      <c r="K524" s="235" t="inlineStr">
        <is>
          <t>MEHAN VISA</t>
        </is>
      </c>
      <c r="L524" s="265" t="inlineStr">
        <is>
          <t>-</t>
        </is>
      </c>
      <c r="N524" s="178" t="n"/>
      <c r="O524" s="178" t="n"/>
      <c r="P524" s="178" t="n"/>
      <c r="Q524" s="178" t="n"/>
      <c r="R524" s="178" t="n"/>
      <c r="S524" s="178" t="n"/>
      <c r="T524" s="178" t="n"/>
    </row>
    <row r="525" ht="15.75" customHeight="1">
      <c r="A525" s="259" t="inlineStr">
        <is>
          <t>Logistics Admin Incharge</t>
        </is>
      </c>
      <c r="B525" s="260" t="n">
        <v>0</v>
      </c>
      <c r="C525" s="453">
        <f>COUNTIF(E525,"&lt;&gt;")</f>
        <v/>
      </c>
      <c r="D525" s="459" t="n">
        <v>0</v>
      </c>
      <c r="E525" s="452" t="inlineStr">
        <is>
          <t>Nelvin Joseph Manlel</t>
        </is>
      </c>
      <c r="F525" s="235" t="inlineStr">
        <is>
          <t>Logistic Services</t>
        </is>
      </c>
      <c r="G525" s="235" t="n"/>
      <c r="H525" s="235" t="inlineStr">
        <is>
          <t>U2881760</t>
        </is>
      </c>
      <c r="I525" s="233" t="inlineStr">
        <is>
          <t>Additional</t>
        </is>
      </c>
      <c r="J525" s="584" t="n">
        <v>46267</v>
      </c>
      <c r="K525" s="235" t="n"/>
      <c r="L525" s="265" t="n"/>
      <c r="N525" s="178" t="n"/>
      <c r="O525" s="178" t="n"/>
      <c r="P525" s="178" t="n"/>
      <c r="Q525" s="178" t="n"/>
      <c r="R525" s="178" t="n"/>
      <c r="S525" s="178" t="n"/>
      <c r="T525" s="178" t="n"/>
    </row>
    <row r="526" ht="15.75" customHeight="1">
      <c r="A526" s="259" t="inlineStr">
        <is>
          <t>Civil Engineer</t>
        </is>
      </c>
      <c r="B526" s="260" t="n">
        <v>0</v>
      </c>
      <c r="C526" s="453">
        <f>COUNTIF(E526,"&lt;&gt;")</f>
        <v/>
      </c>
      <c r="D526" s="459" t="n">
        <v>0</v>
      </c>
      <c r="E526" s="452" t="inlineStr">
        <is>
          <t>Adnan Yousaf Tarar</t>
        </is>
      </c>
      <c r="F526" s="235" t="inlineStr">
        <is>
          <t>Hard Service</t>
        </is>
      </c>
      <c r="G526" s="235" t="n">
        <v>216022</v>
      </c>
      <c r="H526" s="235" t="n">
        <v>2541740755</v>
      </c>
      <c r="I526" s="233" t="inlineStr">
        <is>
          <t>Additional</t>
        </is>
      </c>
      <c r="J526" s="584" t="n">
        <v>45866</v>
      </c>
      <c r="K526" s="235" t="inlineStr">
        <is>
          <t>MASSADAR VISA</t>
        </is>
      </c>
      <c r="L526" s="265" t="inlineStr">
        <is>
          <t>-</t>
        </is>
      </c>
      <c r="N526" s="178" t="n"/>
      <c r="O526" s="178" t="n"/>
      <c r="P526" s="178" t="n"/>
      <c r="Q526" s="178" t="n"/>
      <c r="R526" s="178" t="n"/>
      <c r="S526" s="178" t="n"/>
      <c r="T526" s="178" t="n"/>
    </row>
    <row r="527" ht="15.75" customHeight="1">
      <c r="A527" s="259" t="inlineStr">
        <is>
          <t>Soft Service Manager</t>
        </is>
      </c>
      <c r="B527" s="260" t="n">
        <v>0</v>
      </c>
      <c r="C527" s="453">
        <f>COUNTIF(E527,"&lt;&gt;")</f>
        <v/>
      </c>
      <c r="D527" s="459" t="n">
        <v>0</v>
      </c>
      <c r="E527" s="452" t="inlineStr">
        <is>
          <t>SARDAR MOHAMMAD JAVED</t>
        </is>
      </c>
      <c r="F527" s="235" t="inlineStr">
        <is>
          <t>SOFT SERVICE</t>
        </is>
      </c>
      <c r="G527" s="235" t="inlineStr">
        <is>
          <t>-</t>
        </is>
      </c>
      <c r="H527" s="235" t="inlineStr">
        <is>
          <t>-</t>
        </is>
      </c>
      <c r="I527" s="233" t="inlineStr">
        <is>
          <t>Additional</t>
        </is>
      </c>
      <c r="J527" s="584" t="n">
        <v>46241</v>
      </c>
      <c r="K527" s="235" t="inlineStr">
        <is>
          <t>-</t>
        </is>
      </c>
      <c r="L527" s="265" t="inlineStr">
        <is>
          <t>-</t>
        </is>
      </c>
      <c r="N527" s="178" t="n"/>
      <c r="O527" s="178" t="n"/>
      <c r="P527" s="178" t="n"/>
      <c r="Q527" s="178" t="n"/>
      <c r="R527" s="178" t="n"/>
      <c r="S527" s="178" t="n"/>
      <c r="T527" s="178" t="n"/>
    </row>
    <row r="528" ht="15.75" customHeight="1">
      <c r="A528" s="452" t="inlineStr">
        <is>
          <t xml:space="preserve">DG Techincian </t>
        </is>
      </c>
      <c r="B528" s="260" t="n">
        <v>0</v>
      </c>
      <c r="C528" s="453">
        <f>COUNTIF(E528,"&lt;&gt;")</f>
        <v/>
      </c>
      <c r="D528" s="459" t="n">
        <v>0</v>
      </c>
      <c r="E528" s="452" t="inlineStr">
        <is>
          <t>Muhammad Asim</t>
        </is>
      </c>
      <c r="F528" s="235" t="inlineStr">
        <is>
          <t>Hard Service</t>
        </is>
      </c>
      <c r="G528" s="235" t="n">
        <v>703396</v>
      </c>
      <c r="H528" s="235" t="n">
        <v>2580171573</v>
      </c>
      <c r="I528" s="233" t="inlineStr">
        <is>
          <t>Additional</t>
        </is>
      </c>
      <c r="J528" s="584" t="n">
        <v>46087</v>
      </c>
      <c r="K528" s="235" t="inlineStr">
        <is>
          <t>FMCO VISA</t>
        </is>
      </c>
      <c r="L528" s="265" t="inlineStr">
        <is>
          <t>-</t>
        </is>
      </c>
      <c r="N528" s="178" t="n"/>
      <c r="O528" s="178" t="n"/>
      <c r="P528" s="178" t="n"/>
      <c r="Q528" s="178" t="n"/>
      <c r="R528" s="178" t="n"/>
      <c r="S528" s="178" t="n"/>
      <c r="T528" s="178" t="n"/>
    </row>
    <row r="529" ht="15.75" customHeight="1">
      <c r="A529" s="452" t="inlineStr">
        <is>
          <t>Mason</t>
        </is>
      </c>
      <c r="B529" s="260" t="n">
        <v>0</v>
      </c>
      <c r="C529" s="453">
        <f>COUNTIF(E529,"&lt;&gt;")</f>
        <v/>
      </c>
      <c r="D529" s="459" t="n">
        <v>0</v>
      </c>
      <c r="E529" s="452" t="inlineStr">
        <is>
          <t>Ranjeet Kumar Mandal</t>
        </is>
      </c>
      <c r="F529" s="235" t="inlineStr">
        <is>
          <t>Hard Service</t>
        </is>
      </c>
      <c r="G529" s="235" t="n">
        <v>704266</v>
      </c>
      <c r="H529" s="235" t="n">
        <v>2637726239</v>
      </c>
      <c r="I529" s="233" t="inlineStr">
        <is>
          <t>Additional</t>
        </is>
      </c>
      <c r="J529" s="584" t="n">
        <v>46168</v>
      </c>
      <c r="K529" s="235" t="inlineStr">
        <is>
          <t>FMCO VISA</t>
        </is>
      </c>
      <c r="L529" s="265" t="inlineStr">
        <is>
          <t>-</t>
        </is>
      </c>
      <c r="N529" s="178" t="n"/>
      <c r="O529" s="178" t="n"/>
      <c r="P529" s="178" t="n"/>
      <c r="Q529" s="178" t="n"/>
      <c r="R529" s="178" t="n"/>
      <c r="S529" s="178" t="n"/>
      <c r="T529" s="178" t="n"/>
    </row>
    <row r="530" ht="15.75" customHeight="1">
      <c r="A530" s="452" t="inlineStr">
        <is>
          <t>Swimming Pool Technician</t>
        </is>
      </c>
      <c r="B530" s="453" t="n">
        <v>0</v>
      </c>
      <c r="C530" s="453" t="n">
        <v>2</v>
      </c>
      <c r="D530" s="453" t="n">
        <v>0</v>
      </c>
      <c r="E530" s="452" t="inlineStr">
        <is>
          <t>Mohammed Sajid Alam</t>
        </is>
      </c>
      <c r="F530" s="266" t="inlineStr">
        <is>
          <t>Hard Service</t>
        </is>
      </c>
      <c r="G530" s="267" t="inlineStr">
        <is>
          <t>-</t>
        </is>
      </c>
      <c r="H530" s="268" t="n">
        <v>2640657165</v>
      </c>
      <c r="I530" s="233" t="inlineStr">
        <is>
          <t>Additional</t>
        </is>
      </c>
      <c r="J530" s="584" t="n">
        <v>46219</v>
      </c>
      <c r="K530" s="235" t="inlineStr">
        <is>
          <t>AL-FALAK VISA</t>
        </is>
      </c>
      <c r="L530" s="265" t="inlineStr">
        <is>
          <t>-</t>
        </is>
      </c>
      <c r="N530" s="178" t="n"/>
      <c r="O530" s="178" t="n"/>
      <c r="P530" s="178" t="n"/>
      <c r="Q530" s="178" t="n"/>
      <c r="R530" s="178" t="n"/>
      <c r="S530" s="178" t="n"/>
      <c r="T530" s="178" t="n"/>
    </row>
    <row r="531" ht="15.75" customHeight="1">
      <c r="A531" s="553" t="n"/>
      <c r="B531" s="553" t="n"/>
      <c r="C531" s="553" t="n"/>
      <c r="D531" s="553" t="n"/>
      <c r="E531" s="452" t="inlineStr">
        <is>
          <t>Mohammed Kaif Ansari</t>
        </is>
      </c>
      <c r="F531" s="235" t="inlineStr">
        <is>
          <t>Hard Service</t>
        </is>
      </c>
      <c r="G531" s="235" t="inlineStr">
        <is>
          <t>EM-0003569</t>
        </is>
      </c>
      <c r="H531" s="235" t="n">
        <v>2632414377</v>
      </c>
      <c r="I531" s="233" t="inlineStr">
        <is>
          <t>Additional</t>
        </is>
      </c>
      <c r="J531" s="584" t="n">
        <v>46093</v>
      </c>
      <c r="K531" s="235" t="inlineStr">
        <is>
          <t>AL-FALAK VISA</t>
        </is>
      </c>
      <c r="L531" s="265" t="inlineStr">
        <is>
          <t>-</t>
        </is>
      </c>
      <c r="N531" s="178" t="n"/>
      <c r="O531" s="178" t="n"/>
      <c r="P531" s="178" t="n"/>
      <c r="Q531" s="178" t="n"/>
      <c r="R531" s="178" t="n"/>
      <c r="S531" s="178" t="n"/>
      <c r="T531" s="178" t="n"/>
    </row>
    <row r="532" ht="15.75" customHeight="1">
      <c r="A532" s="456" t="inlineStr">
        <is>
          <t>Lifegaurd</t>
        </is>
      </c>
      <c r="B532" s="454" t="n">
        <v>0</v>
      </c>
      <c r="C532" s="454">
        <f>COUNTIF(E532:E536,"&lt;&gt;")</f>
        <v/>
      </c>
      <c r="D532" s="457" t="n">
        <v>0</v>
      </c>
      <c r="E532" s="452" t="inlineStr">
        <is>
          <t>Ateeque Ur Rehman</t>
        </is>
      </c>
      <c r="F532" s="235" t="inlineStr">
        <is>
          <t>Recreation</t>
        </is>
      </c>
      <c r="G532" s="235" t="inlineStr">
        <is>
          <t>C00277</t>
        </is>
      </c>
      <c r="H532" s="235" t="n">
        <v>2580193734</v>
      </c>
      <c r="I532" s="233" t="inlineStr">
        <is>
          <t>Additional</t>
        </is>
      </c>
      <c r="J532" s="584" t="n">
        <v>46095</v>
      </c>
      <c r="K532" s="235" t="inlineStr">
        <is>
          <t>MEHAN VISA</t>
        </is>
      </c>
      <c r="L532" s="265" t="inlineStr">
        <is>
          <t>Annual Vacation</t>
        </is>
      </c>
      <c r="N532" s="178" t="n"/>
      <c r="O532" s="178" t="n"/>
      <c r="P532" s="178" t="n"/>
      <c r="Q532" s="178" t="n"/>
      <c r="R532" s="178" t="n"/>
      <c r="S532" s="178" t="n"/>
      <c r="T532" s="178" t="n"/>
    </row>
    <row r="533" ht="15.75" customHeight="1">
      <c r="A533" s="554" t="n"/>
      <c r="B533" s="554" t="n"/>
      <c r="C533" s="554" t="n"/>
      <c r="D533" s="554" t="n"/>
      <c r="E533" s="452" t="inlineStr">
        <is>
          <t xml:space="preserve">Mahamoud Mohamed </t>
        </is>
      </c>
      <c r="F533" s="235" t="inlineStr">
        <is>
          <t>Recreation</t>
        </is>
      </c>
      <c r="G533" s="235" t="inlineStr">
        <is>
          <t> </t>
        </is>
      </c>
      <c r="H533" s="235" t="n">
        <v>2595091063</v>
      </c>
      <c r="I533" s="233" t="inlineStr">
        <is>
          <t>Additional</t>
        </is>
      </c>
      <c r="J533" s="584" t="n">
        <v>46163</v>
      </c>
      <c r="K533" s="235" t="inlineStr">
        <is>
          <t>WEBCO</t>
        </is>
      </c>
      <c r="L533" s="265" t="inlineStr">
        <is>
          <t>-</t>
        </is>
      </c>
      <c r="N533" s="178" t="n"/>
      <c r="O533" s="178" t="n"/>
      <c r="P533" s="178" t="n"/>
      <c r="Q533" s="178" t="n"/>
      <c r="R533" s="178" t="n"/>
      <c r="S533" s="178" t="n"/>
      <c r="T533" s="178" t="n"/>
    </row>
    <row r="534" ht="15.75" customHeight="1">
      <c r="A534" s="554" t="n"/>
      <c r="B534" s="554" t="n"/>
      <c r="C534" s="554" t="n"/>
      <c r="D534" s="554" t="n"/>
      <c r="E534" s="452" t="n"/>
      <c r="F534" s="235" t="inlineStr">
        <is>
          <t>Recreation</t>
        </is>
      </c>
      <c r="G534" s="269" t="inlineStr">
        <is>
          <t>-</t>
        </is>
      </c>
      <c r="H534" s="269" t="inlineStr">
        <is>
          <t>-</t>
        </is>
      </c>
      <c r="I534" s="233" t="inlineStr">
        <is>
          <t>Vacant</t>
        </is>
      </c>
      <c r="J534" s="588" t="n"/>
      <c r="K534" s="235" t="inlineStr">
        <is>
          <t>-</t>
        </is>
      </c>
      <c r="L534" s="271" t="n"/>
      <c r="N534" s="178" t="n"/>
      <c r="O534" s="178" t="n"/>
      <c r="P534" s="178" t="n"/>
      <c r="Q534" s="178" t="n"/>
      <c r="R534" s="178" t="n"/>
      <c r="S534" s="178" t="n"/>
      <c r="T534" s="178" t="n"/>
    </row>
    <row r="535" ht="15.75" customHeight="1">
      <c r="A535" s="554" t="n"/>
      <c r="B535" s="554" t="n"/>
      <c r="C535" s="554" t="n"/>
      <c r="D535" s="554" t="n"/>
      <c r="E535" s="452" t="inlineStr">
        <is>
          <t>Manu Sundaran</t>
        </is>
      </c>
      <c r="F535" s="266" t="inlineStr">
        <is>
          <t>SOFT SERVICE</t>
        </is>
      </c>
      <c r="G535" s="267" t="inlineStr">
        <is>
          <t>-</t>
        </is>
      </c>
      <c r="H535" s="268" t="n">
        <v>2641114703</v>
      </c>
      <c r="I535" s="233" t="inlineStr">
        <is>
          <t>Additional</t>
        </is>
      </c>
      <c r="J535" s="584" t="n">
        <v>46219</v>
      </c>
      <c r="K535" s="235" t="inlineStr">
        <is>
          <t>FMCO</t>
        </is>
      </c>
      <c r="L535" s="265" t="inlineStr">
        <is>
          <t>-</t>
        </is>
      </c>
      <c r="N535" s="178" t="n"/>
      <c r="O535" s="178" t="n"/>
      <c r="P535" s="178" t="n"/>
      <c r="Q535" s="178" t="n"/>
      <c r="R535" s="178" t="n"/>
      <c r="S535" s="178" t="n"/>
      <c r="T535" s="178" t="n"/>
    </row>
    <row r="536" ht="15.75" customHeight="1">
      <c r="A536" s="554" t="n"/>
      <c r="B536" s="554" t="n"/>
      <c r="C536" s="554" t="n"/>
      <c r="D536" s="554" t="n"/>
      <c r="E536" s="452" t="inlineStr">
        <is>
          <t xml:space="preserve">Mohamed Abbas </t>
        </is>
      </c>
      <c r="F536" s="235" t="inlineStr">
        <is>
          <t>Recreation</t>
        </is>
      </c>
      <c r="G536" s="269" t="inlineStr">
        <is>
          <t>-</t>
        </is>
      </c>
      <c r="H536" s="269" t="n">
        <v>2623068281</v>
      </c>
      <c r="I536" s="272" t="inlineStr">
        <is>
          <t>Additional</t>
        </is>
      </c>
      <c r="J536" s="588" t="n">
        <v>46168</v>
      </c>
      <c r="K536" s="235" t="inlineStr">
        <is>
          <t>WEBCO</t>
        </is>
      </c>
      <c r="L536" s="271" t="inlineStr">
        <is>
          <t>-</t>
        </is>
      </c>
      <c r="N536" s="178" t="n"/>
      <c r="O536" s="178" t="n"/>
      <c r="P536" s="178" t="n"/>
      <c r="Q536" s="178" t="n"/>
      <c r="R536" s="178" t="n"/>
      <c r="S536" s="178" t="n"/>
      <c r="T536" s="178" t="n"/>
    </row>
    <row r="537" ht="15.75" customHeight="1">
      <c r="A537" s="452" t="inlineStr">
        <is>
          <t>DRIVER</t>
        </is>
      </c>
      <c r="B537" s="453" t="n">
        <v>0</v>
      </c>
      <c r="C537" s="453">
        <f>COUNTIF(E537:E542,"&lt;&gt;")</f>
        <v/>
      </c>
      <c r="D537" s="459" t="n">
        <v>0</v>
      </c>
      <c r="E537" s="452" t="inlineStr">
        <is>
          <t>Hakik Tazoin</t>
        </is>
      </c>
      <c r="F537" s="273" t="inlineStr">
        <is>
          <t>Logistic Services</t>
        </is>
      </c>
      <c r="G537" s="273" t="n">
        <v>701878</v>
      </c>
      <c r="H537" s="273" t="n">
        <v>2538747482</v>
      </c>
      <c r="I537" s="233" t="inlineStr">
        <is>
          <t>Additional</t>
        </is>
      </c>
      <c r="J537" s="584" t="n">
        <v>45881</v>
      </c>
      <c r="K537" s="235" t="inlineStr">
        <is>
          <t>FMCO VISA</t>
        </is>
      </c>
      <c r="L537" s="265" t="inlineStr">
        <is>
          <t>-</t>
        </is>
      </c>
      <c r="N537" s="178" t="n"/>
      <c r="O537" s="178" t="n"/>
      <c r="P537" s="178" t="n"/>
      <c r="Q537" s="178" t="n"/>
      <c r="R537" s="178" t="n"/>
      <c r="S537" s="178" t="n"/>
      <c r="T537" s="178" t="n"/>
    </row>
    <row r="538" ht="15.75" customHeight="1">
      <c r="A538" s="554" t="n"/>
      <c r="B538" s="554" t="n"/>
      <c r="C538" s="554" t="n"/>
      <c r="D538" s="554" t="n"/>
      <c r="E538" s="452" t="inlineStr">
        <is>
          <t>Mubashir Hussain</t>
        </is>
      </c>
      <c r="F538" s="273" t="inlineStr">
        <is>
          <t>Logistic Services</t>
        </is>
      </c>
      <c r="G538" s="273" t="n">
        <v>701073</v>
      </c>
      <c r="H538" s="273" t="n">
        <v>2515422257</v>
      </c>
      <c r="I538" s="233" t="inlineStr">
        <is>
          <t>Additional</t>
        </is>
      </c>
      <c r="J538" s="584" t="n">
        <v>45595</v>
      </c>
      <c r="K538" s="235" t="inlineStr">
        <is>
          <t>FMCO VISA</t>
        </is>
      </c>
      <c r="L538" s="265" t="inlineStr">
        <is>
          <t>-</t>
        </is>
      </c>
      <c r="N538" s="178" t="n"/>
      <c r="O538" s="178" t="n"/>
      <c r="P538" s="178" t="n"/>
      <c r="Q538" s="178" t="n"/>
      <c r="R538" s="178" t="n"/>
      <c r="S538" s="178" t="n"/>
      <c r="T538" s="178" t="n"/>
    </row>
    <row r="539" ht="15.75" customHeight="1">
      <c r="A539" s="554" t="n"/>
      <c r="B539" s="554" t="n"/>
      <c r="C539" s="554" t="n"/>
      <c r="D539" s="554" t="n"/>
      <c r="E539" s="452" t="inlineStr">
        <is>
          <t xml:space="preserve">Muhammad Ahsan </t>
        </is>
      </c>
      <c r="F539" s="273" t="inlineStr">
        <is>
          <t>Logistic Services</t>
        </is>
      </c>
      <c r="G539" s="273" t="inlineStr">
        <is>
          <t>EM-0002426</t>
        </is>
      </c>
      <c r="H539" s="273" t="n">
        <v>2576668145</v>
      </c>
      <c r="I539" s="233" t="inlineStr">
        <is>
          <t>Additional</t>
        </is>
      </c>
      <c r="J539" s="584" t="n">
        <v>45919</v>
      </c>
      <c r="K539" s="235" t="inlineStr">
        <is>
          <t>FMCO VISA</t>
        </is>
      </c>
      <c r="L539" s="265" t="inlineStr">
        <is>
          <t>-</t>
        </is>
      </c>
      <c r="N539" s="178" t="n"/>
      <c r="O539" s="178" t="n"/>
      <c r="P539" s="178" t="n"/>
      <c r="Q539" s="178" t="n"/>
      <c r="R539" s="178" t="n"/>
      <c r="S539" s="178" t="n"/>
      <c r="T539" s="178" t="n"/>
    </row>
    <row r="540" ht="15.75" customHeight="1">
      <c r="A540" s="554" t="n"/>
      <c r="B540" s="554" t="n"/>
      <c r="C540" s="554" t="n"/>
      <c r="D540" s="554" t="n"/>
      <c r="E540" s="452" t="inlineStr">
        <is>
          <t>Amjad Ur Rahman</t>
        </is>
      </c>
      <c r="F540" s="273" t="inlineStr">
        <is>
          <t>Logistic Services</t>
        </is>
      </c>
      <c r="G540" s="273" t="n">
        <v>703369</v>
      </c>
      <c r="H540" s="273" t="n">
        <v>2551019413</v>
      </c>
      <c r="I540" s="233" t="inlineStr">
        <is>
          <t>Additional</t>
        </is>
      </c>
      <c r="J540" s="584" t="n">
        <v>45590</v>
      </c>
      <c r="K540" s="235" t="inlineStr">
        <is>
          <t>FMCO VISA</t>
        </is>
      </c>
      <c r="L540" s="265" t="inlineStr">
        <is>
          <t>-</t>
        </is>
      </c>
      <c r="N540" s="178" t="n"/>
      <c r="O540" s="178" t="n"/>
      <c r="P540" s="178" t="n"/>
      <c r="Q540" s="178" t="n"/>
      <c r="R540" s="178" t="n"/>
      <c r="S540" s="178" t="n"/>
      <c r="T540" s="178" t="n"/>
    </row>
    <row r="541" ht="15.75" customHeight="1">
      <c r="A541" s="554" t="n"/>
      <c r="B541" s="554" t="n"/>
      <c r="C541" s="554" t="n"/>
      <c r="D541" s="554" t="n"/>
      <c r="E541" s="452" t="inlineStr">
        <is>
          <t>Amir Ali Muhammad Ali Khan</t>
        </is>
      </c>
      <c r="F541" s="266" t="inlineStr">
        <is>
          <t>LOGISTIC</t>
        </is>
      </c>
      <c r="G541" s="274" t="n">
        <v>703573</v>
      </c>
      <c r="H541" s="232" t="n">
        <v>2568380220</v>
      </c>
      <c r="I541" s="233" t="inlineStr">
        <is>
          <t>Additional</t>
        </is>
      </c>
      <c r="J541" s="589" t="n"/>
      <c r="K541" s="235" t="inlineStr">
        <is>
          <t>FMCO</t>
        </is>
      </c>
      <c r="L541" s="265" t="inlineStr">
        <is>
          <t>-</t>
        </is>
      </c>
      <c r="N541" s="178" t="n"/>
      <c r="O541" s="178" t="n"/>
      <c r="P541" s="178" t="n"/>
      <c r="Q541" s="178" t="n"/>
      <c r="R541" s="178" t="n"/>
      <c r="S541" s="178" t="n"/>
      <c r="T541" s="178" t="n"/>
    </row>
    <row r="542" ht="15.75" customHeight="1">
      <c r="A542" s="553" t="n"/>
      <c r="B542" s="553" t="n"/>
      <c r="C542" s="553" t="n"/>
      <c r="D542" s="553" t="n"/>
      <c r="E542" s="452" t="inlineStr">
        <is>
          <t>Furqan Suleman</t>
        </is>
      </c>
      <c r="F542" s="273" t="inlineStr">
        <is>
          <t>Logistic Services</t>
        </is>
      </c>
      <c r="G542" s="273" t="n">
        <v>702693</v>
      </c>
      <c r="H542" s="273" t="n">
        <v>2556259519</v>
      </c>
      <c r="I542" s="233" t="inlineStr">
        <is>
          <t>Additional</t>
        </is>
      </c>
      <c r="J542" s="584" t="n">
        <v>46162</v>
      </c>
      <c r="K542" s="235" t="inlineStr">
        <is>
          <t>FMCO VISA</t>
        </is>
      </c>
      <c r="L542" s="265" t="inlineStr">
        <is>
          <t>-</t>
        </is>
      </c>
      <c r="N542" s="178" t="n"/>
      <c r="O542" s="178" t="n"/>
      <c r="P542" s="178" t="n"/>
      <c r="Q542" s="178" t="n"/>
      <c r="R542" s="178" t="n"/>
      <c r="S542" s="178" t="n"/>
      <c r="T542" s="178" t="n"/>
    </row>
    <row r="543" ht="15.75" customHeight="1">
      <c r="A543" s="452" t="inlineStr">
        <is>
          <t>LV Supervisor</t>
        </is>
      </c>
      <c r="B543" s="453" t="n">
        <v>0</v>
      </c>
      <c r="C543" s="453" t="n">
        <v>1</v>
      </c>
      <c r="D543" s="459" t="n">
        <v>0</v>
      </c>
      <c r="E543" s="452" t="inlineStr">
        <is>
          <t>Azharuddin Wajid</t>
        </is>
      </c>
      <c r="F543" s="266" t="inlineStr">
        <is>
          <t>IT</t>
        </is>
      </c>
      <c r="G543" s="267" t="inlineStr">
        <is>
          <t>EM-0001973</t>
        </is>
      </c>
      <c r="H543" s="267" t="n">
        <v>2587435674</v>
      </c>
      <c r="I543" s="233" t="inlineStr">
        <is>
          <t>Additional</t>
        </is>
      </c>
      <c r="J543" s="584" t="n">
        <v>45600</v>
      </c>
      <c r="K543" s="235" t="inlineStr">
        <is>
          <t>AL-FALAK VISA</t>
        </is>
      </c>
      <c r="L543" s="265" t="inlineStr">
        <is>
          <t>-</t>
        </is>
      </c>
      <c r="N543" s="178" t="n"/>
      <c r="O543" s="178" t="n"/>
      <c r="P543" s="178" t="n"/>
      <c r="Q543" s="178" t="n"/>
      <c r="R543" s="178" t="n"/>
      <c r="S543" s="178" t="n"/>
      <c r="T543" s="178" t="n"/>
    </row>
    <row r="544" ht="15.75" customHeight="1">
      <c r="A544" s="452" t="inlineStr">
        <is>
          <t>Ict Technician</t>
        </is>
      </c>
      <c r="B544" s="452" t="n">
        <v>0</v>
      </c>
      <c r="C544" s="452" t="n">
        <v>2</v>
      </c>
      <c r="D544" s="452" t="n">
        <v>0</v>
      </c>
      <c r="E544" s="452" t="inlineStr">
        <is>
          <t>MD ROKIBUL ISLAM SHANTU</t>
        </is>
      </c>
      <c r="F544" s="266" t="inlineStr">
        <is>
          <t>IT</t>
        </is>
      </c>
      <c r="G544" s="267" t="n"/>
      <c r="H544" s="267" t="inlineStr">
        <is>
          <t>A15897351</t>
        </is>
      </c>
      <c r="I544" s="233" t="inlineStr">
        <is>
          <t>Additional</t>
        </is>
      </c>
      <c r="J544" s="584" t="n">
        <v>46267</v>
      </c>
      <c r="K544" s="235" t="n"/>
      <c r="L544" s="265" t="n"/>
      <c r="N544" s="178" t="n"/>
      <c r="O544" s="178" t="n"/>
      <c r="P544" s="178" t="n"/>
      <c r="Q544" s="178" t="n"/>
      <c r="R544" s="178" t="n"/>
      <c r="S544" s="178" t="n"/>
      <c r="T544" s="178" t="n"/>
    </row>
    <row r="545" ht="15.75" customHeight="1">
      <c r="A545" s="553" t="n"/>
      <c r="B545" s="553" t="n"/>
      <c r="C545" s="553" t="n"/>
      <c r="D545" s="553" t="n"/>
      <c r="E545" s="452" t="inlineStr">
        <is>
          <t>Akhtar Ali</t>
        </is>
      </c>
      <c r="F545" s="266" t="inlineStr">
        <is>
          <t>HARD SERVICE</t>
        </is>
      </c>
      <c r="G545" s="267" t="inlineStr">
        <is>
          <t>-</t>
        </is>
      </c>
      <c r="H545" s="267" t="n">
        <v>2639575543</v>
      </c>
      <c r="I545" s="233" t="inlineStr">
        <is>
          <t>Additional</t>
        </is>
      </c>
      <c r="J545" s="580" t="n"/>
      <c r="K545" s="235" t="inlineStr">
        <is>
          <t xml:space="preserve">RAMZ </t>
        </is>
      </c>
      <c r="L545" s="265" t="inlineStr">
        <is>
          <t>-</t>
        </is>
      </c>
      <c r="N545" s="178" t="n"/>
      <c r="O545" s="178" t="n"/>
      <c r="P545" s="178" t="n"/>
      <c r="Q545" s="178" t="n"/>
      <c r="R545" s="178" t="n"/>
      <c r="S545" s="178" t="n"/>
      <c r="T545" s="178" t="n"/>
    </row>
    <row r="546" ht="15.75" customHeight="1">
      <c r="A546" s="452" t="inlineStr">
        <is>
          <t>Irrigation Technician</t>
        </is>
      </c>
      <c r="B546" s="454" t="n">
        <v>0</v>
      </c>
      <c r="C546" s="454" t="n">
        <v>3</v>
      </c>
      <c r="D546" s="454" t="n">
        <v>0</v>
      </c>
      <c r="E546" s="452" t="inlineStr">
        <is>
          <t xml:space="preserve">Md Shahajan </t>
        </is>
      </c>
      <c r="F546" s="266" t="inlineStr">
        <is>
          <t>HARD SERVICE</t>
        </is>
      </c>
      <c r="G546" s="267" t="inlineStr">
        <is>
          <t>-</t>
        </is>
      </c>
      <c r="H546" s="267" t="n">
        <v>2590521247</v>
      </c>
      <c r="I546" s="233" t="inlineStr">
        <is>
          <t>Additional</t>
        </is>
      </c>
      <c r="J546" s="580" t="n"/>
      <c r="K546" s="235" t="inlineStr">
        <is>
          <t xml:space="preserve">RAMZ </t>
        </is>
      </c>
      <c r="L546" s="265" t="inlineStr">
        <is>
          <t>-</t>
        </is>
      </c>
      <c r="N546" s="178" t="n"/>
      <c r="O546" s="178" t="n"/>
      <c r="P546" s="178" t="n"/>
      <c r="Q546" s="178" t="n"/>
      <c r="R546" s="178" t="n"/>
      <c r="S546" s="178" t="n"/>
      <c r="T546" s="178" t="n"/>
    </row>
    <row r="547" ht="15.75" customHeight="1">
      <c r="A547" s="553" t="n"/>
      <c r="B547" s="554" t="n"/>
      <c r="C547" s="554" t="n"/>
      <c r="D547" s="554" t="n"/>
      <c r="E547" s="452" t="inlineStr">
        <is>
          <t>Md Shahin Mia Md Pasan Ali</t>
        </is>
      </c>
      <c r="F547" s="266" t="inlineStr">
        <is>
          <t>HARD SERVICE</t>
        </is>
      </c>
      <c r="G547" s="267" t="inlineStr">
        <is>
          <t>-</t>
        </is>
      </c>
      <c r="H547" s="267" t="n">
        <v>2633409277</v>
      </c>
      <c r="I547" s="233" t="inlineStr">
        <is>
          <t>Additional</t>
        </is>
      </c>
      <c r="J547" s="580" t="n"/>
      <c r="K547" s="235" t="inlineStr">
        <is>
          <t xml:space="preserve">RAMZ </t>
        </is>
      </c>
      <c r="L547" s="265" t="inlineStr">
        <is>
          <t>-</t>
        </is>
      </c>
      <c r="N547" s="178" t="n"/>
      <c r="O547" s="178" t="n"/>
      <c r="P547" s="178" t="n"/>
      <c r="Q547" s="178" t="n"/>
      <c r="R547" s="178" t="n"/>
      <c r="S547" s="178" t="n"/>
      <c r="T547" s="178" t="n"/>
    </row>
    <row r="548" ht="15.75" customHeight="1">
      <c r="A548" s="452" t="inlineStr">
        <is>
          <t>Accommodation Assistant</t>
        </is>
      </c>
      <c r="B548" s="453" t="n">
        <v>0</v>
      </c>
      <c r="C548" s="453" t="n">
        <v>1</v>
      </c>
      <c r="D548" s="459" t="n">
        <v>0</v>
      </c>
      <c r="E548" s="452" t="inlineStr">
        <is>
          <t>Rakesh Parida</t>
        </is>
      </c>
      <c r="F548" s="266" t="inlineStr">
        <is>
          <t>HARD SERVICE</t>
        </is>
      </c>
      <c r="G548" s="267" t="inlineStr">
        <is>
          <t>-</t>
        </is>
      </c>
      <c r="H548" s="267" t="n">
        <v>2638610663</v>
      </c>
      <c r="I548" s="233" t="inlineStr">
        <is>
          <t>Additional</t>
        </is>
      </c>
      <c r="J548" s="580" t="n"/>
      <c r="K548" s="235" t="inlineStr">
        <is>
          <t xml:space="preserve">RAMZ </t>
        </is>
      </c>
      <c r="L548" s="265" t="inlineStr">
        <is>
          <t>-</t>
        </is>
      </c>
      <c r="N548" s="178" t="n"/>
      <c r="O548" s="178" t="n"/>
      <c r="P548" s="178" t="n"/>
      <c r="Q548" s="178" t="n"/>
      <c r="R548" s="178" t="n"/>
      <c r="S548" s="178" t="n"/>
      <c r="T548" s="178" t="n"/>
    </row>
    <row r="549" ht="15.75" customHeight="1">
      <c r="A549" s="452" t="inlineStr">
        <is>
          <t>Manlift Operator</t>
        </is>
      </c>
      <c r="B549" s="453" t="n">
        <v>0</v>
      </c>
      <c r="C549" s="453" t="n">
        <v>1</v>
      </c>
      <c r="D549" s="459" t="n">
        <v>0</v>
      </c>
      <c r="E549" s="452" t="inlineStr">
        <is>
          <t>Shahid Abbas</t>
        </is>
      </c>
      <c r="F549" s="266" t="inlineStr">
        <is>
          <t>LOGISTICS</t>
        </is>
      </c>
      <c r="G549" s="267" t="inlineStr">
        <is>
          <t>-</t>
        </is>
      </c>
      <c r="H549" s="267" t="n">
        <v>2626810176</v>
      </c>
      <c r="I549" s="233" t="inlineStr">
        <is>
          <t>Additional</t>
        </is>
      </c>
      <c r="J549" s="580" t="n"/>
      <c r="K549" s="235" t="inlineStr">
        <is>
          <t>-</t>
        </is>
      </c>
      <c r="L549" s="265" t="inlineStr">
        <is>
          <t>-</t>
        </is>
      </c>
      <c r="N549" s="178" t="n"/>
      <c r="O549" s="178" t="n"/>
      <c r="P549" s="178" t="n"/>
      <c r="Q549" s="178" t="n"/>
      <c r="R549" s="178" t="n"/>
      <c r="S549" s="178" t="n"/>
      <c r="T549" s="178" t="n"/>
    </row>
    <row r="550" ht="15.75" customHeight="1">
      <c r="A550" s="452" t="inlineStr">
        <is>
          <t>Gardener</t>
        </is>
      </c>
      <c r="B550" s="453" t="n">
        <v>0</v>
      </c>
      <c r="C550" s="453" t="n">
        <v>1</v>
      </c>
      <c r="D550" s="459" t="n">
        <v>0</v>
      </c>
      <c r="E550" s="452" t="inlineStr">
        <is>
          <t>Amar Mandal</t>
        </is>
      </c>
      <c r="F550" s="266" t="inlineStr">
        <is>
          <t>SOFT SERVICE</t>
        </is>
      </c>
      <c r="G550" s="267" t="inlineStr">
        <is>
          <t>-</t>
        </is>
      </c>
      <c r="H550" s="267" t="n">
        <v>2625621921</v>
      </c>
      <c r="I550" s="233" t="inlineStr">
        <is>
          <t>Additional</t>
        </is>
      </c>
      <c r="J550" s="584" t="n">
        <v>46217</v>
      </c>
      <c r="K550" s="235" t="inlineStr">
        <is>
          <t xml:space="preserve">GULF VISION </t>
        </is>
      </c>
      <c r="L550" s="265" t="inlineStr">
        <is>
          <t>-</t>
        </is>
      </c>
      <c r="N550" s="178" t="n"/>
      <c r="O550" s="178" t="n"/>
      <c r="P550" s="178" t="n"/>
      <c r="Q550" s="178" t="n"/>
      <c r="R550" s="178" t="n"/>
      <c r="S550" s="178" t="n"/>
      <c r="T550" s="178" t="n"/>
    </row>
    <row r="551" ht="15.75" customHeight="1">
      <c r="A551" s="554" t="n"/>
      <c r="B551" s="453" t="n">
        <v>0</v>
      </c>
      <c r="C551" s="453" t="n">
        <v>1</v>
      </c>
      <c r="D551" s="459" t="n">
        <v>0</v>
      </c>
      <c r="E551" s="452" t="inlineStr">
        <is>
          <t>Md Sahrab Miya</t>
        </is>
      </c>
      <c r="F551" s="266" t="inlineStr">
        <is>
          <t>SOFT SERVICE</t>
        </is>
      </c>
      <c r="G551" s="267" t="inlineStr">
        <is>
          <t>-</t>
        </is>
      </c>
      <c r="H551" s="267" t="n">
        <v>2615973548</v>
      </c>
      <c r="I551" s="233" t="inlineStr">
        <is>
          <t>Additional</t>
        </is>
      </c>
      <c r="J551" s="584" t="n">
        <v>46217</v>
      </c>
      <c r="K551" s="235" t="inlineStr">
        <is>
          <t xml:space="preserve">GULF VISION </t>
        </is>
      </c>
      <c r="L551" s="265" t="inlineStr">
        <is>
          <t>-</t>
        </is>
      </c>
      <c r="N551" s="178" t="n"/>
      <c r="O551" s="178" t="n"/>
      <c r="P551" s="178" t="n"/>
      <c r="Q551" s="178" t="n"/>
      <c r="R551" s="178" t="n"/>
      <c r="S551" s="178" t="n"/>
      <c r="T551" s="178" t="n"/>
    </row>
    <row r="552" ht="15.75" customHeight="1">
      <c r="A552" s="554" t="n"/>
      <c r="B552" s="453" t="n">
        <v>0</v>
      </c>
      <c r="C552" s="453" t="n">
        <v>1</v>
      </c>
      <c r="D552" s="459" t="n">
        <v>0</v>
      </c>
      <c r="E552" s="452" t="inlineStr">
        <is>
          <t>Hansha Raj Kc</t>
        </is>
      </c>
      <c r="F552" s="266" t="inlineStr">
        <is>
          <t>SOFT SERVICE</t>
        </is>
      </c>
      <c r="G552" s="267" t="inlineStr">
        <is>
          <t>-</t>
        </is>
      </c>
      <c r="H552" s="267" t="n">
        <v>2615972649</v>
      </c>
      <c r="I552" s="233" t="inlineStr">
        <is>
          <t>Additional</t>
        </is>
      </c>
      <c r="J552" s="584" t="n">
        <v>46217</v>
      </c>
      <c r="K552" s="235" t="inlineStr">
        <is>
          <t xml:space="preserve">GULF VISION </t>
        </is>
      </c>
      <c r="L552" s="265" t="inlineStr">
        <is>
          <t>-</t>
        </is>
      </c>
      <c r="N552" s="178" t="n"/>
      <c r="O552" s="178" t="n"/>
      <c r="P552" s="178" t="n"/>
      <c r="Q552" s="178" t="n"/>
      <c r="R552" s="178" t="n"/>
      <c r="S552" s="178" t="n"/>
      <c r="T552" s="178" t="n"/>
    </row>
    <row r="553" ht="15.75" customHeight="1">
      <c r="A553" s="554" t="n"/>
      <c r="B553" s="453" t="n">
        <v>0</v>
      </c>
      <c r="C553" s="453" t="n">
        <v>1</v>
      </c>
      <c r="D553" s="459" t="n">
        <v>0</v>
      </c>
      <c r="E553" s="452" t="inlineStr">
        <is>
          <t>Dipendra Mahji</t>
        </is>
      </c>
      <c r="F553" s="266" t="inlineStr">
        <is>
          <t>SOFT SERVICE</t>
        </is>
      </c>
      <c r="G553" s="267" t="inlineStr">
        <is>
          <t>-</t>
        </is>
      </c>
      <c r="H553" s="267" t="n">
        <v>2617334269</v>
      </c>
      <c r="I553" s="233" t="inlineStr">
        <is>
          <t>Additional</t>
        </is>
      </c>
      <c r="J553" s="584" t="n">
        <v>46217</v>
      </c>
      <c r="K553" s="235" t="inlineStr">
        <is>
          <t xml:space="preserve">GULF VISION </t>
        </is>
      </c>
      <c r="L553" s="265" t="inlineStr">
        <is>
          <t>-</t>
        </is>
      </c>
      <c r="N553" s="178" t="n"/>
      <c r="O553" s="178" t="n"/>
      <c r="P553" s="178" t="n"/>
      <c r="Q553" s="178" t="n"/>
      <c r="R553" s="178" t="n"/>
      <c r="S553" s="178" t="n"/>
      <c r="T553" s="178" t="n"/>
    </row>
    <row r="554" ht="15.75" customHeight="1">
      <c r="A554" s="554" t="n"/>
      <c r="B554" s="453" t="n">
        <v>0</v>
      </c>
      <c r="C554" s="453" t="n">
        <v>1</v>
      </c>
      <c r="D554" s="459" t="n">
        <v>0</v>
      </c>
      <c r="E554" s="452" t="inlineStr">
        <is>
          <t>Rabindra Mandal</t>
        </is>
      </c>
      <c r="F554" s="266" t="inlineStr">
        <is>
          <t>SOFT SERVICE</t>
        </is>
      </c>
      <c r="G554" s="267" t="inlineStr">
        <is>
          <t>-</t>
        </is>
      </c>
      <c r="H554" s="267" t="n">
        <v>2617336009</v>
      </c>
      <c r="I554" s="233" t="inlineStr">
        <is>
          <t>Additional</t>
        </is>
      </c>
      <c r="J554" s="584" t="n">
        <v>46217</v>
      </c>
      <c r="K554" s="235" t="inlineStr">
        <is>
          <t xml:space="preserve">GULF VISION </t>
        </is>
      </c>
      <c r="L554" s="265" t="inlineStr">
        <is>
          <t>-</t>
        </is>
      </c>
      <c r="N554" s="178" t="n"/>
      <c r="O554" s="178" t="n"/>
      <c r="P554" s="178" t="n"/>
      <c r="Q554" s="178" t="n"/>
      <c r="R554" s="178" t="n"/>
      <c r="S554" s="178" t="n"/>
      <c r="T554" s="178" t="n"/>
    </row>
    <row r="555" ht="15.75" customHeight="1">
      <c r="A555" s="554" t="n"/>
      <c r="B555" s="453" t="n">
        <v>0</v>
      </c>
      <c r="C555" s="453" t="n">
        <v>1</v>
      </c>
      <c r="D555" s="459" t="n">
        <v>0</v>
      </c>
      <c r="E555" s="452" t="inlineStr">
        <is>
          <t>Bhim Thakur Lohar</t>
        </is>
      </c>
      <c r="F555" s="266" t="inlineStr">
        <is>
          <t>SOFT SERVICE</t>
        </is>
      </c>
      <c r="G555" s="267" t="inlineStr">
        <is>
          <t>-</t>
        </is>
      </c>
      <c r="H555" s="267" t="n">
        <v>2617334178</v>
      </c>
      <c r="I555" s="233" t="inlineStr">
        <is>
          <t>Additional</t>
        </is>
      </c>
      <c r="J555" s="584" t="n">
        <v>46217</v>
      </c>
      <c r="K555" s="235" t="inlineStr">
        <is>
          <t xml:space="preserve">GULF VISION </t>
        </is>
      </c>
      <c r="L555" s="265" t="inlineStr">
        <is>
          <t>-</t>
        </is>
      </c>
      <c r="N555" s="178" t="n"/>
      <c r="O555" s="178" t="n"/>
      <c r="P555" s="178" t="n"/>
      <c r="Q555" s="178" t="n"/>
      <c r="R555" s="178" t="n"/>
      <c r="S555" s="178" t="n"/>
      <c r="T555" s="178" t="n"/>
    </row>
    <row r="556" ht="15.75" customHeight="1">
      <c r="A556" s="554" t="n"/>
      <c r="B556" s="453" t="n">
        <v>0</v>
      </c>
      <c r="C556" s="453" t="n">
        <v>1</v>
      </c>
      <c r="D556" s="459" t="n">
        <v>0</v>
      </c>
      <c r="E556" s="452" t="inlineStr">
        <is>
          <t>Chandeshwar Majhi</t>
        </is>
      </c>
      <c r="F556" s="266" t="inlineStr">
        <is>
          <t>SOFT SERVICE</t>
        </is>
      </c>
      <c r="G556" s="267" t="inlineStr">
        <is>
          <t>-</t>
        </is>
      </c>
      <c r="H556" s="267" t="n">
        <v>2617334202</v>
      </c>
      <c r="I556" s="233" t="inlineStr">
        <is>
          <t>Additional</t>
        </is>
      </c>
      <c r="J556" s="584" t="n">
        <v>46217</v>
      </c>
      <c r="K556" s="235" t="inlineStr">
        <is>
          <t xml:space="preserve">GULF VISION </t>
        </is>
      </c>
      <c r="L556" s="265" t="inlineStr">
        <is>
          <t>-</t>
        </is>
      </c>
      <c r="N556" s="178" t="n"/>
      <c r="O556" s="178" t="n"/>
      <c r="P556" s="178" t="n"/>
      <c r="Q556" s="178" t="n"/>
      <c r="R556" s="178" t="n"/>
      <c r="S556" s="178" t="n"/>
      <c r="T556" s="178" t="n"/>
    </row>
    <row r="557" ht="15.75" customHeight="1">
      <c r="A557" s="554" t="n"/>
      <c r="B557" s="453" t="n">
        <v>0</v>
      </c>
      <c r="C557" s="453" t="n">
        <v>1</v>
      </c>
      <c r="D557" s="459" t="n">
        <v>0</v>
      </c>
      <c r="E557" s="452" t="inlineStr">
        <is>
          <t>Ajay Ray</t>
        </is>
      </c>
      <c r="F557" s="266" t="inlineStr">
        <is>
          <t>SOFT SERVICE</t>
        </is>
      </c>
      <c r="G557" s="267" t="inlineStr">
        <is>
          <t>-</t>
        </is>
      </c>
      <c r="H557" s="267" t="n">
        <v>2615969454</v>
      </c>
      <c r="I557" s="233" t="inlineStr">
        <is>
          <t>Additional</t>
        </is>
      </c>
      <c r="J557" s="584" t="n">
        <v>46217</v>
      </c>
      <c r="K557" s="235" t="inlineStr">
        <is>
          <t xml:space="preserve">GULF VISION </t>
        </is>
      </c>
      <c r="L557" s="265" t="inlineStr">
        <is>
          <t>-</t>
        </is>
      </c>
      <c r="N557" s="178" t="n"/>
      <c r="O557" s="178" t="n"/>
      <c r="P557" s="178" t="n"/>
      <c r="Q557" s="178" t="n"/>
      <c r="R557" s="178" t="n"/>
      <c r="S557" s="178" t="n"/>
      <c r="T557" s="178" t="n"/>
    </row>
    <row r="558" ht="15.75" customHeight="1">
      <c r="A558" s="554" t="n"/>
      <c r="B558" s="453" t="n">
        <v>0</v>
      </c>
      <c r="C558" s="453" t="n">
        <v>1</v>
      </c>
      <c r="D558" s="459" t="n">
        <v>0</v>
      </c>
      <c r="E558" s="452" t="inlineStr">
        <is>
          <t>Roshan Lal Ram</t>
        </is>
      </c>
      <c r="F558" s="266" t="inlineStr">
        <is>
          <t>SOFT SERVICE</t>
        </is>
      </c>
      <c r="G558" s="267" t="inlineStr">
        <is>
          <t>-</t>
        </is>
      </c>
      <c r="H558" s="267" t="n">
        <v>2615974421</v>
      </c>
      <c r="I558" s="233" t="inlineStr">
        <is>
          <t>Additional</t>
        </is>
      </c>
      <c r="J558" s="584" t="n">
        <v>46217</v>
      </c>
      <c r="K558" s="235" t="inlineStr">
        <is>
          <t xml:space="preserve">GULF VISION </t>
        </is>
      </c>
      <c r="L558" s="265" t="inlineStr">
        <is>
          <t>-</t>
        </is>
      </c>
      <c r="N558" s="178" t="n"/>
      <c r="O558" s="178" t="n"/>
      <c r="P558" s="178" t="n"/>
      <c r="Q558" s="178" t="n"/>
      <c r="R558" s="178" t="n"/>
      <c r="S558" s="178" t="n"/>
      <c r="T558" s="178" t="n"/>
    </row>
    <row r="559" ht="15.75" customHeight="1">
      <c r="A559" s="554" t="n"/>
      <c r="B559" s="453" t="n">
        <v>0</v>
      </c>
      <c r="C559" s="453" t="n">
        <v>1</v>
      </c>
      <c r="D559" s="459" t="n">
        <v>0</v>
      </c>
      <c r="E559" s="452" t="inlineStr">
        <is>
          <t>Sanjay Ram</t>
        </is>
      </c>
      <c r="F559" s="266" t="inlineStr">
        <is>
          <t>SOFT SERVICE</t>
        </is>
      </c>
      <c r="G559" s="267" t="inlineStr">
        <is>
          <t>-</t>
        </is>
      </c>
      <c r="H559" s="267" t="n">
        <v>2615974967</v>
      </c>
      <c r="I559" s="233" t="inlineStr">
        <is>
          <t>Additional</t>
        </is>
      </c>
      <c r="J559" s="584" t="n">
        <v>46217</v>
      </c>
      <c r="K559" s="235" t="inlineStr">
        <is>
          <t xml:space="preserve">GULF VISION </t>
        </is>
      </c>
      <c r="L559" s="265" t="inlineStr">
        <is>
          <t>-</t>
        </is>
      </c>
      <c r="N559" s="178" t="n"/>
      <c r="O559" s="178" t="n"/>
      <c r="P559" s="178" t="n"/>
      <c r="Q559" s="178" t="n"/>
      <c r="R559" s="178" t="n"/>
      <c r="S559" s="178" t="n"/>
      <c r="T559" s="178" t="n"/>
    </row>
    <row r="560" ht="15.75" customHeight="1">
      <c r="A560" s="554" t="n"/>
      <c r="B560" s="453" t="n">
        <v>0</v>
      </c>
      <c r="C560" s="453" t="n">
        <v>1</v>
      </c>
      <c r="D560" s="459" t="n">
        <v>0</v>
      </c>
      <c r="E560" s="452" t="inlineStr">
        <is>
          <t>Mohd  Juber</t>
        </is>
      </c>
      <c r="F560" s="266" t="inlineStr">
        <is>
          <t>SOFT SERVICE</t>
        </is>
      </c>
      <c r="G560" s="267" t="inlineStr">
        <is>
          <t>-</t>
        </is>
      </c>
      <c r="H560" s="267" t="n">
        <v>2587575230</v>
      </c>
      <c r="I560" s="233" t="inlineStr">
        <is>
          <t>Additional</t>
        </is>
      </c>
      <c r="J560" s="584" t="n">
        <v>46217</v>
      </c>
      <c r="K560" s="235" t="inlineStr">
        <is>
          <t>MEHAN RENTAL</t>
        </is>
      </c>
      <c r="L560" s="265" t="inlineStr">
        <is>
          <t>-</t>
        </is>
      </c>
      <c r="N560" s="178" t="n"/>
      <c r="O560" s="178" t="n"/>
      <c r="P560" s="178" t="n"/>
      <c r="Q560" s="178" t="n"/>
      <c r="R560" s="178" t="n"/>
      <c r="S560" s="178" t="n"/>
      <c r="T560" s="178" t="n"/>
    </row>
    <row r="561" ht="15.75" customHeight="1">
      <c r="A561" s="554" t="n"/>
      <c r="B561" s="453" t="n">
        <v>0</v>
      </c>
      <c r="C561" s="453" t="n">
        <v>1</v>
      </c>
      <c r="D561" s="459" t="n">
        <v>0</v>
      </c>
      <c r="E561" s="452" t="inlineStr">
        <is>
          <t>Md Tanvir  Hosen</t>
        </is>
      </c>
      <c r="F561" s="266" t="inlineStr">
        <is>
          <t>SOFT SERVICE</t>
        </is>
      </c>
      <c r="G561" s="267" t="inlineStr">
        <is>
          <t>-</t>
        </is>
      </c>
      <c r="H561" s="267" t="n">
        <v>2637736634</v>
      </c>
      <c r="I561" s="233" t="inlineStr">
        <is>
          <t>Additional</t>
        </is>
      </c>
      <c r="J561" s="584" t="n">
        <v>46217</v>
      </c>
      <c r="K561" s="235" t="inlineStr">
        <is>
          <t>MEHAN RENTAL</t>
        </is>
      </c>
      <c r="L561" s="265" t="inlineStr">
        <is>
          <t>-</t>
        </is>
      </c>
      <c r="N561" s="178" t="n"/>
      <c r="O561" s="178" t="n"/>
      <c r="P561" s="178" t="n"/>
      <c r="Q561" s="178" t="n"/>
      <c r="R561" s="178" t="n"/>
      <c r="S561" s="178" t="n"/>
      <c r="T561" s="178" t="n"/>
    </row>
    <row r="562" ht="15.75" customHeight="1">
      <c r="A562" s="554" t="n"/>
      <c r="B562" s="453" t="n">
        <v>0</v>
      </c>
      <c r="C562" s="453" t="n">
        <v>1</v>
      </c>
      <c r="D562" s="459" t="n">
        <v>0</v>
      </c>
      <c r="E562" s="452" t="inlineStr">
        <is>
          <t>Md Deluar Hossain Dulal</t>
        </is>
      </c>
      <c r="F562" s="266" t="inlineStr">
        <is>
          <t>SOFT SERVICE</t>
        </is>
      </c>
      <c r="G562" s="267" t="inlineStr">
        <is>
          <t>-</t>
        </is>
      </c>
      <c r="H562" s="267" t="n">
        <v>2478105725</v>
      </c>
      <c r="I562" s="233" t="inlineStr">
        <is>
          <t>Additional</t>
        </is>
      </c>
      <c r="J562" s="584" t="n">
        <v>46217</v>
      </c>
      <c r="K562" s="235" t="inlineStr">
        <is>
          <t>MEHAN RENTAL</t>
        </is>
      </c>
      <c r="L562" s="265" t="inlineStr">
        <is>
          <t>-</t>
        </is>
      </c>
      <c r="N562" s="178" t="n"/>
      <c r="O562" s="178" t="n"/>
      <c r="P562" s="178" t="n"/>
      <c r="Q562" s="178" t="n"/>
      <c r="R562" s="178" t="n"/>
      <c r="S562" s="178" t="n"/>
      <c r="T562" s="178" t="n"/>
    </row>
    <row r="563" ht="15.75" customHeight="1">
      <c r="A563" s="554" t="n"/>
      <c r="B563" s="453" t="n">
        <v>0</v>
      </c>
      <c r="C563" s="453" t="n">
        <v>1</v>
      </c>
      <c r="D563" s="459" t="n">
        <v>0</v>
      </c>
      <c r="E563" s="452" t="inlineStr">
        <is>
          <t>Mahbub   Alam</t>
        </is>
      </c>
      <c r="F563" s="266" t="inlineStr">
        <is>
          <t>SOFT SERVICE</t>
        </is>
      </c>
      <c r="G563" s="267" t="inlineStr">
        <is>
          <t>-</t>
        </is>
      </c>
      <c r="H563" s="267" t="n">
        <v>2480241567</v>
      </c>
      <c r="I563" s="233" t="inlineStr">
        <is>
          <t>Additional</t>
        </is>
      </c>
      <c r="J563" s="584" t="n">
        <v>46217</v>
      </c>
      <c r="K563" s="235" t="inlineStr">
        <is>
          <t>MEHAN RENTAL</t>
        </is>
      </c>
      <c r="L563" s="265" t="inlineStr">
        <is>
          <t>-</t>
        </is>
      </c>
      <c r="N563" s="178" t="n"/>
      <c r="O563" s="178" t="n"/>
      <c r="P563" s="178" t="n"/>
      <c r="Q563" s="178" t="n"/>
      <c r="R563" s="178" t="n"/>
      <c r="S563" s="178" t="n"/>
      <c r="T563" s="178" t="n"/>
    </row>
    <row r="564" ht="15.75" customHeight="1">
      <c r="A564" s="554" t="n"/>
      <c r="B564" s="453" t="n">
        <v>0</v>
      </c>
      <c r="C564" s="453" t="n">
        <v>1</v>
      </c>
      <c r="D564" s="459" t="n">
        <v>0</v>
      </c>
      <c r="E564" s="452" t="inlineStr">
        <is>
          <t>Md Samim</t>
        </is>
      </c>
      <c r="F564" s="266" t="inlineStr">
        <is>
          <t>SOFT SERVICE</t>
        </is>
      </c>
      <c r="G564" s="267" t="inlineStr">
        <is>
          <t>-</t>
        </is>
      </c>
      <c r="H564" s="267" t="n">
        <v>2607347578</v>
      </c>
      <c r="I564" s="233" t="inlineStr">
        <is>
          <t>Additional</t>
        </is>
      </c>
      <c r="J564" s="584" t="n">
        <v>46217</v>
      </c>
      <c r="K564" s="235" t="inlineStr">
        <is>
          <t>MEHAN RENTAL</t>
        </is>
      </c>
      <c r="L564" s="265" t="inlineStr">
        <is>
          <t>-</t>
        </is>
      </c>
      <c r="N564" s="178" t="n"/>
      <c r="O564" s="178" t="n"/>
      <c r="P564" s="178" t="n"/>
      <c r="Q564" s="178" t="n"/>
      <c r="R564" s="178" t="n"/>
      <c r="S564" s="178" t="n"/>
      <c r="T564" s="178" t="n"/>
    </row>
    <row r="565" ht="15.75" customHeight="1">
      <c r="A565" s="554" t="n"/>
      <c r="B565" s="453" t="n">
        <v>0</v>
      </c>
      <c r="C565" s="453" t="n">
        <v>1</v>
      </c>
      <c r="D565" s="459" t="n">
        <v>0</v>
      </c>
      <c r="E565" s="452" t="inlineStr">
        <is>
          <t>Masoom Ali Azad Ali</t>
        </is>
      </c>
      <c r="F565" s="266" t="inlineStr">
        <is>
          <t>SOFT SERVICE</t>
        </is>
      </c>
      <c r="G565" s="267" t="inlineStr">
        <is>
          <t>-</t>
        </is>
      </c>
      <c r="H565" s="267" t="n">
        <v>2613560487</v>
      </c>
      <c r="I565" s="233" t="inlineStr">
        <is>
          <t>Additional</t>
        </is>
      </c>
      <c r="J565" s="584" t="n">
        <v>46217</v>
      </c>
      <c r="K565" s="235" t="inlineStr">
        <is>
          <t>MEHAN RENTAL</t>
        </is>
      </c>
      <c r="L565" s="265" t="inlineStr">
        <is>
          <t>-</t>
        </is>
      </c>
      <c r="N565" s="178" t="n"/>
      <c r="O565" s="178" t="n"/>
      <c r="P565" s="178" t="n"/>
      <c r="Q565" s="178" t="n"/>
      <c r="R565" s="178" t="n"/>
      <c r="S565" s="178" t="n"/>
      <c r="T565" s="178" t="n"/>
    </row>
    <row r="566" ht="15.75" customHeight="1">
      <c r="A566" s="554" t="n"/>
      <c r="B566" s="453" t="n">
        <v>0</v>
      </c>
      <c r="C566" s="453" t="n">
        <v>1</v>
      </c>
      <c r="D566" s="459" t="n">
        <v>0</v>
      </c>
      <c r="E566" s="452" t="inlineStr">
        <is>
          <t>Mohammad Saban - Saiyad</t>
        </is>
      </c>
      <c r="F566" s="266" t="inlineStr">
        <is>
          <t>SOFT SERVICE</t>
        </is>
      </c>
      <c r="G566" s="267" t="inlineStr">
        <is>
          <t>-</t>
        </is>
      </c>
      <c r="H566" s="267" t="n">
        <v>2614293294</v>
      </c>
      <c r="I566" s="233" t="inlineStr">
        <is>
          <t>Additional</t>
        </is>
      </c>
      <c r="J566" s="584" t="n">
        <v>46217</v>
      </c>
      <c r="K566" s="235" t="inlineStr">
        <is>
          <t>MEHAN RENTAL</t>
        </is>
      </c>
      <c r="L566" s="265" t="inlineStr">
        <is>
          <t>-</t>
        </is>
      </c>
      <c r="N566" s="178" t="n"/>
      <c r="O566" s="178" t="n"/>
      <c r="P566" s="178" t="n"/>
      <c r="Q566" s="178" t="n"/>
      <c r="R566" s="178" t="n"/>
      <c r="S566" s="178" t="n"/>
      <c r="T566" s="178" t="n"/>
    </row>
    <row r="567" ht="15.75" customHeight="1">
      <c r="A567" s="554" t="n"/>
      <c r="B567" s="453" t="n">
        <v>0</v>
      </c>
      <c r="C567" s="453" t="n">
        <v>1</v>
      </c>
      <c r="D567" s="459" t="n">
        <v>0</v>
      </c>
      <c r="E567" s="452" t="inlineStr">
        <is>
          <t>Abdul Rasheed</t>
        </is>
      </c>
      <c r="F567" s="266" t="inlineStr">
        <is>
          <t>SOFT SERVICE</t>
        </is>
      </c>
      <c r="G567" s="267" t="inlineStr">
        <is>
          <t>-</t>
        </is>
      </c>
      <c r="H567" s="267" t="n">
        <v>2618556027</v>
      </c>
      <c r="I567" s="233" t="inlineStr">
        <is>
          <t>Additional</t>
        </is>
      </c>
      <c r="J567" s="584" t="n">
        <v>46217</v>
      </c>
      <c r="K567" s="235" t="inlineStr">
        <is>
          <t>MEHAN RENTAL</t>
        </is>
      </c>
      <c r="L567" s="265" t="inlineStr">
        <is>
          <t>-</t>
        </is>
      </c>
      <c r="N567" s="178" t="n"/>
      <c r="O567" s="178" t="n"/>
      <c r="P567" s="178" t="n"/>
      <c r="Q567" s="178" t="n"/>
      <c r="R567" s="178" t="n"/>
      <c r="S567" s="178" t="n"/>
      <c r="T567" s="178" t="n"/>
    </row>
    <row r="568" ht="15.75" customHeight="1">
      <c r="A568" s="554" t="n"/>
      <c r="B568" s="453" t="n">
        <v>0</v>
      </c>
      <c r="C568" s="453" t="n">
        <v>1</v>
      </c>
      <c r="D568" s="459" t="n">
        <v>0</v>
      </c>
      <c r="E568" s="452" t="inlineStr">
        <is>
          <t>Noor Alam Sher Ali</t>
        </is>
      </c>
      <c r="F568" s="266" t="inlineStr">
        <is>
          <t>SOFT SERVICE</t>
        </is>
      </c>
      <c r="G568" s="267" t="inlineStr">
        <is>
          <t>-</t>
        </is>
      </c>
      <c r="H568" s="267" t="n">
        <v>2630509475</v>
      </c>
      <c r="I568" s="233" t="inlineStr">
        <is>
          <t>Additional</t>
        </is>
      </c>
      <c r="J568" s="584" t="n">
        <v>46217</v>
      </c>
      <c r="K568" s="235" t="inlineStr">
        <is>
          <t>MEHAN RENTAL</t>
        </is>
      </c>
      <c r="L568" s="265" t="inlineStr">
        <is>
          <t>-</t>
        </is>
      </c>
      <c r="N568" s="178" t="n"/>
      <c r="O568" s="178" t="n"/>
      <c r="P568" s="178" t="n"/>
      <c r="Q568" s="178" t="n"/>
      <c r="R568" s="178" t="n"/>
      <c r="S568" s="178" t="n"/>
      <c r="T568" s="178" t="n"/>
    </row>
    <row r="569" ht="15.75" customHeight="1">
      <c r="A569" s="554" t="n"/>
      <c r="B569" s="453" t="n">
        <v>0</v>
      </c>
      <c r="C569" s="453" t="n">
        <v>1</v>
      </c>
      <c r="D569" s="459" t="n">
        <v>0</v>
      </c>
      <c r="E569" s="452" t="inlineStr">
        <is>
          <t>Suresh Ramsevak</t>
        </is>
      </c>
      <c r="F569" s="266" t="inlineStr">
        <is>
          <t>SOFT SERVICE</t>
        </is>
      </c>
      <c r="G569" s="267" t="inlineStr">
        <is>
          <t>-</t>
        </is>
      </c>
      <c r="H569" s="267" t="n">
        <v>2630686729</v>
      </c>
      <c r="I569" s="233" t="inlineStr">
        <is>
          <t>Additional</t>
        </is>
      </c>
      <c r="J569" s="584" t="n">
        <v>46217</v>
      </c>
      <c r="K569" s="235" t="inlineStr">
        <is>
          <t>MEHAN RENTAL</t>
        </is>
      </c>
      <c r="L569" s="265" t="inlineStr">
        <is>
          <t>-</t>
        </is>
      </c>
      <c r="N569" s="178" t="n"/>
      <c r="O569" s="178" t="n"/>
      <c r="P569" s="178" t="n"/>
      <c r="Q569" s="178" t="n"/>
      <c r="R569" s="178" t="n"/>
      <c r="S569" s="178" t="n"/>
      <c r="T569" s="178" t="n"/>
    </row>
    <row r="570" ht="15.75" customHeight="1">
      <c r="A570" s="554" t="n"/>
      <c r="B570" s="453" t="n">
        <v>0</v>
      </c>
      <c r="C570" s="453" t="n">
        <v>1</v>
      </c>
      <c r="D570" s="459" t="n">
        <v>0</v>
      </c>
      <c r="E570" s="452" t="inlineStr">
        <is>
          <t>MD AZADUL PK</t>
        </is>
      </c>
      <c r="F570" s="266" t="inlineStr">
        <is>
          <t>SOFT SERVICE</t>
        </is>
      </c>
      <c r="G570" s="267" t="inlineStr">
        <is>
          <t>-</t>
        </is>
      </c>
      <c r="H570" s="277" t="inlineStr">
        <is>
          <t>-</t>
        </is>
      </c>
      <c r="I570" s="233" t="inlineStr">
        <is>
          <t>Additional</t>
        </is>
      </c>
      <c r="J570" s="584" t="n">
        <v>46257</v>
      </c>
      <c r="K570" s="235" t="inlineStr">
        <is>
          <t>-</t>
        </is>
      </c>
      <c r="L570" s="265" t="inlineStr">
        <is>
          <t>-</t>
        </is>
      </c>
      <c r="N570" s="178" t="n"/>
      <c r="O570" s="178" t="n"/>
      <c r="P570" s="178" t="n"/>
      <c r="Q570" s="178" t="n"/>
      <c r="R570" s="178" t="n"/>
      <c r="S570" s="178" t="n"/>
      <c r="T570" s="178" t="n"/>
    </row>
    <row r="571" ht="15.75" customHeight="1">
      <c r="A571" s="554" t="n"/>
      <c r="B571" s="453" t="n">
        <v>0</v>
      </c>
      <c r="C571" s="453" t="n">
        <v>1</v>
      </c>
      <c r="D571" s="459" t="n">
        <v>0</v>
      </c>
      <c r="E571" s="452" t="inlineStr">
        <is>
          <t>MD ATIK HASAN</t>
        </is>
      </c>
      <c r="F571" s="266" t="inlineStr">
        <is>
          <t>SOFT SERVICE</t>
        </is>
      </c>
      <c r="G571" s="267" t="inlineStr">
        <is>
          <t>-</t>
        </is>
      </c>
      <c r="H571" s="277" t="inlineStr">
        <is>
          <t>-</t>
        </is>
      </c>
      <c r="I571" s="233" t="inlineStr">
        <is>
          <t>Additional</t>
        </is>
      </c>
      <c r="J571" s="584" t="n">
        <v>46257</v>
      </c>
      <c r="K571" s="235" t="inlineStr">
        <is>
          <t>-</t>
        </is>
      </c>
      <c r="L571" s="265" t="inlineStr">
        <is>
          <t>-</t>
        </is>
      </c>
      <c r="N571" s="178" t="n"/>
      <c r="O571" s="178" t="n"/>
      <c r="P571" s="178" t="n"/>
      <c r="Q571" s="178" t="n"/>
      <c r="R571" s="178" t="n"/>
      <c r="S571" s="178" t="n"/>
      <c r="T571" s="178" t="n"/>
    </row>
    <row r="572" ht="15.75" customHeight="1">
      <c r="A572" s="554" t="n"/>
      <c r="B572" s="453" t="n">
        <v>0</v>
      </c>
      <c r="C572" s="453" t="n">
        <v>1</v>
      </c>
      <c r="D572" s="459" t="n">
        <v>0</v>
      </c>
      <c r="E572" s="452" t="inlineStr">
        <is>
          <t>MOHAMMAD ALI</t>
        </is>
      </c>
      <c r="F572" s="266" t="inlineStr">
        <is>
          <t>SOFT SERVICE</t>
        </is>
      </c>
      <c r="G572" s="267" t="inlineStr">
        <is>
          <t>-</t>
        </is>
      </c>
      <c r="H572" s="267" t="n">
        <v>2643061407</v>
      </c>
      <c r="I572" s="233" t="inlineStr">
        <is>
          <t>Additional</t>
        </is>
      </c>
      <c r="J572" s="584" t="n">
        <v>46257</v>
      </c>
      <c r="K572" s="235" t="inlineStr">
        <is>
          <t>-</t>
        </is>
      </c>
      <c r="L572" s="265" t="inlineStr">
        <is>
          <t>-</t>
        </is>
      </c>
      <c r="N572" s="178" t="n"/>
      <c r="O572" s="178" t="n"/>
      <c r="P572" s="178" t="n"/>
      <c r="Q572" s="178" t="n"/>
      <c r="R572" s="178" t="n"/>
      <c r="S572" s="178" t="n"/>
      <c r="T572" s="178" t="n"/>
    </row>
    <row r="573" ht="15.75" customHeight="1">
      <c r="A573" s="554" t="n"/>
      <c r="B573" s="453" t="n">
        <v>0</v>
      </c>
      <c r="C573" s="453" t="n">
        <v>1</v>
      </c>
      <c r="D573" s="459" t="n">
        <v>0</v>
      </c>
      <c r="E573" s="452" t="inlineStr">
        <is>
          <t>MUSTAFA MIA</t>
        </is>
      </c>
      <c r="F573" s="266" t="inlineStr">
        <is>
          <t>SOFT SERVICE</t>
        </is>
      </c>
      <c r="G573" s="267" t="inlineStr">
        <is>
          <t>-</t>
        </is>
      </c>
      <c r="H573" s="277" t="inlineStr">
        <is>
          <t>-</t>
        </is>
      </c>
      <c r="I573" s="233" t="inlineStr">
        <is>
          <t>Additional</t>
        </is>
      </c>
      <c r="J573" s="584" t="n">
        <v>46257</v>
      </c>
      <c r="K573" s="235" t="inlineStr">
        <is>
          <t>-</t>
        </is>
      </c>
      <c r="L573" s="265" t="inlineStr">
        <is>
          <t>-</t>
        </is>
      </c>
      <c r="N573" s="178" t="n"/>
      <c r="O573" s="178" t="n"/>
      <c r="P573" s="178" t="n"/>
      <c r="Q573" s="178" t="n"/>
      <c r="R573" s="178" t="n"/>
      <c r="S573" s="178" t="n"/>
      <c r="T573" s="178" t="n"/>
    </row>
    <row r="574" ht="15.75" customHeight="1">
      <c r="A574" s="554" t="n"/>
      <c r="B574" s="453" t="n">
        <v>0</v>
      </c>
      <c r="C574" s="453" t="n">
        <v>1</v>
      </c>
      <c r="D574" s="459" t="n">
        <v>0</v>
      </c>
      <c r="E574" s="452" t="inlineStr">
        <is>
          <t>MD NAZMUL HAQUE</t>
        </is>
      </c>
      <c r="F574" s="266" t="inlineStr">
        <is>
          <t>SOFT SERVICE</t>
        </is>
      </c>
      <c r="G574" s="267" t="inlineStr">
        <is>
          <t>-</t>
        </is>
      </c>
      <c r="H574" s="267" t="n">
        <v>2643189117</v>
      </c>
      <c r="I574" s="233" t="inlineStr">
        <is>
          <t>Additional</t>
        </is>
      </c>
      <c r="J574" s="584" t="n">
        <v>46257</v>
      </c>
      <c r="K574" s="235" t="inlineStr">
        <is>
          <t>-</t>
        </is>
      </c>
      <c r="L574" s="265" t="inlineStr">
        <is>
          <t>-</t>
        </is>
      </c>
      <c r="N574" s="178" t="n"/>
      <c r="O574" s="178" t="n"/>
      <c r="P574" s="178" t="n"/>
      <c r="Q574" s="178" t="n"/>
      <c r="R574" s="178" t="n"/>
      <c r="S574" s="178" t="n"/>
      <c r="T574" s="178" t="n"/>
    </row>
    <row r="575" ht="15.75" customHeight="1">
      <c r="A575" s="554" t="n"/>
      <c r="B575" s="453" t="n">
        <v>0</v>
      </c>
      <c r="C575" s="453" t="n">
        <v>1</v>
      </c>
      <c r="D575" s="459" t="n">
        <v>0</v>
      </c>
      <c r="E575" s="452" t="inlineStr">
        <is>
          <t>BORHAN UDDIN</t>
        </is>
      </c>
      <c r="F575" s="266" t="inlineStr">
        <is>
          <t>SOFT SERVICE</t>
        </is>
      </c>
      <c r="G575" s="267" t="inlineStr">
        <is>
          <t>-</t>
        </is>
      </c>
      <c r="H575" s="277" t="inlineStr">
        <is>
          <t>-</t>
        </is>
      </c>
      <c r="I575" s="233" t="inlineStr">
        <is>
          <t>Additional</t>
        </is>
      </c>
      <c r="J575" s="584" t="n">
        <v>46257</v>
      </c>
      <c r="K575" s="235" t="inlineStr">
        <is>
          <t>-</t>
        </is>
      </c>
      <c r="L575" s="265" t="inlineStr">
        <is>
          <t>-</t>
        </is>
      </c>
      <c r="N575" s="178" t="n"/>
      <c r="O575" s="178" t="n"/>
      <c r="P575" s="178" t="n"/>
      <c r="Q575" s="178" t="n"/>
      <c r="R575" s="178" t="n"/>
      <c r="S575" s="178" t="n"/>
      <c r="T575" s="178" t="n"/>
    </row>
    <row r="576" ht="15.75" customHeight="1">
      <c r="A576" s="554" t="n"/>
      <c r="B576" s="453" t="n">
        <v>0</v>
      </c>
      <c r="C576" s="453" t="n">
        <v>1</v>
      </c>
      <c r="D576" s="459" t="n">
        <v>0</v>
      </c>
      <c r="E576" s="452" t="inlineStr">
        <is>
          <t>KHALIL MUSTAFIZUR RAHMAN</t>
        </is>
      </c>
      <c r="F576" s="266" t="inlineStr">
        <is>
          <t>SOFT SERVICE</t>
        </is>
      </c>
      <c r="G576" s="267" t="inlineStr">
        <is>
          <t>-</t>
        </is>
      </c>
      <c r="H576" s="277" t="inlineStr">
        <is>
          <t>-</t>
        </is>
      </c>
      <c r="I576" s="233" t="inlineStr">
        <is>
          <t>Additional</t>
        </is>
      </c>
      <c r="J576" s="584" t="n">
        <v>46257</v>
      </c>
      <c r="K576" s="235" t="inlineStr">
        <is>
          <t>-</t>
        </is>
      </c>
      <c r="L576" s="265" t="inlineStr">
        <is>
          <t>-</t>
        </is>
      </c>
      <c r="N576" s="178" t="n"/>
      <c r="O576" s="178" t="n"/>
      <c r="P576" s="178" t="n"/>
      <c r="Q576" s="178" t="n"/>
      <c r="R576" s="178" t="n"/>
      <c r="S576" s="178" t="n"/>
      <c r="T576" s="178" t="n"/>
    </row>
    <row r="577" ht="15.75" customHeight="1">
      <c r="A577" s="554" t="n"/>
      <c r="B577" s="453" t="n">
        <v>0</v>
      </c>
      <c r="C577" s="453" t="n">
        <v>1</v>
      </c>
      <c r="D577" s="459" t="n">
        <v>0</v>
      </c>
      <c r="E577" s="452" t="inlineStr">
        <is>
          <t>MD ARIFUL ISLAM</t>
        </is>
      </c>
      <c r="F577" s="266" t="inlineStr">
        <is>
          <t>SOFT SERVICE</t>
        </is>
      </c>
      <c r="G577" s="267" t="inlineStr">
        <is>
          <t>-</t>
        </is>
      </c>
      <c r="H577" s="277" t="inlineStr">
        <is>
          <t>-</t>
        </is>
      </c>
      <c r="I577" s="233" t="inlineStr">
        <is>
          <t>Additional</t>
        </is>
      </c>
      <c r="J577" s="584" t="n">
        <v>46257</v>
      </c>
      <c r="K577" s="235" t="inlineStr">
        <is>
          <t>-</t>
        </is>
      </c>
      <c r="L577" s="265" t="inlineStr">
        <is>
          <t>-</t>
        </is>
      </c>
      <c r="N577" s="178" t="n"/>
      <c r="O577" s="178" t="n"/>
      <c r="P577" s="178" t="n"/>
      <c r="Q577" s="178" t="n"/>
      <c r="R577" s="178" t="n"/>
      <c r="S577" s="178" t="n"/>
      <c r="T577" s="178" t="n"/>
    </row>
    <row r="578" ht="15.75" customHeight="1">
      <c r="A578" s="553" t="n"/>
      <c r="B578" s="453" t="n">
        <v>0</v>
      </c>
      <c r="C578" s="453" t="n">
        <v>1</v>
      </c>
      <c r="D578" s="459" t="n">
        <v>0</v>
      </c>
      <c r="E578" s="452" t="inlineStr">
        <is>
          <t>MD HARES MIA</t>
        </is>
      </c>
      <c r="F578" s="266" t="inlineStr">
        <is>
          <t>SOFT SERVICE</t>
        </is>
      </c>
      <c r="G578" s="267" t="inlineStr">
        <is>
          <t>-</t>
        </is>
      </c>
      <c r="H578" s="277" t="inlineStr">
        <is>
          <t>-</t>
        </is>
      </c>
      <c r="I578" s="233" t="inlineStr">
        <is>
          <t>Additional</t>
        </is>
      </c>
      <c r="J578" s="584" t="n">
        <v>46257</v>
      </c>
      <c r="K578" s="235" t="inlineStr">
        <is>
          <t>-</t>
        </is>
      </c>
      <c r="L578" s="265" t="inlineStr">
        <is>
          <t>-</t>
        </is>
      </c>
      <c r="N578" s="178" t="n"/>
      <c r="O578" s="178" t="n"/>
      <c r="P578" s="178" t="n"/>
      <c r="Q578" s="178" t="n"/>
      <c r="R578" s="178" t="n"/>
      <c r="S578" s="178" t="n"/>
      <c r="T578" s="178" t="n"/>
    </row>
    <row r="579" ht="15.75" customHeight="1">
      <c r="A579" s="452" t="inlineStr">
        <is>
          <t>Plumbing Supervisor</t>
        </is>
      </c>
      <c r="B579" s="260" t="n">
        <v>0</v>
      </c>
      <c r="C579" s="453" t="n">
        <v>1</v>
      </c>
      <c r="D579" s="459" t="n">
        <v>0</v>
      </c>
      <c r="E579" s="452" t="inlineStr">
        <is>
          <t>Ishtiaq Ahmed</t>
        </is>
      </c>
      <c r="F579" s="266" t="inlineStr">
        <is>
          <t>Hard Service</t>
        </is>
      </c>
      <c r="G579" s="274" t="inlineStr">
        <is>
          <t>-</t>
        </is>
      </c>
      <c r="H579" s="232" t="n">
        <v>2420098002</v>
      </c>
      <c r="I579" s="233" t="inlineStr">
        <is>
          <t>Additional</t>
        </is>
      </c>
      <c r="J579" s="584" t="n">
        <v>46229</v>
      </c>
      <c r="K579" s="235" t="inlineStr">
        <is>
          <t>-</t>
        </is>
      </c>
      <c r="L579" s="265" t="inlineStr">
        <is>
          <t>-</t>
        </is>
      </c>
      <c r="N579" s="178" t="n"/>
      <c r="O579" s="178" t="n"/>
      <c r="P579" s="178" t="n"/>
      <c r="Q579" s="178" t="n"/>
      <c r="R579" s="178" t="n"/>
      <c r="S579" s="178" t="n"/>
      <c r="T579" s="178" t="n"/>
    </row>
    <row r="580" ht="15.75" customHeight="1">
      <c r="A580" s="553" t="n"/>
      <c r="B580" s="453" t="n">
        <v>0</v>
      </c>
      <c r="C580" s="453" t="n">
        <v>1</v>
      </c>
      <c r="D580" s="459" t="n">
        <v>0</v>
      </c>
      <c r="E580" s="452" t="inlineStr">
        <is>
          <t>ARUN YADAV</t>
        </is>
      </c>
      <c r="F580" s="266" t="inlineStr">
        <is>
          <t>Hard Service</t>
        </is>
      </c>
      <c r="G580" s="267" t="inlineStr">
        <is>
          <t>-</t>
        </is>
      </c>
      <c r="H580" s="267" t="inlineStr">
        <is>
          <t>-</t>
        </is>
      </c>
      <c r="I580" s="233" t="inlineStr">
        <is>
          <t>Additional</t>
        </is>
      </c>
      <c r="J580" s="584" t="n">
        <v>46235</v>
      </c>
      <c r="K580" s="235" t="inlineStr">
        <is>
          <t>-</t>
        </is>
      </c>
      <c r="L580" s="278" t="inlineStr">
        <is>
          <t>-</t>
        </is>
      </c>
      <c r="N580" s="178" t="n"/>
      <c r="O580" s="178" t="n"/>
      <c r="P580" s="178" t="n"/>
      <c r="Q580" s="178" t="n"/>
      <c r="R580" s="178" t="n"/>
      <c r="S580" s="178" t="n"/>
      <c r="T580" s="178" t="n"/>
    </row>
    <row r="581" ht="15.75" customHeight="1">
      <c r="A581" s="452" t="inlineStr">
        <is>
          <t>Pest Control Operative</t>
        </is>
      </c>
      <c r="B581" s="453" t="n">
        <v>0</v>
      </c>
      <c r="C581" s="453" t="n">
        <v>1</v>
      </c>
      <c r="D581" s="459" t="n">
        <v>0</v>
      </c>
      <c r="E581" s="452" t="inlineStr">
        <is>
          <t xml:space="preserve">MD. RONI AHMED </t>
        </is>
      </c>
      <c r="F581" s="266" t="inlineStr">
        <is>
          <t>SOFT SERVICE</t>
        </is>
      </c>
      <c r="G581" s="267" t="inlineStr">
        <is>
          <t>-</t>
        </is>
      </c>
      <c r="H581" s="273" t="n">
        <v>2594321636</v>
      </c>
      <c r="I581" s="233" t="inlineStr">
        <is>
          <t>Additional</t>
        </is>
      </c>
      <c r="J581" s="279" t="n">
        <v>46232</v>
      </c>
      <c r="K581" s="235" t="inlineStr">
        <is>
          <t>GULF VISION</t>
        </is>
      </c>
      <c r="L581" s="265" t="inlineStr">
        <is>
          <t>-</t>
        </is>
      </c>
      <c r="N581" s="178" t="n"/>
      <c r="O581" s="178" t="n"/>
      <c r="P581" s="178" t="n"/>
      <c r="Q581" s="178" t="n"/>
      <c r="R581" s="178" t="n"/>
      <c r="S581" s="178" t="n"/>
      <c r="T581" s="178" t="n"/>
    </row>
    <row r="582" ht="15.75" customHeight="1">
      <c r="A582" s="554" t="n"/>
      <c r="B582" s="453" t="n">
        <v>0</v>
      </c>
      <c r="C582" s="453" t="n">
        <v>1</v>
      </c>
      <c r="D582" s="459" t="n">
        <v>0</v>
      </c>
      <c r="E582" s="452" t="inlineStr">
        <is>
          <t xml:space="preserve">MD BILLAL HOSSAIN </t>
        </is>
      </c>
      <c r="F582" s="266" t="inlineStr">
        <is>
          <t>SOFT SERVICE</t>
        </is>
      </c>
      <c r="G582" s="267" t="inlineStr">
        <is>
          <t>-</t>
        </is>
      </c>
      <c r="H582" s="273" t="n">
        <v>2633957093</v>
      </c>
      <c r="I582" s="233" t="inlineStr">
        <is>
          <t>Additional</t>
        </is>
      </c>
      <c r="J582" s="279" t="n">
        <v>46232</v>
      </c>
      <c r="K582" s="235" t="inlineStr">
        <is>
          <t>GULF VISION</t>
        </is>
      </c>
      <c r="L582" s="265" t="inlineStr">
        <is>
          <t>-</t>
        </is>
      </c>
      <c r="N582" s="178" t="n"/>
      <c r="O582" s="178" t="n"/>
      <c r="P582" s="178" t="n"/>
      <c r="Q582" s="178" t="n"/>
      <c r="R582" s="178" t="n"/>
      <c r="S582" s="178" t="n"/>
      <c r="T582" s="178" t="n"/>
    </row>
    <row r="583" ht="15.75" customHeight="1">
      <c r="A583" s="554" t="n"/>
      <c r="B583" s="453" t="n">
        <v>0</v>
      </c>
      <c r="C583" s="453" t="n">
        <v>1</v>
      </c>
      <c r="D583" s="459" t="n">
        <v>0</v>
      </c>
      <c r="E583" s="452" t="inlineStr">
        <is>
          <t xml:space="preserve">MD. MARUF SHEIKH </t>
        </is>
      </c>
      <c r="F583" s="266" t="inlineStr">
        <is>
          <t>SOFT SERVICE</t>
        </is>
      </c>
      <c r="G583" s="267" t="inlineStr">
        <is>
          <t>-</t>
        </is>
      </c>
      <c r="H583" s="273" t="n">
        <v>2621343983</v>
      </c>
      <c r="I583" s="233" t="inlineStr">
        <is>
          <t>Additional</t>
        </is>
      </c>
      <c r="J583" s="279" t="n">
        <v>46232</v>
      </c>
      <c r="K583" s="235" t="inlineStr">
        <is>
          <t>GULF VISION</t>
        </is>
      </c>
      <c r="L583" s="265" t="inlineStr">
        <is>
          <t>-</t>
        </is>
      </c>
      <c r="N583" s="178" t="n"/>
      <c r="O583" s="178" t="n"/>
      <c r="P583" s="178" t="n"/>
      <c r="Q583" s="178" t="n"/>
      <c r="R583" s="178" t="n"/>
      <c r="S583" s="178" t="n"/>
      <c r="T583" s="178" t="n"/>
    </row>
    <row r="584" ht="15.75" customHeight="1">
      <c r="A584" s="554" t="n"/>
      <c r="B584" s="453" t="n">
        <v>0</v>
      </c>
      <c r="C584" s="453" t="n">
        <v>1</v>
      </c>
      <c r="D584" s="459" t="n">
        <v>0</v>
      </c>
      <c r="E584" s="452" t="inlineStr">
        <is>
          <t xml:space="preserve">KAMRUZZAMAN HARIJ </t>
        </is>
      </c>
      <c r="F584" s="266" t="inlineStr">
        <is>
          <t>SOFT SERVICE</t>
        </is>
      </c>
      <c r="G584" s="267" t="inlineStr">
        <is>
          <t>-</t>
        </is>
      </c>
      <c r="H584" s="273" t="n">
        <v>2633504689</v>
      </c>
      <c r="I584" s="233" t="inlineStr">
        <is>
          <t>Additional</t>
        </is>
      </c>
      <c r="J584" s="279" t="n">
        <v>46232</v>
      </c>
      <c r="K584" s="235" t="inlineStr">
        <is>
          <t>GULF VISION</t>
        </is>
      </c>
      <c r="L584" s="265" t="inlineStr">
        <is>
          <t>-</t>
        </is>
      </c>
      <c r="N584" s="178" t="n"/>
      <c r="O584" s="178" t="n"/>
      <c r="P584" s="178" t="n"/>
      <c r="Q584" s="178" t="n"/>
      <c r="R584" s="178" t="n"/>
      <c r="S584" s="178" t="n"/>
      <c r="T584" s="178" t="n"/>
    </row>
    <row r="585" ht="15.75" customHeight="1">
      <c r="A585" s="554" t="n"/>
      <c r="B585" s="453" t="n">
        <v>0</v>
      </c>
      <c r="C585" s="453" t="n">
        <v>1</v>
      </c>
      <c r="D585" s="459" t="n">
        <v>0</v>
      </c>
      <c r="E585" s="452" t="inlineStr">
        <is>
          <t xml:space="preserve">MD. ALAL MIA </t>
        </is>
      </c>
      <c r="F585" s="266" t="inlineStr">
        <is>
          <t>SOFT SERVICE</t>
        </is>
      </c>
      <c r="G585" s="267" t="inlineStr">
        <is>
          <t>-</t>
        </is>
      </c>
      <c r="H585" s="273" t="n">
        <v>2636050946</v>
      </c>
      <c r="I585" s="233" t="inlineStr">
        <is>
          <t>Additional</t>
        </is>
      </c>
      <c r="J585" s="279" t="n">
        <v>46232</v>
      </c>
      <c r="K585" s="235" t="inlineStr">
        <is>
          <t>GULF VISION</t>
        </is>
      </c>
      <c r="L585" s="265" t="inlineStr">
        <is>
          <t>-</t>
        </is>
      </c>
      <c r="N585" s="178" t="n"/>
      <c r="O585" s="178" t="n"/>
      <c r="P585" s="178" t="n"/>
      <c r="Q585" s="178" t="n"/>
      <c r="R585" s="178" t="n"/>
      <c r="S585" s="178" t="n"/>
      <c r="T585" s="178" t="n"/>
    </row>
    <row r="586" ht="15.75" customHeight="1">
      <c r="A586" s="554" t="n"/>
      <c r="B586" s="453" t="n">
        <v>0</v>
      </c>
      <c r="C586" s="453" t="n">
        <v>1</v>
      </c>
      <c r="D586" s="459" t="n">
        <v>0</v>
      </c>
      <c r="E586" s="452" t="inlineStr">
        <is>
          <t>MOHAMMAD JAKIR HOSSAIN</t>
        </is>
      </c>
      <c r="F586" s="266" t="inlineStr">
        <is>
          <t>SOFT SERVICE</t>
        </is>
      </c>
      <c r="G586" s="267" t="inlineStr">
        <is>
          <t>-</t>
        </is>
      </c>
      <c r="H586" s="273" t="n">
        <v>2624114449</v>
      </c>
      <c r="I586" s="233" t="inlineStr">
        <is>
          <t>Additional</t>
        </is>
      </c>
      <c r="J586" s="279" t="n">
        <v>46232</v>
      </c>
      <c r="K586" s="235" t="inlineStr">
        <is>
          <t>GULF VISION</t>
        </is>
      </c>
      <c r="L586" s="265" t="inlineStr">
        <is>
          <t>-</t>
        </is>
      </c>
      <c r="N586" s="178" t="n"/>
      <c r="O586" s="178" t="n"/>
      <c r="P586" s="178" t="n"/>
      <c r="Q586" s="178" t="n"/>
      <c r="R586" s="178" t="n"/>
      <c r="S586" s="178" t="n"/>
      <c r="T586" s="178" t="n"/>
    </row>
    <row r="587" ht="15.75" customHeight="1">
      <c r="A587" s="554" t="n"/>
      <c r="B587" s="453" t="n">
        <v>0</v>
      </c>
      <c r="C587" s="453" t="n">
        <v>1</v>
      </c>
      <c r="D587" s="459" t="n">
        <v>0</v>
      </c>
      <c r="E587" s="452" t="inlineStr">
        <is>
          <t xml:space="preserve">MODHU MIA </t>
        </is>
      </c>
      <c r="F587" s="266" t="inlineStr">
        <is>
          <t>SOFT SERVICE</t>
        </is>
      </c>
      <c r="G587" s="267" t="inlineStr">
        <is>
          <t>-</t>
        </is>
      </c>
      <c r="H587" s="273" t="n">
        <v>2634248049</v>
      </c>
      <c r="I587" s="233" t="inlineStr">
        <is>
          <t>Additional</t>
        </is>
      </c>
      <c r="J587" s="279" t="n">
        <v>46237</v>
      </c>
      <c r="K587" s="235" t="inlineStr">
        <is>
          <t>GULF VISION</t>
        </is>
      </c>
      <c r="L587" s="265" t="inlineStr">
        <is>
          <t>-</t>
        </is>
      </c>
      <c r="N587" s="178" t="n"/>
      <c r="O587" s="178" t="n"/>
      <c r="P587" s="178" t="n"/>
      <c r="Q587" s="178" t="n"/>
      <c r="R587" s="178" t="n"/>
      <c r="S587" s="178" t="n"/>
      <c r="T587" s="178" t="n"/>
    </row>
    <row r="588" ht="15.75" customHeight="1">
      <c r="A588" s="554" t="n"/>
      <c r="B588" s="453" t="n">
        <v>0</v>
      </c>
      <c r="C588" s="453" t="n">
        <v>1</v>
      </c>
      <c r="D588" s="459" t="n">
        <v>0</v>
      </c>
      <c r="E588" s="452" t="inlineStr">
        <is>
          <t xml:space="preserve">MD. HANIF KHANDAKER </t>
        </is>
      </c>
      <c r="F588" s="266" t="inlineStr">
        <is>
          <t>SOFT SERVICE</t>
        </is>
      </c>
      <c r="G588" s="267" t="inlineStr">
        <is>
          <t>-</t>
        </is>
      </c>
      <c r="H588" s="273" t="n">
        <v>2499121552</v>
      </c>
      <c r="I588" s="233" t="inlineStr">
        <is>
          <t>Additional</t>
        </is>
      </c>
      <c r="J588" s="279" t="n">
        <v>46233</v>
      </c>
      <c r="K588" s="235" t="inlineStr">
        <is>
          <t>GULF VISION</t>
        </is>
      </c>
      <c r="L588" s="265" t="inlineStr">
        <is>
          <t>-</t>
        </is>
      </c>
      <c r="N588" s="178" t="n"/>
      <c r="O588" s="178" t="n"/>
      <c r="P588" s="178" t="n"/>
      <c r="Q588" s="178" t="n"/>
      <c r="R588" s="178" t="n"/>
      <c r="S588" s="178" t="n"/>
      <c r="T588" s="178" t="n"/>
    </row>
    <row r="589" ht="15.75" customHeight="1">
      <c r="A589" s="554" t="n"/>
      <c r="B589" s="453" t="n">
        <v>0</v>
      </c>
      <c r="C589" s="453" t="n">
        <v>1</v>
      </c>
      <c r="D589" s="459" t="n">
        <v>0</v>
      </c>
      <c r="E589" s="452" t="inlineStr">
        <is>
          <t xml:space="preserve">SHEDUL ISLAM </t>
        </is>
      </c>
      <c r="F589" s="266" t="inlineStr">
        <is>
          <t>SOFT SERVICE</t>
        </is>
      </c>
      <c r="G589" s="267" t="inlineStr">
        <is>
          <t>-</t>
        </is>
      </c>
      <c r="H589" s="273" t="n">
        <v>2590557852</v>
      </c>
      <c r="I589" s="233" t="inlineStr">
        <is>
          <t>Additional</t>
        </is>
      </c>
      <c r="J589" s="279" t="n">
        <v>46233</v>
      </c>
      <c r="K589" s="235" t="inlineStr">
        <is>
          <t>GULF VISION</t>
        </is>
      </c>
      <c r="L589" s="265" t="inlineStr">
        <is>
          <t>-</t>
        </is>
      </c>
      <c r="N589" s="178" t="n"/>
      <c r="O589" s="178" t="n"/>
      <c r="P589" s="178" t="n"/>
      <c r="Q589" s="178" t="n"/>
      <c r="R589" s="178" t="n"/>
      <c r="S589" s="178" t="n"/>
      <c r="T589" s="178" t="n"/>
    </row>
    <row r="590" ht="15.75" customHeight="1">
      <c r="A590" s="554" t="n"/>
      <c r="B590" s="453" t="n">
        <v>0</v>
      </c>
      <c r="C590" s="453" t="n">
        <v>1</v>
      </c>
      <c r="D590" s="459" t="n">
        <v>0</v>
      </c>
      <c r="E590" s="277" t="inlineStr">
        <is>
          <t>MD JUAL RANA</t>
        </is>
      </c>
      <c r="F590" s="266" t="inlineStr">
        <is>
          <t>SOFT SERVICE</t>
        </is>
      </c>
      <c r="G590" s="267" t="inlineStr">
        <is>
          <t>-</t>
        </is>
      </c>
      <c r="H590" s="277" t="n">
        <v>2633155771</v>
      </c>
      <c r="I590" s="233" t="inlineStr">
        <is>
          <t>Additional</t>
        </is>
      </c>
      <c r="J590" s="279" t="n">
        <v>46611</v>
      </c>
      <c r="K590" s="235" t="inlineStr">
        <is>
          <t>-</t>
        </is>
      </c>
      <c r="L590" s="265" t="inlineStr">
        <is>
          <t>-</t>
        </is>
      </c>
      <c r="N590" s="178" t="n"/>
      <c r="O590" s="178" t="n"/>
      <c r="P590" s="178" t="n"/>
      <c r="Q590" s="178" t="n"/>
      <c r="R590" s="178" t="n"/>
      <c r="S590" s="178" t="n"/>
      <c r="T590" s="178" t="n"/>
    </row>
    <row r="591" ht="15.75" customHeight="1">
      <c r="A591" s="553" t="n"/>
      <c r="B591" s="453" t="n">
        <v>0</v>
      </c>
      <c r="C591" s="453" t="n">
        <v>1</v>
      </c>
      <c r="D591" s="459" t="n">
        <v>0</v>
      </c>
      <c r="E591" s="452" t="inlineStr">
        <is>
          <t xml:space="preserve">ABIR ISLAM </t>
        </is>
      </c>
      <c r="F591" s="266" t="inlineStr">
        <is>
          <t>SOFT SERVICE</t>
        </is>
      </c>
      <c r="G591" s="267" t="inlineStr">
        <is>
          <t>-</t>
        </is>
      </c>
      <c r="H591" s="273" t="n">
        <v>2611064367</v>
      </c>
      <c r="I591" s="233" t="inlineStr">
        <is>
          <t>Additional</t>
        </is>
      </c>
      <c r="J591" s="279" t="n">
        <v>46233</v>
      </c>
      <c r="K591" s="235" t="inlineStr">
        <is>
          <t>GULF VISION</t>
        </is>
      </c>
      <c r="L591" s="265" t="inlineStr">
        <is>
          <t>-</t>
        </is>
      </c>
      <c r="N591" s="178" t="n"/>
      <c r="O591" s="178" t="n"/>
      <c r="P591" s="178" t="n"/>
      <c r="Q591" s="178" t="n"/>
      <c r="R591" s="178" t="n"/>
      <c r="S591" s="178" t="n"/>
      <c r="T591" s="178" t="n"/>
    </row>
    <row r="592" ht="15.75" customHeight="1">
      <c r="A592" s="452" t="inlineStr">
        <is>
          <t>Mechanical Technician</t>
        </is>
      </c>
      <c r="B592" s="453" t="n">
        <v>0</v>
      </c>
      <c r="C592" s="453" t="n">
        <v>1</v>
      </c>
      <c r="D592" s="459" t="n">
        <v>0</v>
      </c>
      <c r="E592" s="452" t="inlineStr">
        <is>
          <t>Dilipbhai Govindbhai Solanki</t>
        </is>
      </c>
      <c r="F592" s="266" t="inlineStr">
        <is>
          <t>HARD SERVICE</t>
        </is>
      </c>
      <c r="G592" s="267" t="inlineStr">
        <is>
          <t>-</t>
        </is>
      </c>
      <c r="H592" s="267" t="n">
        <v>2639573878</v>
      </c>
      <c r="I592" s="233" t="inlineStr">
        <is>
          <t>Additional</t>
        </is>
      </c>
      <c r="J592" s="580" t="n"/>
      <c r="K592" s="235" t="inlineStr">
        <is>
          <t xml:space="preserve">RAMZ </t>
        </is>
      </c>
      <c r="L592" s="265" t="inlineStr">
        <is>
          <t>-</t>
        </is>
      </c>
      <c r="N592" s="178" t="n"/>
      <c r="O592" s="178" t="n"/>
      <c r="P592" s="178" t="n"/>
      <c r="Q592" s="178" t="n"/>
      <c r="R592" s="178" t="n"/>
      <c r="S592" s="178" t="n"/>
      <c r="T592" s="178" t="n"/>
    </row>
    <row r="593" ht="15.75" customHeight="1">
      <c r="A593" s="553" t="n"/>
      <c r="B593" s="453" t="n">
        <v>0</v>
      </c>
      <c r="C593" s="453" t="n">
        <v>1</v>
      </c>
      <c r="D593" s="459" t="n">
        <v>0</v>
      </c>
      <c r="E593" s="452" t="inlineStr">
        <is>
          <t>EMRAN SAYYED MOMIN</t>
        </is>
      </c>
      <c r="F593" s="266" t="inlineStr">
        <is>
          <t>Hard Service</t>
        </is>
      </c>
      <c r="G593" s="267" t="inlineStr">
        <is>
          <t>-</t>
        </is>
      </c>
      <c r="H593" s="267" t="inlineStr">
        <is>
          <t>-</t>
        </is>
      </c>
      <c r="I593" s="233" t="inlineStr">
        <is>
          <t>Additional</t>
        </is>
      </c>
      <c r="J593" s="279" t="n">
        <v>9707</v>
      </c>
      <c r="K593" s="235" t="inlineStr">
        <is>
          <t>-</t>
        </is>
      </c>
      <c r="L593" s="265" t="inlineStr">
        <is>
          <t>-</t>
        </is>
      </c>
      <c r="N593" s="178" t="n"/>
      <c r="O593" s="178" t="n"/>
      <c r="P593" s="178" t="n"/>
      <c r="Q593" s="178" t="n"/>
      <c r="R593" s="178" t="n"/>
      <c r="S593" s="178" t="n"/>
      <c r="T593" s="178" t="n"/>
    </row>
    <row r="594" ht="15.75" customHeight="1">
      <c r="A594" s="273" t="inlineStr">
        <is>
          <t>FIRE FIGHTER TECH</t>
        </is>
      </c>
      <c r="B594" s="453" t="n">
        <v>0</v>
      </c>
      <c r="C594" s="453" t="n">
        <v>1</v>
      </c>
      <c r="D594" s="459" t="n">
        <v>0</v>
      </c>
      <c r="E594" s="452" t="inlineStr">
        <is>
          <t>HAMZA MERAJ</t>
        </is>
      </c>
      <c r="F594" s="266" t="inlineStr">
        <is>
          <t>Hard Service</t>
        </is>
      </c>
      <c r="G594" s="267" t="inlineStr">
        <is>
          <t>-</t>
        </is>
      </c>
      <c r="H594" s="267" t="inlineStr">
        <is>
          <t>-</t>
        </is>
      </c>
      <c r="I594" s="233" t="inlineStr">
        <is>
          <t>Additional</t>
        </is>
      </c>
      <c r="J594" s="279" t="n">
        <v>9708</v>
      </c>
      <c r="K594" s="235" t="inlineStr">
        <is>
          <t>-</t>
        </is>
      </c>
      <c r="L594" s="265" t="inlineStr">
        <is>
          <t>-</t>
        </is>
      </c>
      <c r="N594" s="178" t="n"/>
      <c r="O594" s="178" t="n"/>
      <c r="P594" s="178" t="n"/>
      <c r="Q594" s="178" t="n"/>
      <c r="R594" s="178" t="n"/>
      <c r="S594" s="178" t="n"/>
      <c r="T594" s="178" t="n"/>
    </row>
    <row r="595" ht="15.75" customHeight="1">
      <c r="A595" s="458" t="inlineStr">
        <is>
          <t>FACILITIES ENGINEER</t>
        </is>
      </c>
      <c r="B595" s="458" t="n"/>
      <c r="C595" s="458" t="n"/>
      <c r="D595" s="458" t="n"/>
      <c r="E595" s="452" t="inlineStr">
        <is>
          <t>Md Khaled Saifullah</t>
        </is>
      </c>
      <c r="F595" s="266" t="inlineStr">
        <is>
          <t>Hard Service</t>
        </is>
      </c>
      <c r="G595" s="267" t="n"/>
      <c r="H595" s="267" t="n">
        <v>2643189513</v>
      </c>
      <c r="I595" s="233" t="inlineStr">
        <is>
          <t>Additional</t>
        </is>
      </c>
      <c r="J595" s="279" t="n">
        <v>46267</v>
      </c>
      <c r="K595" s="235" t="n"/>
      <c r="L595" s="265" t="n"/>
      <c r="N595" s="178" t="n"/>
      <c r="O595" s="178" t="n"/>
      <c r="P595" s="178" t="n"/>
      <c r="Q595" s="178" t="n"/>
      <c r="R595" s="178" t="n"/>
      <c r="S595" s="178" t="n"/>
      <c r="T595" s="178" t="n"/>
    </row>
    <row r="596" ht="15.75" customHeight="1">
      <c r="A596" s="553" t="n"/>
      <c r="B596" s="553" t="n"/>
      <c r="C596" s="553" t="n"/>
      <c r="D596" s="553" t="n"/>
      <c r="E596" s="452" t="inlineStr">
        <is>
          <t>SURAJ RAWAT</t>
        </is>
      </c>
      <c r="F596" s="266" t="inlineStr">
        <is>
          <t>Hard Service</t>
        </is>
      </c>
      <c r="G596" s="267" t="inlineStr">
        <is>
          <t>-</t>
        </is>
      </c>
      <c r="H596" s="267" t="inlineStr">
        <is>
          <t>-</t>
        </is>
      </c>
      <c r="I596" s="233" t="inlineStr">
        <is>
          <t>Additional</t>
        </is>
      </c>
      <c r="J596" s="279" t="n">
        <v>9709</v>
      </c>
      <c r="K596" s="235" t="inlineStr">
        <is>
          <t>-</t>
        </is>
      </c>
      <c r="L596" s="265" t="inlineStr">
        <is>
          <t>-</t>
        </is>
      </c>
      <c r="N596" s="178" t="n"/>
      <c r="O596" s="178" t="n"/>
      <c r="P596" s="178" t="n"/>
      <c r="Q596" s="178" t="n"/>
      <c r="R596" s="178" t="n"/>
      <c r="S596" s="178" t="n"/>
      <c r="T596" s="178" t="n"/>
    </row>
    <row r="597" ht="18.75" customHeight="1">
      <c r="A597" s="452" t="inlineStr">
        <is>
          <t>STP OPERATOR</t>
        </is>
      </c>
      <c r="B597" s="453" t="n">
        <v>0</v>
      </c>
      <c r="C597" s="453" t="n">
        <v>1</v>
      </c>
      <c r="D597" s="459" t="n">
        <v>0</v>
      </c>
      <c r="E597" s="452" t="inlineStr">
        <is>
          <t>JUNAID KHAN</t>
        </is>
      </c>
      <c r="F597" s="266" t="inlineStr">
        <is>
          <t>Hard Service</t>
        </is>
      </c>
      <c r="G597" s="267" t="inlineStr">
        <is>
          <t>-</t>
        </is>
      </c>
      <c r="H597" s="267" t="inlineStr">
        <is>
          <t>-</t>
        </is>
      </c>
      <c r="I597" s="233" t="inlineStr">
        <is>
          <t>Additional</t>
        </is>
      </c>
      <c r="J597" s="279" t="n">
        <v>9709</v>
      </c>
      <c r="K597" s="235" t="inlineStr">
        <is>
          <t>-</t>
        </is>
      </c>
      <c r="L597" s="265" t="inlineStr">
        <is>
          <t>-</t>
        </is>
      </c>
      <c r="N597" s="178" t="n"/>
      <c r="O597" s="178" t="n"/>
      <c r="P597" s="178" t="n"/>
      <c r="Q597" s="178" t="n"/>
      <c r="R597" s="178" t="n"/>
      <c r="S597" s="178" t="n"/>
      <c r="T597" s="178" t="n"/>
    </row>
    <row r="598" ht="18.75" customHeight="1">
      <c r="A598" s="458" t="inlineStr">
        <is>
          <t>CCTV OPERATOR</t>
        </is>
      </c>
      <c r="B598" s="453" t="n">
        <v>0</v>
      </c>
      <c r="C598" s="453" t="n">
        <v>1</v>
      </c>
      <c r="D598" s="453" t="n">
        <v>0</v>
      </c>
      <c r="E598" s="492" t="inlineStr">
        <is>
          <t>ABDULVAHAB SARFUDEEN</t>
        </is>
      </c>
      <c r="F598" s="266" t="inlineStr">
        <is>
          <t>Hard Service</t>
        </is>
      </c>
      <c r="G598" s="267" t="n"/>
      <c r="H598" s="267" t="inlineStr">
        <is>
          <t>X9389552</t>
        </is>
      </c>
      <c r="I598" s="233" t="inlineStr">
        <is>
          <t>Additional</t>
        </is>
      </c>
      <c r="J598" s="279" t="n">
        <v>46261</v>
      </c>
      <c r="K598" s="235" t="n"/>
      <c r="L598" s="265" t="n"/>
      <c r="N598" s="178" t="n"/>
      <c r="O598" s="178" t="n"/>
      <c r="P598" s="178" t="n"/>
      <c r="Q598" s="178" t="n"/>
      <c r="R598" s="178" t="n"/>
      <c r="S598" s="178" t="n"/>
      <c r="T598" s="178" t="n"/>
    </row>
    <row r="599" ht="15.75" customHeight="1">
      <c r="A599" s="553" t="n"/>
      <c r="B599" s="553" t="n"/>
      <c r="C599" s="553" t="n"/>
      <c r="D599" s="553" t="n"/>
      <c r="E599" s="452" t="inlineStr">
        <is>
          <t>KAMIL AZAD</t>
        </is>
      </c>
      <c r="F599" s="266" t="inlineStr">
        <is>
          <t>Hard Service</t>
        </is>
      </c>
      <c r="G599" s="267" t="inlineStr">
        <is>
          <t>-</t>
        </is>
      </c>
      <c r="H599" s="267" t="inlineStr">
        <is>
          <t>-</t>
        </is>
      </c>
      <c r="I599" s="233" t="inlineStr">
        <is>
          <t>Additional</t>
        </is>
      </c>
      <c r="J599" s="279" t="n">
        <v>9709</v>
      </c>
      <c r="K599" s="235" t="inlineStr">
        <is>
          <t>-</t>
        </is>
      </c>
      <c r="L599" s="265" t="inlineStr">
        <is>
          <t>-</t>
        </is>
      </c>
      <c r="N599" s="178" t="n"/>
      <c r="O599" s="178" t="n"/>
      <c r="P599" s="178" t="n"/>
      <c r="Q599" s="178" t="n"/>
      <c r="R599" s="178" t="n"/>
      <c r="S599" s="178" t="n"/>
      <c r="T599" s="178" t="n"/>
    </row>
    <row r="600" ht="15.75" customHeight="1">
      <c r="A600" s="458" t="inlineStr">
        <is>
          <t>ELECTRICAL TECHNICIAN</t>
        </is>
      </c>
      <c r="B600" s="453" t="n">
        <v>0</v>
      </c>
      <c r="C600" s="453" t="n">
        <v>1</v>
      </c>
      <c r="D600" s="459" t="n">
        <v>0</v>
      </c>
      <c r="E600" s="452" t="inlineStr">
        <is>
          <t>ZAHID ALI</t>
        </is>
      </c>
      <c r="F600" s="266" t="inlineStr">
        <is>
          <t>Hard Service</t>
        </is>
      </c>
      <c r="G600" s="267" t="inlineStr">
        <is>
          <t>-</t>
        </is>
      </c>
      <c r="H600" s="268" t="inlineStr">
        <is>
          <t>-</t>
        </is>
      </c>
      <c r="I600" s="233" t="inlineStr">
        <is>
          <t>Additional</t>
        </is>
      </c>
      <c r="J600" s="279" t="n">
        <v>46236</v>
      </c>
      <c r="K600" s="235" t="inlineStr">
        <is>
          <t>MEHAN</t>
        </is>
      </c>
      <c r="L600" s="265" t="inlineStr">
        <is>
          <t>-</t>
        </is>
      </c>
      <c r="N600" s="178" t="n"/>
      <c r="O600" s="178" t="n"/>
      <c r="P600" s="178" t="n"/>
      <c r="Q600" s="178" t="n"/>
      <c r="R600" s="178" t="n"/>
      <c r="S600" s="178" t="n"/>
      <c r="T600" s="178" t="n"/>
    </row>
    <row r="601" ht="15.75" customHeight="1">
      <c r="A601" s="554" t="n"/>
      <c r="B601" s="453" t="n">
        <v>0</v>
      </c>
      <c r="C601" s="453" t="n">
        <v>1</v>
      </c>
      <c r="D601" s="459" t="n">
        <v>0</v>
      </c>
      <c r="E601" s="452" t="inlineStr">
        <is>
          <t>MD SHAHDAB</t>
        </is>
      </c>
      <c r="F601" s="266" t="inlineStr">
        <is>
          <t>Hard Service</t>
        </is>
      </c>
      <c r="G601" s="267" t="inlineStr">
        <is>
          <t>-</t>
        </is>
      </c>
      <c r="H601" s="268" t="inlineStr">
        <is>
          <t>-</t>
        </is>
      </c>
      <c r="I601" s="233" t="inlineStr">
        <is>
          <t>Additional</t>
        </is>
      </c>
      <c r="J601" s="279" t="n">
        <v>46237</v>
      </c>
      <c r="K601" s="235" t="inlineStr">
        <is>
          <t>FMCO VISA</t>
        </is>
      </c>
      <c r="L601" s="265" t="inlineStr">
        <is>
          <t>-</t>
        </is>
      </c>
      <c r="N601" s="178" t="n"/>
      <c r="O601" s="178" t="n"/>
      <c r="P601" s="178" t="n"/>
      <c r="Q601" s="178" t="n"/>
      <c r="R601" s="178" t="n"/>
      <c r="S601" s="178" t="n"/>
      <c r="T601" s="178" t="n"/>
    </row>
    <row r="602" ht="15.75" customHeight="1">
      <c r="A602" s="554" t="n"/>
      <c r="B602" s="453" t="n">
        <v>0</v>
      </c>
      <c r="C602" s="453" t="n">
        <v>1</v>
      </c>
      <c r="D602" s="459" t="n">
        <v>0</v>
      </c>
      <c r="E602" s="146" t="inlineStr">
        <is>
          <t>MD TANWEER ALAM</t>
        </is>
      </c>
      <c r="F602" s="266" t="inlineStr">
        <is>
          <t>Hard Service</t>
        </is>
      </c>
      <c r="G602" s="267" t="inlineStr">
        <is>
          <t>-</t>
        </is>
      </c>
      <c r="H602" s="268" t="inlineStr">
        <is>
          <t>-</t>
        </is>
      </c>
      <c r="I602" s="233" t="inlineStr">
        <is>
          <t>Additional</t>
        </is>
      </c>
      <c r="J602" s="279" t="n">
        <v>46237</v>
      </c>
      <c r="K602" s="235" t="inlineStr">
        <is>
          <t>-</t>
        </is>
      </c>
      <c r="L602" s="265" t="inlineStr">
        <is>
          <t>-</t>
        </is>
      </c>
      <c r="N602" s="178" t="n"/>
      <c r="O602" s="178" t="n"/>
      <c r="P602" s="178" t="n"/>
      <c r="Q602" s="178" t="n"/>
      <c r="R602" s="178" t="n"/>
      <c r="S602" s="178" t="n"/>
      <c r="T602" s="178" t="n"/>
    </row>
    <row r="603" ht="15.75" customHeight="1">
      <c r="A603" s="554" t="n"/>
      <c r="B603" s="453" t="n">
        <v>0</v>
      </c>
      <c r="C603" s="453" t="n">
        <v>1</v>
      </c>
      <c r="D603" s="459" t="n">
        <v>0</v>
      </c>
      <c r="E603" s="146" t="inlineStr">
        <is>
          <t xml:space="preserve">MOHAMMAD SAHID HUSSAIN ANSARI </t>
        </is>
      </c>
      <c r="F603" s="266" t="inlineStr">
        <is>
          <t>Hard Service</t>
        </is>
      </c>
      <c r="G603" s="267" t="inlineStr">
        <is>
          <t>-</t>
        </is>
      </c>
      <c r="H603" s="268" t="inlineStr">
        <is>
          <t>-</t>
        </is>
      </c>
      <c r="I603" s="233" t="inlineStr">
        <is>
          <t>Additional</t>
        </is>
      </c>
      <c r="J603" s="279" t="n">
        <v>46237</v>
      </c>
      <c r="K603" s="235" t="inlineStr">
        <is>
          <t>-</t>
        </is>
      </c>
      <c r="L603" s="265" t="inlineStr">
        <is>
          <t>-</t>
        </is>
      </c>
      <c r="N603" s="178" t="n"/>
      <c r="O603" s="178" t="n"/>
      <c r="P603" s="178" t="n"/>
      <c r="Q603" s="178" t="n"/>
      <c r="R603" s="178" t="n"/>
      <c r="S603" s="178" t="n"/>
      <c r="T603" s="178" t="n"/>
    </row>
    <row r="604" ht="15.75" customHeight="1">
      <c r="A604" s="554" t="n"/>
      <c r="B604" s="453" t="n">
        <v>0</v>
      </c>
      <c r="C604" s="453" t="n">
        <v>1</v>
      </c>
      <c r="D604" s="459" t="n">
        <v>0</v>
      </c>
      <c r="E604" s="452" t="inlineStr">
        <is>
          <t>IZHARUL HAQUE</t>
        </is>
      </c>
      <c r="F604" s="266" t="inlineStr">
        <is>
          <t>Hard Service</t>
        </is>
      </c>
      <c r="G604" s="267" t="inlineStr">
        <is>
          <t>-</t>
        </is>
      </c>
      <c r="H604" s="267" t="inlineStr">
        <is>
          <t>-</t>
        </is>
      </c>
      <c r="I604" s="233" t="inlineStr">
        <is>
          <t>Additional</t>
        </is>
      </c>
      <c r="J604" s="279" t="n">
        <v>9708</v>
      </c>
      <c r="K604" s="235" t="inlineStr">
        <is>
          <t>-</t>
        </is>
      </c>
      <c r="L604" s="265" t="inlineStr">
        <is>
          <t>-</t>
        </is>
      </c>
      <c r="N604" s="178" t="n"/>
      <c r="O604" s="178" t="n"/>
      <c r="P604" s="178" t="n"/>
      <c r="Q604" s="178" t="n"/>
      <c r="R604" s="178" t="n"/>
      <c r="S604" s="178" t="n"/>
      <c r="T604" s="178" t="n"/>
    </row>
    <row r="605" ht="15.75" customHeight="1">
      <c r="A605" s="554" t="n"/>
      <c r="B605" s="453" t="n">
        <v>0</v>
      </c>
      <c r="C605" s="453" t="n">
        <v>1</v>
      </c>
      <c r="D605" s="459" t="n">
        <v>0</v>
      </c>
      <c r="E605" s="452" t="inlineStr">
        <is>
          <t>ZABIR ALI</t>
        </is>
      </c>
      <c r="F605" s="266" t="inlineStr">
        <is>
          <t>Hard Service</t>
        </is>
      </c>
      <c r="G605" s="267" t="inlineStr">
        <is>
          <t>-</t>
        </is>
      </c>
      <c r="H605" s="267" t="inlineStr">
        <is>
          <t>-</t>
        </is>
      </c>
      <c r="I605" s="233" t="inlineStr">
        <is>
          <t>Additional</t>
        </is>
      </c>
      <c r="J605" s="279" t="n">
        <v>9708</v>
      </c>
      <c r="K605" s="235" t="inlineStr">
        <is>
          <t>-</t>
        </is>
      </c>
      <c r="L605" s="265" t="inlineStr">
        <is>
          <t>-</t>
        </is>
      </c>
      <c r="N605" s="178" t="n"/>
      <c r="O605" s="178" t="n"/>
      <c r="P605" s="178" t="n"/>
      <c r="Q605" s="178" t="n"/>
      <c r="R605" s="178" t="n"/>
      <c r="S605" s="178" t="n"/>
      <c r="T605" s="178" t="n"/>
    </row>
    <row r="606" ht="15.75" customHeight="1">
      <c r="A606" s="554" t="n"/>
      <c r="B606" s="453" t="n">
        <v>0</v>
      </c>
      <c r="C606" s="453" t="n">
        <v>1</v>
      </c>
      <c r="D606" s="459" t="n">
        <v>0</v>
      </c>
      <c r="E606" s="452" t="inlineStr">
        <is>
          <t>MAROUF SIDDIQUI</t>
        </is>
      </c>
      <c r="F606" s="266" t="inlineStr">
        <is>
          <t>Hard Service</t>
        </is>
      </c>
      <c r="G606" s="267" t="inlineStr">
        <is>
          <t>-</t>
        </is>
      </c>
      <c r="H606" s="267" t="inlineStr">
        <is>
          <t>-</t>
        </is>
      </c>
      <c r="I606" s="233" t="inlineStr">
        <is>
          <t>Additional</t>
        </is>
      </c>
      <c r="J606" s="279" t="n">
        <v>9709</v>
      </c>
      <c r="K606" s="235" t="inlineStr">
        <is>
          <t>-</t>
        </is>
      </c>
      <c r="L606" s="265" t="inlineStr">
        <is>
          <t>-</t>
        </is>
      </c>
      <c r="N606" s="178" t="n"/>
      <c r="O606" s="178" t="n"/>
      <c r="P606" s="178" t="n"/>
      <c r="Q606" s="178" t="n"/>
      <c r="R606" s="178" t="n"/>
      <c r="S606" s="178" t="n"/>
      <c r="T606" s="178" t="n"/>
    </row>
    <row r="607" ht="15.75" customHeight="1">
      <c r="A607" s="554" t="n"/>
      <c r="B607" s="453" t="n">
        <v>0</v>
      </c>
      <c r="C607" s="453" t="n">
        <v>1</v>
      </c>
      <c r="D607" s="459" t="n">
        <v>0</v>
      </c>
      <c r="E607" s="452" t="inlineStr">
        <is>
          <t>RAASHID IQUBAL</t>
        </is>
      </c>
      <c r="F607" s="266" t="inlineStr">
        <is>
          <t>Hard Service</t>
        </is>
      </c>
      <c r="G607" s="267" t="inlineStr">
        <is>
          <t>-</t>
        </is>
      </c>
      <c r="H607" s="267" t="inlineStr">
        <is>
          <t>-</t>
        </is>
      </c>
      <c r="I607" s="233" t="inlineStr">
        <is>
          <t>Additional</t>
        </is>
      </c>
      <c r="J607" s="279" t="n">
        <v>9709</v>
      </c>
      <c r="K607" s="235" t="inlineStr">
        <is>
          <t>-</t>
        </is>
      </c>
      <c r="L607" s="265" t="inlineStr">
        <is>
          <t>-</t>
        </is>
      </c>
      <c r="N607" s="178" t="n"/>
      <c r="O607" s="178" t="n"/>
      <c r="P607" s="178" t="n"/>
      <c r="Q607" s="178" t="n"/>
      <c r="R607" s="178" t="n"/>
      <c r="S607" s="178" t="n"/>
      <c r="T607" s="178" t="n"/>
    </row>
    <row r="608" ht="15.75" customHeight="1">
      <c r="A608" s="553" t="n"/>
      <c r="B608" s="453" t="n">
        <v>0</v>
      </c>
      <c r="C608" s="453" t="n">
        <v>1</v>
      </c>
      <c r="D608" s="459" t="n">
        <v>0</v>
      </c>
      <c r="E608" s="452" t="inlineStr">
        <is>
          <t>VIKASH KUMAR</t>
        </is>
      </c>
      <c r="F608" s="266" t="inlineStr">
        <is>
          <t>Hard Service</t>
        </is>
      </c>
      <c r="G608" s="267" t="inlineStr">
        <is>
          <t>-</t>
        </is>
      </c>
      <c r="H608" s="268" t="inlineStr">
        <is>
          <t>-</t>
        </is>
      </c>
      <c r="I608" s="233" t="inlineStr">
        <is>
          <t>Additional</t>
        </is>
      </c>
      <c r="J608" s="279" t="n">
        <v>46236</v>
      </c>
      <c r="K608" s="235" t="inlineStr">
        <is>
          <t>MEHAN</t>
        </is>
      </c>
      <c r="L608" s="265" t="inlineStr">
        <is>
          <t>-</t>
        </is>
      </c>
      <c r="N608" s="178" t="n"/>
      <c r="O608" s="178" t="n"/>
      <c r="P608" s="178" t="n"/>
      <c r="Q608" s="178" t="n"/>
      <c r="R608" s="178" t="n"/>
      <c r="S608" s="178" t="n"/>
      <c r="T608" s="178" t="n"/>
    </row>
    <row r="609" ht="15.75" customHeight="1">
      <c r="A609" s="452" t="inlineStr">
        <is>
          <t>Mechanical Technician</t>
        </is>
      </c>
      <c r="B609" s="260" t="n">
        <v>0</v>
      </c>
      <c r="C609" s="453" t="n">
        <v>1</v>
      </c>
      <c r="D609" s="459" t="n">
        <v>0</v>
      </c>
      <c r="E609" s="452" t="inlineStr">
        <is>
          <t>Faiz Ahmed</t>
        </is>
      </c>
      <c r="F609" s="266" t="inlineStr">
        <is>
          <t>Hard Service</t>
        </is>
      </c>
      <c r="G609" s="274" t="n">
        <v>700316</v>
      </c>
      <c r="H609" s="232" t="n">
        <v>2481795074</v>
      </c>
      <c r="I609" s="233" t="inlineStr">
        <is>
          <t>Additional</t>
        </is>
      </c>
      <c r="J609" s="584" t="n">
        <v>46229</v>
      </c>
      <c r="K609" s="235" t="inlineStr">
        <is>
          <t>FMCO</t>
        </is>
      </c>
      <c r="L609" s="278" t="inlineStr">
        <is>
          <t>ON VACATION</t>
        </is>
      </c>
      <c r="N609" s="178" t="n"/>
      <c r="O609" s="178" t="n"/>
      <c r="P609" s="178" t="n"/>
      <c r="Q609" s="178" t="n"/>
      <c r="R609" s="178" t="n"/>
      <c r="S609" s="178" t="n"/>
      <c r="T609" s="178" t="n"/>
    </row>
    <row r="610" ht="15.75" customHeight="1">
      <c r="A610" s="452" t="inlineStr">
        <is>
          <t>Pest Controll specialist</t>
        </is>
      </c>
      <c r="B610" s="260" t="n">
        <v>0</v>
      </c>
      <c r="C610" s="453" t="n">
        <v>1</v>
      </c>
      <c r="D610" s="459" t="n">
        <v>0</v>
      </c>
      <c r="E610" s="452" t="inlineStr">
        <is>
          <t>Mohammad Imtiyaz Hussain Ansari</t>
        </is>
      </c>
      <c r="F610" s="230" t="inlineStr">
        <is>
          <t>Soft Service</t>
        </is>
      </c>
      <c r="G610" s="231" t="inlineStr">
        <is>
          <t>-</t>
        </is>
      </c>
      <c r="H610" s="232" t="inlineStr">
        <is>
          <t>-</t>
        </is>
      </c>
      <c r="I610" s="233" t="inlineStr">
        <is>
          <t>Additional</t>
        </is>
      </c>
      <c r="J610" s="235" t="inlineStr">
        <is>
          <t>-</t>
        </is>
      </c>
      <c r="K610" s="278" t="inlineStr">
        <is>
          <t>-</t>
        </is>
      </c>
      <c r="L610" s="278" t="inlineStr">
        <is>
          <t>-</t>
        </is>
      </c>
      <c r="N610" s="178" t="n"/>
      <c r="O610" s="178" t="n"/>
      <c r="P610" s="178" t="n"/>
      <c r="Q610" s="178" t="n"/>
      <c r="R610" s="178" t="n"/>
      <c r="S610" s="178" t="n"/>
      <c r="T610" s="178" t="n"/>
    </row>
    <row r="611" ht="15.75" customHeight="1">
      <c r="A611" s="452" t="inlineStr">
        <is>
          <t>ADMINISTRATOR/ RECERATION</t>
        </is>
      </c>
      <c r="B611" s="260" t="n">
        <v>0</v>
      </c>
      <c r="C611" s="453" t="n">
        <v>1</v>
      </c>
      <c r="D611" s="459" t="n">
        <v>0</v>
      </c>
      <c r="E611" s="452" t="inlineStr">
        <is>
          <t>MD MEHEDI HASAN APON</t>
        </is>
      </c>
      <c r="F611" s="230" t="inlineStr">
        <is>
          <t>Recreation</t>
        </is>
      </c>
      <c r="G611" s="231" t="inlineStr">
        <is>
          <t>EM-0004123</t>
        </is>
      </c>
      <c r="H611" s="232" t="n">
        <v>2643066273</v>
      </c>
      <c r="I611" s="233" t="inlineStr">
        <is>
          <t>Additional</t>
        </is>
      </c>
      <c r="J611" s="585" t="n">
        <v>46245</v>
      </c>
      <c r="K611" s="235" t="inlineStr">
        <is>
          <t>AL-FALAK VISA</t>
        </is>
      </c>
      <c r="L611" s="278" t="inlineStr">
        <is>
          <t>-</t>
        </is>
      </c>
      <c r="N611" s="178" t="n"/>
      <c r="O611" s="178" t="n"/>
      <c r="P611" s="178" t="n"/>
      <c r="Q611" s="178" t="n"/>
      <c r="R611" s="178" t="n"/>
      <c r="S611" s="178" t="n"/>
      <c r="T611" s="178" t="n"/>
    </row>
    <row r="612" ht="15.75" customHeight="1">
      <c r="A612" s="510" t="inlineStr">
        <is>
          <t>Male Cleaner</t>
        </is>
      </c>
      <c r="B612" s="455" t="n">
        <v>0</v>
      </c>
      <c r="C612" s="455" t="n">
        <v>2</v>
      </c>
      <c r="D612" s="455" t="n">
        <v>0</v>
      </c>
      <c r="E612" s="452" t="inlineStr">
        <is>
          <t>Jobayel Moral</t>
        </is>
      </c>
      <c r="F612" s="230" t="inlineStr">
        <is>
          <t>Soft Service</t>
        </is>
      </c>
      <c r="G612" s="231" t="n"/>
      <c r="H612" s="232" t="n"/>
      <c r="I612" s="233" t="inlineStr">
        <is>
          <t>Additional</t>
        </is>
      </c>
      <c r="J612" s="585" t="n"/>
      <c r="K612" s="235" t="n"/>
      <c r="L612" s="278" t="n"/>
      <c r="N612" s="178" t="n"/>
      <c r="O612" s="178" t="n"/>
      <c r="P612" s="178" t="n"/>
      <c r="Q612" s="178" t="n"/>
      <c r="R612" s="178" t="n"/>
      <c r="S612" s="178" t="n"/>
      <c r="T612" s="178" t="n"/>
    </row>
    <row r="613" ht="15.75" customHeight="1">
      <c r="A613" s="553" t="n"/>
      <c r="B613" s="553" t="n"/>
      <c r="C613" s="553" t="n"/>
      <c r="D613" s="553" t="n"/>
      <c r="E613" s="452" t="inlineStr">
        <is>
          <t>MD Tuhin Miah</t>
        </is>
      </c>
      <c r="F613" s="230" t="inlineStr">
        <is>
          <t>SOFT SERVICE</t>
        </is>
      </c>
      <c r="G613" s="231" t="inlineStr">
        <is>
          <t>-</t>
        </is>
      </c>
      <c r="H613" s="232" t="n">
        <v>2640707168</v>
      </c>
      <c r="I613" s="233" t="inlineStr">
        <is>
          <t>Additional</t>
        </is>
      </c>
      <c r="J613" s="585" t="n">
        <v>46243</v>
      </c>
      <c r="K613" s="235" t="inlineStr">
        <is>
          <t>-</t>
        </is>
      </c>
      <c r="L613" s="278" t="inlineStr">
        <is>
          <t>-</t>
        </is>
      </c>
      <c r="N613" s="178" t="n"/>
      <c r="O613" s="178" t="n"/>
      <c r="P613" s="178" t="n"/>
      <c r="Q613" s="178" t="n"/>
      <c r="R613" s="178" t="n"/>
      <c r="S613" s="178" t="n"/>
      <c r="T613" s="178" t="n"/>
    </row>
    <row r="614" ht="15.75" customHeight="1">
      <c r="A614" s="510" t="inlineStr">
        <is>
          <t>CAFM Operator</t>
        </is>
      </c>
      <c r="B614" s="260" t="n">
        <v>0</v>
      </c>
      <c r="C614" s="453" t="n">
        <v>1</v>
      </c>
      <c r="D614" s="459" t="n">
        <v>0</v>
      </c>
      <c r="E614" s="492" t="inlineStr">
        <is>
          <t>Som Kumar Munda</t>
        </is>
      </c>
      <c r="F614" s="230" t="inlineStr">
        <is>
          <t>Site Management</t>
        </is>
      </c>
      <c r="G614" s="231" t="n"/>
      <c r="H614" s="232" t="inlineStr">
        <is>
          <t>V9107540</t>
        </is>
      </c>
      <c r="I614" s="233" t="inlineStr">
        <is>
          <t>Additional</t>
        </is>
      </c>
      <c r="J614" s="585" t="n">
        <v>46268</v>
      </c>
      <c r="K614" s="235" t="n"/>
      <c r="L614" s="278" t="n"/>
      <c r="N614" s="178" t="n"/>
      <c r="O614" s="178" t="n"/>
      <c r="P614" s="178" t="n"/>
      <c r="Q614" s="178" t="n"/>
      <c r="R614" s="178" t="n"/>
      <c r="S614" s="178" t="n"/>
      <c r="T614" s="178" t="n"/>
    </row>
    <row r="615" ht="15.75" customHeight="1">
      <c r="A615" s="510" t="inlineStr">
        <is>
          <t>Facilities Inspector</t>
        </is>
      </c>
      <c r="B615" s="260" t="n">
        <v>0</v>
      </c>
      <c r="C615" s="453" t="n">
        <v>1</v>
      </c>
      <c r="D615" s="459" t="n">
        <v>0</v>
      </c>
      <c r="E615" s="505" t="inlineStr">
        <is>
          <t>Boncy Thomas</t>
        </is>
      </c>
      <c r="F615" s="230" t="inlineStr">
        <is>
          <t>Site Management</t>
        </is>
      </c>
      <c r="G615" s="231" t="n"/>
      <c r="H615" s="232" t="inlineStr">
        <is>
          <t>S2927667</t>
        </is>
      </c>
      <c r="I615" s="233" t="inlineStr">
        <is>
          <t>Additional</t>
        </is>
      </c>
      <c r="J615" s="585" t="n">
        <v>46267</v>
      </c>
      <c r="K615" s="235" t="n"/>
      <c r="L615" s="278" t="n"/>
      <c r="N615" s="178" t="n"/>
      <c r="O615" s="178" t="n"/>
      <c r="P615" s="178" t="n"/>
      <c r="Q615" s="178" t="n"/>
      <c r="R615" s="178" t="n"/>
      <c r="S615" s="178" t="n"/>
      <c r="T615" s="178" t="n"/>
    </row>
    <row r="616" ht="15.75" customHeight="1">
      <c r="A616" s="510" t="inlineStr">
        <is>
          <t>Office Boy</t>
        </is>
      </c>
      <c r="B616" s="260" t="n">
        <v>0</v>
      </c>
      <c r="C616" s="453" t="n">
        <v>1</v>
      </c>
      <c r="D616" s="459" t="n">
        <v>0</v>
      </c>
      <c r="E616" s="509" t="inlineStr">
        <is>
          <t>Md Ziarul Islam</t>
        </is>
      </c>
      <c r="F616" s="230" t="inlineStr">
        <is>
          <t>Site Management</t>
        </is>
      </c>
      <c r="G616" s="231" t="n"/>
      <c r="H616" s="232" t="inlineStr">
        <is>
          <t>A01892306</t>
        </is>
      </c>
      <c r="I616" s="233" t="inlineStr">
        <is>
          <t>Additional</t>
        </is>
      </c>
      <c r="J616" s="585" t="n">
        <v>46267</v>
      </c>
      <c r="K616" s="235" t="n"/>
      <c r="L616" s="278" t="n"/>
      <c r="N616" s="178" t="n"/>
      <c r="O616" s="178" t="n"/>
      <c r="P616" s="178" t="n"/>
      <c r="Q616" s="178" t="n"/>
      <c r="R616" s="178" t="n"/>
      <c r="S616" s="178" t="n"/>
      <c r="T616" s="178" t="n"/>
    </row>
    <row r="617" ht="15.75" customHeight="1">
      <c r="A617" s="510" t="inlineStr">
        <is>
          <t>SAFETY OFFICER</t>
        </is>
      </c>
      <c r="B617" s="260" t="n">
        <v>0</v>
      </c>
      <c r="C617" s="453" t="n">
        <v>1</v>
      </c>
      <c r="D617" s="459" t="n">
        <v>0</v>
      </c>
      <c r="E617" s="509" t="inlineStr">
        <is>
          <t>SOHRAB ANWAR</t>
        </is>
      </c>
      <c r="F617" s="230" t="inlineStr">
        <is>
          <t>HSE</t>
        </is>
      </c>
      <c r="G617" s="231" t="n"/>
      <c r="H617" s="232" t="n"/>
      <c r="I617" s="233" t="inlineStr">
        <is>
          <t>Additional</t>
        </is>
      </c>
      <c r="J617" s="585" t="n">
        <v>46292</v>
      </c>
      <c r="K617" s="235" t="n"/>
      <c r="L617" s="278" t="n"/>
      <c r="N617" s="178" t="n"/>
      <c r="O617" s="178" t="n"/>
      <c r="P617" s="178" t="n"/>
      <c r="Q617" s="178" t="n"/>
      <c r="R617" s="178" t="n"/>
      <c r="S617" s="178" t="n"/>
      <c r="T617" s="178" t="n"/>
    </row>
    <row r="618" ht="15.75" customHeight="1">
      <c r="A618" s="452" t="inlineStr">
        <is>
          <t>Tailor</t>
        </is>
      </c>
      <c r="B618" s="260" t="n">
        <v>0</v>
      </c>
      <c r="C618" s="453">
        <f>COUNTIF(E618,"&lt;&gt;")</f>
        <v/>
      </c>
      <c r="D618" s="459" t="n">
        <v>0</v>
      </c>
      <c r="E618" s="452" t="inlineStr">
        <is>
          <t>Sikandar Ali</t>
        </is>
      </c>
      <c r="F618" s="230" t="inlineStr">
        <is>
          <t>Soft Service</t>
        </is>
      </c>
      <c r="G618" s="230" t="inlineStr">
        <is>
          <t>C00937</t>
        </is>
      </c>
      <c r="H618" s="232" t="n">
        <v>2600062562</v>
      </c>
      <c r="I618" s="281" t="inlineStr">
        <is>
          <t>Additional</t>
        </is>
      </c>
      <c r="J618" s="585" t="n">
        <v>45757</v>
      </c>
      <c r="K618" s="235" t="inlineStr">
        <is>
          <t>MEHAN VISA</t>
        </is>
      </c>
      <c r="L618" s="278" t="inlineStr">
        <is>
          <t>-</t>
        </is>
      </c>
      <c r="N618" s="178" t="n"/>
      <c r="O618" s="178" t="n"/>
      <c r="P618" s="178" t="n"/>
      <c r="Q618" s="178" t="n"/>
      <c r="R618" s="178" t="n"/>
      <c r="S618" s="178" t="n"/>
      <c r="T618" s="178" t="n"/>
    </row>
    <row r="619" ht="27.75" customHeight="1">
      <c r="A619" s="282" t="inlineStr">
        <is>
          <t>Total Team 
Back-End Staff/Additional</t>
        </is>
      </c>
      <c r="B619" s="282" t="inlineStr">
        <is>
          <t>Contractual Requirement</t>
        </is>
      </c>
      <c r="C619" s="282" t="inlineStr">
        <is>
          <t>Approved</t>
        </is>
      </c>
      <c r="D619" s="282" t="inlineStr">
        <is>
          <t>Vacant Position</t>
        </is>
      </c>
      <c r="E619" s="283" t="inlineStr">
        <is>
          <t>Rejected</t>
        </is>
      </c>
      <c r="F619" s="284" t="inlineStr">
        <is>
          <t xml:space="preserve">Additional </t>
        </is>
      </c>
      <c r="G619" s="284" t="inlineStr">
        <is>
          <t>ID</t>
        </is>
      </c>
      <c r="H619" s="284" t="inlineStr">
        <is>
          <t>Iqama</t>
        </is>
      </c>
      <c r="I619" s="283" t="inlineStr">
        <is>
          <t>Status</t>
        </is>
      </c>
      <c r="J619" s="590" t="n"/>
      <c r="K619" s="286" t="n"/>
      <c r="L619" s="284" t="inlineStr">
        <is>
          <t>Remark/Notes</t>
        </is>
      </c>
      <c r="N619" s="178" t="n"/>
      <c r="O619" s="178" t="n"/>
      <c r="P619" s="178" t="n"/>
      <c r="Q619" s="178" t="n"/>
      <c r="R619" s="178" t="n"/>
      <c r="S619" s="178" t="n"/>
      <c r="T619" s="178" t="n"/>
    </row>
    <row r="620" ht="15.75" customHeight="1">
      <c r="A620" s="376">
        <f>COUNTIF(E524:E618,"&lt;&gt;")</f>
        <v/>
      </c>
      <c r="B620" s="376">
        <f>SUM(B537:B618)</f>
        <v/>
      </c>
      <c r="C620" s="376">
        <f>COUNTIF(I524:I618,"Approved")</f>
        <v/>
      </c>
      <c r="D620" s="376">
        <f>COUNTIF(I524:I618,"Approved")</f>
        <v/>
      </c>
      <c r="E620" s="376">
        <f>COUNTIF(I524:I618,"Approved")</f>
        <v/>
      </c>
      <c r="F620" s="377">
        <f>COUNTIF(I524:I618,"Additional")</f>
        <v/>
      </c>
      <c r="G620" s="377">
        <f>COUNTIF(G524:G618,"-")</f>
        <v/>
      </c>
      <c r="H620" s="377">
        <f>COUNTIF(H524:H618,"-")</f>
        <v/>
      </c>
      <c r="I620" s="378" t="n"/>
      <c r="J620" s="591" t="n"/>
      <c r="K620" s="378" t="n"/>
      <c r="L620" s="378" t="n"/>
      <c r="N620" s="178" t="n"/>
      <c r="O620" s="178" t="n"/>
      <c r="P620" s="178" t="n"/>
      <c r="Q620" s="178" t="n"/>
      <c r="R620" s="178" t="n"/>
      <c r="S620" s="178" t="n"/>
      <c r="T620" s="178" t="n"/>
    </row>
    <row r="621"/>
    <row r="622"/>
    <row r="623"/>
    <row r="624"/>
    <row r="625"/>
    <row r="626"/>
    <row r="627">
      <c r="H627" s="179" t="n"/>
      <c r="I627" s="578" t="n"/>
      <c r="J627" s="179" t="n"/>
      <c r="K627" s="182" t="n"/>
      <c r="L627" s="178" t="n"/>
      <c r="M627" s="183" t="n"/>
    </row>
    <row r="628">
      <c r="H628" s="578" t="n"/>
      <c r="J628" s="182" t="n"/>
      <c r="K628" s="178" t="n"/>
      <c r="L628" s="183" t="n"/>
      <c r="M628" s="183" t="n"/>
    </row>
    <row r="629">
      <c r="H629" s="578" t="n"/>
      <c r="J629" s="182" t="n"/>
      <c r="K629" s="178" t="n"/>
      <c r="L629" s="183" t="n"/>
      <c r="M629" s="183" t="n"/>
    </row>
    <row r="630">
      <c r="H630" s="182" t="n"/>
      <c r="I630" s="178" t="n"/>
      <c r="J630" s="183" t="n"/>
      <c r="K630" s="183" t="n"/>
      <c r="L630" s="183" t="n"/>
      <c r="M630" s="183" t="n"/>
    </row>
    <row r="631">
      <c r="H631" s="182" t="n"/>
      <c r="I631" s="178" t="n"/>
      <c r="J631" s="183" t="n"/>
      <c r="K631" s="183" t="n"/>
      <c r="L631" s="183" t="n"/>
      <c r="M631" s="183" t="n"/>
    </row>
    <row r="632">
      <c r="H632" s="182" t="n"/>
      <c r="I632" s="178" t="n"/>
      <c r="J632" s="183" t="n"/>
      <c r="K632" s="183" t="n"/>
      <c r="L632" s="183" t="n"/>
      <c r="M632" s="183" t="n"/>
    </row>
    <row r="633">
      <c r="H633" s="182" t="n"/>
      <c r="I633" s="178" t="n"/>
      <c r="J633" s="183" t="n"/>
      <c r="K633" s="183" t="n"/>
      <c r="L633" s="183" t="n"/>
      <c r="M633" s="183" t="n"/>
    </row>
    <row r="634">
      <c r="H634" s="182" t="n"/>
      <c r="I634" s="178" t="n"/>
      <c r="J634" s="183" t="n"/>
      <c r="K634" s="183" t="n"/>
      <c r="L634" s="183" t="n"/>
      <c r="M634" s="183" t="n"/>
    </row>
    <row r="635">
      <c r="H635" s="182" t="n"/>
      <c r="I635" s="178" t="n"/>
      <c r="J635" s="183" t="n"/>
      <c r="K635" s="183" t="n"/>
      <c r="L635" s="183" t="n"/>
      <c r="M635" s="183" t="n"/>
    </row>
    <row r="636">
      <c r="H636" s="182" t="n"/>
      <c r="I636" s="178" t="n"/>
      <c r="J636" s="183" t="n"/>
      <c r="K636" s="183" t="n"/>
      <c r="L636" s="183" t="n"/>
      <c r="M636" s="183" t="n"/>
    </row>
    <row r="637">
      <c r="H637" s="182" t="n"/>
      <c r="I637" s="178" t="n"/>
      <c r="J637" s="183" t="n"/>
      <c r="K637" s="183" t="n"/>
      <c r="L637" s="183" t="n"/>
      <c r="M637" s="183" t="n"/>
    </row>
    <row r="638">
      <c r="H638" s="182" t="n"/>
      <c r="I638" s="178" t="n"/>
      <c r="J638" s="183" t="n"/>
      <c r="K638" s="183" t="n"/>
      <c r="L638" s="183" t="n"/>
      <c r="M638" s="183" t="n"/>
    </row>
    <row r="639">
      <c r="H639" s="182" t="n"/>
      <c r="I639" s="178" t="n"/>
      <c r="J639" s="183" t="n"/>
      <c r="K639" s="183" t="n"/>
      <c r="L639" s="183" t="n"/>
      <c r="M639" s="183" t="n"/>
    </row>
    <row r="640">
      <c r="H640" s="182" t="n"/>
      <c r="I640" s="178" t="n"/>
      <c r="J640" s="183" t="n"/>
      <c r="K640" s="183" t="n"/>
      <c r="L640" s="183" t="n"/>
      <c r="M640" s="183" t="n"/>
    </row>
    <row r="641">
      <c r="H641" s="182" t="n"/>
      <c r="I641" s="178" t="n"/>
      <c r="J641" s="183" t="n"/>
      <c r="K641" s="183" t="n"/>
      <c r="L641" s="183" t="n"/>
      <c r="M641" s="183" t="n"/>
    </row>
    <row r="642">
      <c r="H642" s="182" t="n"/>
      <c r="I642" s="178" t="n"/>
      <c r="J642" s="183" t="n"/>
      <c r="K642" s="183" t="n"/>
      <c r="L642" s="183" t="n"/>
      <c r="M642" s="183" t="n"/>
    </row>
    <row r="643">
      <c r="H643" s="182" t="n"/>
      <c r="I643" s="178" t="n"/>
      <c r="J643" s="183" t="n"/>
      <c r="K643" s="183" t="n"/>
      <c r="L643" s="183" t="n"/>
      <c r="M643" s="183" t="n"/>
    </row>
    <row r="644">
      <c r="H644" s="182" t="n"/>
      <c r="I644" s="178" t="n"/>
      <c r="J644" s="183" t="n"/>
      <c r="K644" s="183" t="n"/>
      <c r="L644" s="183" t="n"/>
      <c r="M644" s="183" t="n"/>
    </row>
    <row r="645">
      <c r="H645" s="182" t="n"/>
      <c r="I645" s="178" t="n"/>
      <c r="J645" s="183" t="n"/>
      <c r="K645" s="183" t="n"/>
      <c r="L645" s="183" t="n"/>
      <c r="M645" s="183" t="n"/>
    </row>
    <row r="646">
      <c r="H646" s="182" t="n"/>
      <c r="I646" s="178" t="n"/>
      <c r="J646" s="183" t="n"/>
      <c r="K646" s="183" t="n"/>
      <c r="L646" s="183" t="n"/>
      <c r="M646" s="183" t="n"/>
    </row>
    <row r="647">
      <c r="H647" s="182" t="n"/>
      <c r="I647" s="178" t="n"/>
      <c r="J647" s="183" t="n"/>
      <c r="K647" s="183" t="n"/>
      <c r="L647" s="183" t="n"/>
      <c r="M647" s="183" t="n"/>
    </row>
    <row r="648">
      <c r="H648" s="182" t="n"/>
      <c r="I648" s="178" t="n"/>
      <c r="J648" s="183" t="n"/>
      <c r="K648" s="183" t="n"/>
      <c r="L648" s="183" t="n"/>
      <c r="M648" s="183" t="n"/>
    </row>
    <row r="649">
      <c r="H649" s="182" t="n"/>
      <c r="I649" s="178" t="n"/>
      <c r="J649" s="183" t="n"/>
      <c r="K649" s="183" t="n"/>
      <c r="L649" s="183" t="n"/>
      <c r="M649" s="183" t="n"/>
    </row>
    <row r="650">
      <c r="H650" s="182" t="n"/>
      <c r="I650" s="178" t="n"/>
      <c r="J650" s="183" t="n"/>
      <c r="K650" s="183" t="n"/>
      <c r="L650" s="183" t="n"/>
      <c r="M650" s="183" t="n"/>
    </row>
    <row r="651">
      <c r="H651" s="182" t="n"/>
      <c r="I651" s="178" t="n"/>
      <c r="J651" s="183" t="n"/>
      <c r="K651" s="183" t="n"/>
      <c r="L651" s="183" t="n"/>
      <c r="M651" s="183" t="n"/>
    </row>
    <row r="652">
      <c r="H652" s="182" t="n"/>
      <c r="I652" s="178" t="n"/>
      <c r="J652" s="183" t="n"/>
      <c r="K652" s="183" t="n"/>
      <c r="L652" s="183" t="n"/>
      <c r="M652" s="183" t="n"/>
    </row>
    <row r="653">
      <c r="H653" s="182" t="n"/>
      <c r="I653" s="178" t="n"/>
      <c r="J653" s="183" t="n"/>
      <c r="K653" s="183" t="n"/>
      <c r="L653" s="183" t="n"/>
      <c r="M653" s="183" t="n"/>
    </row>
    <row r="654">
      <c r="H654" s="182" t="n"/>
      <c r="I654" s="178" t="n"/>
      <c r="J654" s="183" t="n"/>
      <c r="K654" s="183" t="n"/>
      <c r="L654" s="183" t="n"/>
      <c r="M654" s="183" t="n"/>
    </row>
    <row r="655">
      <c r="H655" s="182" t="n"/>
      <c r="I655" s="178" t="n"/>
      <c r="J655" s="183" t="n"/>
      <c r="K655" s="183" t="n"/>
      <c r="L655" s="183" t="n"/>
      <c r="M655" s="183" t="n"/>
    </row>
    <row r="656">
      <c r="H656" s="182" t="n"/>
      <c r="I656" s="178" t="n"/>
      <c r="J656" s="183" t="n"/>
      <c r="K656" s="183" t="n"/>
      <c r="L656" s="183" t="n"/>
      <c r="M656" s="183" t="n"/>
    </row>
    <row r="657">
      <c r="H657" s="182" t="n"/>
      <c r="I657" s="178" t="n"/>
      <c r="J657" s="183" t="n"/>
      <c r="K657" s="183" t="n"/>
      <c r="L657" s="183" t="n"/>
      <c r="M657" s="183" t="n"/>
    </row>
    <row r="658">
      <c r="H658" s="179" t="n"/>
      <c r="I658" s="182" t="n"/>
      <c r="J658" s="178" t="n"/>
      <c r="K658" s="183" t="n"/>
      <c r="L658" s="183" t="n"/>
      <c r="M658" s="183" t="n"/>
    </row>
    <row r="659">
      <c r="H659" s="179" t="n"/>
      <c r="I659" s="182" t="n"/>
      <c r="J659" s="178" t="n"/>
      <c r="K659" s="183" t="n"/>
      <c r="L659" s="183" t="n"/>
      <c r="M659" s="183" t="n"/>
    </row>
    <row r="660">
      <c r="H660" s="179" t="n"/>
      <c r="I660" s="182" t="n"/>
      <c r="J660" s="178" t="n"/>
      <c r="K660" s="183" t="n"/>
      <c r="L660" s="183" t="n"/>
      <c r="M660" s="183" t="n"/>
    </row>
    <row r="661">
      <c r="H661" s="179" t="n"/>
      <c r="I661" s="182" t="n"/>
      <c r="J661" s="178" t="n"/>
      <c r="K661" s="183" t="n"/>
      <c r="L661" s="183" t="n"/>
      <c r="M661" s="183" t="n"/>
    </row>
    <row r="662">
      <c r="H662" s="179" t="n"/>
      <c r="I662" s="182" t="n"/>
      <c r="J662" s="178" t="n"/>
      <c r="K662" s="183" t="n"/>
      <c r="L662" s="183" t="n"/>
      <c r="M662" s="183" t="n"/>
    </row>
    <row r="663">
      <c r="H663" s="179" t="n"/>
      <c r="I663" s="182" t="n"/>
      <c r="J663" s="178" t="n"/>
      <c r="K663" s="183" t="n"/>
      <c r="L663" s="183" t="n"/>
      <c r="M663" s="183" t="n"/>
    </row>
    <row r="664">
      <c r="H664" s="179" t="n"/>
      <c r="I664" s="182" t="n"/>
      <c r="J664" s="178" t="n"/>
      <c r="K664" s="183" t="n"/>
      <c r="L664" s="183" t="n"/>
      <c r="M664" s="183" t="n"/>
    </row>
    <row r="665">
      <c r="H665" s="179" t="n"/>
      <c r="I665" s="182" t="n"/>
      <c r="J665" s="178" t="n"/>
      <c r="K665" s="183" t="n"/>
      <c r="L665" s="183" t="n"/>
      <c r="M665" s="183" t="n"/>
    </row>
    <row r="666">
      <c r="H666" s="179" t="n"/>
      <c r="I666" s="182" t="n"/>
      <c r="J666" s="178" t="n"/>
      <c r="K666" s="183" t="n"/>
      <c r="L666" s="183" t="n"/>
      <c r="M666" s="183" t="n"/>
    </row>
    <row r="667">
      <c r="H667" s="179" t="n"/>
      <c r="I667" s="182" t="n"/>
      <c r="J667" s="178" t="n"/>
      <c r="K667" s="183" t="n"/>
      <c r="L667" s="183" t="n"/>
      <c r="M667" s="183" t="n"/>
    </row>
    <row r="668">
      <c r="H668" s="179" t="n"/>
      <c r="I668" s="182" t="n"/>
      <c r="J668" s="178" t="n"/>
      <c r="K668" s="183" t="n"/>
      <c r="L668" s="183" t="n"/>
      <c r="M668" s="183" t="n"/>
    </row>
    <row r="669">
      <c r="H669" s="179" t="n"/>
      <c r="I669" s="182" t="n"/>
      <c r="J669" s="178" t="n"/>
      <c r="K669" s="183" t="n"/>
      <c r="L669" s="183" t="n"/>
      <c r="M669" s="183" t="n"/>
    </row>
    <row r="670">
      <c r="H670" s="179" t="n"/>
      <c r="I670" s="182" t="n"/>
      <c r="J670" s="178" t="n"/>
      <c r="K670" s="183" t="n"/>
      <c r="L670" s="183" t="n"/>
      <c r="M670" s="183" t="n"/>
    </row>
    <row r="671">
      <c r="H671" s="179" t="n"/>
      <c r="I671" s="182" t="n"/>
      <c r="J671" s="178" t="n"/>
      <c r="K671" s="183" t="n"/>
      <c r="L671" s="183" t="n"/>
      <c r="M671" s="183" t="n"/>
    </row>
    <row r="672">
      <c r="H672" s="179" t="n"/>
      <c r="I672" s="182" t="n"/>
      <c r="J672" s="178" t="n"/>
      <c r="K672" s="183" t="n"/>
      <c r="L672" s="183" t="n"/>
      <c r="M672" s="183" t="n"/>
    </row>
    <row r="673">
      <c r="H673" s="179" t="n"/>
      <c r="I673" s="182" t="n"/>
      <c r="J673" s="178" t="n"/>
      <c r="K673" s="183" t="n"/>
      <c r="L673" s="183" t="n"/>
      <c r="M673" s="183" t="n"/>
    </row>
    <row r="674">
      <c r="H674" s="179" t="n"/>
      <c r="I674" s="182" t="n"/>
      <c r="J674" s="178" t="n"/>
      <c r="K674" s="183" t="n"/>
      <c r="L674" s="183" t="n"/>
      <c r="M674" s="183" t="n"/>
    </row>
    <row r="675">
      <c r="H675" s="179" t="n"/>
      <c r="I675" s="182" t="n"/>
      <c r="J675" s="178" t="n"/>
      <c r="K675" s="183" t="n"/>
      <c r="L675" s="183" t="n"/>
      <c r="M675" s="183" t="n"/>
    </row>
    <row r="676">
      <c r="H676" s="179" t="n"/>
      <c r="I676" s="182" t="n"/>
      <c r="J676" s="178" t="n"/>
      <c r="K676" s="183" t="n"/>
      <c r="L676" s="183" t="n"/>
      <c r="M676" s="183" t="n"/>
    </row>
    <row r="677">
      <c r="H677" s="179" t="n"/>
      <c r="I677" s="182" t="n"/>
      <c r="J677" s="178" t="n"/>
      <c r="K677" s="183" t="n"/>
      <c r="L677" s="183" t="n"/>
      <c r="M677" s="183" t="n"/>
    </row>
    <row r="678">
      <c r="H678" s="179" t="n"/>
      <c r="I678" s="182" t="n"/>
      <c r="J678" s="178" t="n"/>
      <c r="K678" s="183" t="n"/>
      <c r="L678" s="183" t="n"/>
      <c r="M678" s="183" t="n"/>
    </row>
    <row r="679">
      <c r="H679" s="179" t="n"/>
      <c r="I679" s="182" t="n"/>
      <c r="J679" s="178" t="n"/>
      <c r="K679" s="183" t="n"/>
      <c r="L679" s="183" t="n"/>
      <c r="M679" s="183" t="n"/>
    </row>
    <row r="680">
      <c r="H680" s="179" t="n"/>
      <c r="I680" s="182" t="n"/>
      <c r="J680" s="178" t="n"/>
      <c r="K680" s="183" t="n"/>
      <c r="L680" s="183" t="n"/>
      <c r="M680" s="183" t="n"/>
    </row>
    <row r="681">
      <c r="H681" s="179" t="n"/>
      <c r="I681" s="182" t="n"/>
      <c r="J681" s="178" t="n"/>
      <c r="K681" s="183" t="n"/>
      <c r="L681" s="183" t="n"/>
      <c r="M681" s="183" t="n"/>
    </row>
    <row r="682">
      <c r="H682" s="179" t="n"/>
      <c r="I682" s="182" t="n"/>
      <c r="J682" s="178" t="n"/>
      <c r="K682" s="183" t="n"/>
      <c r="L682" s="183" t="n"/>
      <c r="M682" s="183" t="n"/>
    </row>
    <row r="683">
      <c r="H683" s="179" t="n"/>
      <c r="I683" s="182" t="n"/>
      <c r="J683" s="178" t="n"/>
      <c r="K683" s="183" t="n"/>
      <c r="L683" s="183" t="n"/>
      <c r="M683" s="183" t="n"/>
    </row>
    <row r="684">
      <c r="H684" s="179" t="n"/>
      <c r="I684" s="182" t="n"/>
      <c r="J684" s="178" t="n"/>
      <c r="K684" s="183" t="n"/>
      <c r="L684" s="183" t="n"/>
      <c r="M684" s="183" t="n"/>
    </row>
    <row r="685">
      <c r="H685" s="179" t="n"/>
      <c r="I685" s="182" t="n"/>
      <c r="J685" s="178" t="n"/>
      <c r="K685" s="183" t="n"/>
      <c r="L685" s="183" t="n"/>
      <c r="M685" s="183" t="n"/>
    </row>
    <row r="686">
      <c r="H686" s="179" t="n"/>
      <c r="I686" s="182" t="n"/>
      <c r="J686" s="178" t="n"/>
      <c r="K686" s="183" t="n"/>
      <c r="L686" s="183" t="n"/>
      <c r="M686" s="183" t="n"/>
    </row>
    <row r="687">
      <c r="H687" s="179" t="n"/>
      <c r="I687" s="182" t="n"/>
      <c r="J687" s="178" t="n"/>
      <c r="K687" s="183" t="n"/>
      <c r="L687" s="183" t="n"/>
      <c r="M687" s="183" t="n"/>
    </row>
    <row r="688">
      <c r="H688" s="179" t="n"/>
      <c r="I688" s="182" t="n"/>
      <c r="J688" s="178" t="n"/>
      <c r="K688" s="183" t="n"/>
      <c r="L688" s="183" t="n"/>
      <c r="M688" s="183" t="n"/>
    </row>
    <row r="689">
      <c r="H689" s="179" t="n"/>
      <c r="I689" s="182" t="n"/>
      <c r="J689" s="178" t="n"/>
      <c r="K689" s="183" t="n"/>
      <c r="L689" s="183" t="n"/>
      <c r="M689" s="183" t="n"/>
    </row>
    <row r="690">
      <c r="H690" s="179" t="n"/>
      <c r="I690" s="182" t="n"/>
      <c r="J690" s="178" t="n"/>
      <c r="K690" s="183" t="n"/>
      <c r="L690" s="183" t="n"/>
      <c r="M690" s="183" t="n"/>
    </row>
    <row r="691">
      <c r="H691" s="179" t="n"/>
      <c r="I691" s="182" t="n"/>
      <c r="J691" s="178" t="n"/>
      <c r="K691" s="183" t="n"/>
      <c r="L691" s="183" t="n"/>
      <c r="M691" s="183" t="n"/>
    </row>
    <row r="692">
      <c r="H692" s="179" t="n"/>
      <c r="I692" s="182" t="n"/>
      <c r="J692" s="178" t="n"/>
      <c r="K692" s="183" t="n"/>
      <c r="L692" s="183" t="n"/>
      <c r="M692" s="183" t="n"/>
    </row>
    <row r="693">
      <c r="H693" s="179" t="n"/>
      <c r="I693" s="182" t="n"/>
      <c r="J693" s="178" t="n"/>
      <c r="K693" s="183" t="n"/>
      <c r="L693" s="183" t="n"/>
      <c r="M693" s="183" t="n"/>
    </row>
    <row r="694">
      <c r="H694" s="179" t="n"/>
      <c r="I694" s="182" t="n"/>
      <c r="J694" s="178" t="n"/>
      <c r="K694" s="183" t="n"/>
      <c r="L694" s="183" t="n"/>
      <c r="M694" s="183" t="n"/>
    </row>
    <row r="695">
      <c r="H695" s="179" t="n"/>
      <c r="I695" s="182" t="n"/>
      <c r="J695" s="178" t="n"/>
      <c r="K695" s="183" t="n"/>
      <c r="L695" s="183" t="n"/>
      <c r="M695" s="183" t="n"/>
    </row>
    <row r="696">
      <c r="H696" s="179" t="n"/>
      <c r="I696" s="182" t="n"/>
      <c r="J696" s="178" t="n"/>
      <c r="K696" s="183" t="n"/>
      <c r="L696" s="183" t="n"/>
      <c r="M696" s="183" t="n"/>
    </row>
    <row r="697">
      <c r="H697" s="179" t="n"/>
      <c r="I697" s="182" t="n"/>
      <c r="J697" s="178" t="n"/>
      <c r="K697" s="183" t="n"/>
      <c r="L697" s="183" t="n"/>
      <c r="M697" s="183" t="n"/>
    </row>
    <row r="698">
      <c r="H698" s="179" t="n"/>
      <c r="I698" s="182" t="n"/>
      <c r="J698" s="178" t="n"/>
      <c r="K698" s="183" t="n"/>
      <c r="L698" s="183" t="n"/>
      <c r="M698" s="183" t="n"/>
    </row>
    <row r="699">
      <c r="H699" s="179" t="n"/>
      <c r="I699" s="182" t="n"/>
      <c r="J699" s="178" t="n"/>
      <c r="K699" s="183" t="n"/>
      <c r="L699" s="183" t="n"/>
      <c r="M699" s="183" t="n"/>
    </row>
    <row r="700">
      <c r="H700" s="179" t="n"/>
      <c r="I700" s="182" t="n"/>
      <c r="J700" s="178" t="n"/>
      <c r="K700" s="183" t="n"/>
      <c r="L700" s="183" t="n"/>
      <c r="M700" s="183" t="n"/>
    </row>
    <row r="701">
      <c r="H701" s="179" t="n"/>
      <c r="I701" s="182" t="n"/>
      <c r="J701" s="178" t="n"/>
      <c r="K701" s="183" t="n"/>
      <c r="L701" s="183" t="n"/>
      <c r="M701" s="183" t="n"/>
    </row>
    <row r="702">
      <c r="H702" s="179" t="n"/>
      <c r="I702" s="182" t="n"/>
      <c r="J702" s="178" t="n"/>
      <c r="K702" s="183" t="n"/>
      <c r="L702" s="183" t="n"/>
      <c r="M702" s="183" t="n"/>
    </row>
    <row r="703">
      <c r="H703" s="179" t="n"/>
      <c r="I703" s="182" t="n"/>
      <c r="J703" s="178" t="n"/>
      <c r="K703" s="183" t="n"/>
      <c r="L703" s="183" t="n"/>
      <c r="M703" s="183" t="n"/>
    </row>
    <row r="704">
      <c r="H704" s="179" t="n"/>
      <c r="I704" s="182" t="n"/>
      <c r="J704" s="178" t="n"/>
      <c r="K704" s="183" t="n"/>
      <c r="L704" s="183" t="n"/>
      <c r="M704" s="183" t="n"/>
    </row>
    <row r="705">
      <c r="H705" s="179" t="n"/>
      <c r="I705" s="182" t="n"/>
      <c r="J705" s="178" t="n"/>
      <c r="K705" s="183" t="n"/>
      <c r="L705" s="183" t="n"/>
      <c r="M705" s="183" t="n"/>
    </row>
    <row r="706">
      <c r="H706" s="179" t="n"/>
      <c r="I706" s="182" t="n"/>
      <c r="J706" s="178" t="n"/>
      <c r="K706" s="183" t="n"/>
      <c r="L706" s="183" t="n"/>
      <c r="M706" s="183" t="n"/>
    </row>
    <row r="707">
      <c r="H707" s="179" t="n"/>
      <c r="I707" s="182" t="n"/>
      <c r="J707" s="178" t="n"/>
      <c r="K707" s="183" t="n"/>
      <c r="L707" s="183" t="n"/>
      <c r="M707" s="183" t="n"/>
    </row>
    <row r="708">
      <c r="H708" s="179" t="n"/>
      <c r="I708" s="182" t="n"/>
      <c r="J708" s="178" t="n"/>
      <c r="K708" s="183" t="n"/>
      <c r="L708" s="183" t="n"/>
      <c r="M708" s="183" t="n"/>
    </row>
    <row r="709">
      <c r="H709" s="179" t="n"/>
      <c r="I709" s="182" t="n"/>
      <c r="J709" s="178" t="n"/>
      <c r="K709" s="183" t="n"/>
      <c r="L709" s="183" t="n"/>
      <c r="M709" s="183" t="n"/>
    </row>
    <row r="710">
      <c r="H710" s="179" t="n"/>
      <c r="I710" s="182" t="n"/>
      <c r="J710" s="178" t="n"/>
      <c r="K710" s="183" t="n"/>
      <c r="L710" s="183" t="n"/>
      <c r="M710" s="183" t="n"/>
    </row>
    <row r="711">
      <c r="H711" s="179" t="n"/>
      <c r="I711" s="182" t="n"/>
      <c r="J711" s="178" t="n"/>
      <c r="K711" s="183" t="n"/>
      <c r="L711" s="183" t="n"/>
      <c r="M711" s="183" t="n"/>
    </row>
    <row r="712">
      <c r="H712" s="179" t="n"/>
      <c r="I712" s="182" t="n"/>
      <c r="J712" s="178" t="n"/>
      <c r="K712" s="183" t="n"/>
      <c r="L712" s="183" t="n"/>
      <c r="M712" s="183" t="n"/>
    </row>
    <row r="713">
      <c r="H713" s="179" t="n"/>
      <c r="I713" s="182" t="n"/>
      <c r="J713" s="178" t="n"/>
      <c r="K713" s="183" t="n"/>
      <c r="L713" s="183" t="n"/>
      <c r="M713" s="183" t="n"/>
    </row>
    <row r="714">
      <c r="H714" s="179" t="n"/>
      <c r="I714" s="182" t="n"/>
      <c r="J714" s="178" t="n"/>
      <c r="K714" s="183" t="n"/>
      <c r="L714" s="183" t="n"/>
      <c r="M714" s="183" t="n"/>
    </row>
    <row r="715">
      <c r="H715" s="179" t="n"/>
      <c r="I715" s="182" t="n"/>
      <c r="J715" s="178" t="n"/>
      <c r="K715" s="183" t="n"/>
      <c r="L715" s="183" t="n"/>
      <c r="M715" s="183" t="n"/>
    </row>
    <row r="716">
      <c r="H716" s="179" t="n"/>
      <c r="I716" s="182" t="n"/>
      <c r="J716" s="178" t="n"/>
      <c r="K716" s="183" t="n"/>
      <c r="L716" s="183" t="n"/>
      <c r="M716" s="183" t="n"/>
    </row>
    <row r="717">
      <c r="H717" s="179" t="n"/>
      <c r="I717" s="182" t="n"/>
      <c r="J717" s="178" t="n"/>
      <c r="K717" s="183" t="n"/>
      <c r="L717" s="183" t="n"/>
      <c r="M717" s="183" t="n"/>
    </row>
    <row r="718">
      <c r="H718" s="179" t="n"/>
      <c r="I718" s="182" t="n"/>
      <c r="J718" s="178" t="n"/>
      <c r="K718" s="183" t="n"/>
      <c r="L718" s="183" t="n"/>
      <c r="M718" s="183" t="n"/>
    </row>
    <row r="719">
      <c r="H719" s="578" t="n"/>
      <c r="J719" s="182" t="n"/>
      <c r="K719" s="178" t="n"/>
      <c r="L719" s="183" t="n"/>
      <c r="M719" s="183" t="n"/>
    </row>
    <row r="720">
      <c r="H720" s="578" t="n"/>
      <c r="J720" s="182" t="n"/>
      <c r="K720" s="178" t="n"/>
      <c r="L720" s="183" t="n"/>
      <c r="M720" s="183" t="n"/>
    </row>
    <row r="721">
      <c r="H721" s="578" t="n"/>
      <c r="J721" s="182" t="n"/>
      <c r="K721" s="178" t="n"/>
      <c r="L721" s="183" t="n"/>
      <c r="M721" s="183" t="n"/>
    </row>
    <row r="722">
      <c r="H722" s="578" t="n"/>
      <c r="J722" s="182" t="n"/>
      <c r="K722" s="178" t="n"/>
      <c r="L722" s="183" t="n"/>
      <c r="M722" s="183" t="n"/>
    </row>
    <row r="723">
      <c r="H723" s="578" t="n"/>
      <c r="J723" s="182" t="n"/>
      <c r="K723" s="178" t="n"/>
      <c r="L723" s="183" t="n"/>
      <c r="M723" s="183" t="n"/>
    </row>
    <row r="724">
      <c r="H724" s="578" t="n"/>
      <c r="J724" s="182" t="n"/>
      <c r="K724" s="178" t="n"/>
      <c r="L724" s="183" t="n"/>
      <c r="M724" s="183" t="n"/>
    </row>
    <row r="725">
      <c r="H725" s="578" t="n"/>
      <c r="J725" s="182" t="n"/>
      <c r="K725" s="178" t="n"/>
      <c r="L725" s="183" t="n"/>
      <c r="M725" s="183" t="n"/>
    </row>
    <row r="726">
      <c r="H726" s="578" t="n"/>
      <c r="J726" s="182" t="n"/>
      <c r="K726" s="178" t="n"/>
      <c r="L726" s="183" t="n"/>
      <c r="M726" s="183" t="n"/>
    </row>
    <row r="727">
      <c r="H727" s="578" t="n"/>
      <c r="J727" s="182" t="n"/>
      <c r="K727" s="178" t="n"/>
      <c r="L727" s="183" t="n"/>
      <c r="M727" s="183" t="n"/>
    </row>
    <row r="728">
      <c r="H728" s="578" t="n"/>
      <c r="J728" s="182" t="n"/>
      <c r="K728" s="178" t="n"/>
      <c r="L728" s="183" t="n"/>
      <c r="M728" s="183" t="n"/>
    </row>
    <row r="729">
      <c r="H729" s="578" t="n"/>
      <c r="J729" s="182" t="n"/>
      <c r="K729" s="178" t="n"/>
      <c r="L729" s="183" t="n"/>
      <c r="M729" s="183" t="n"/>
    </row>
    <row r="730">
      <c r="H730" s="578" t="n"/>
      <c r="J730" s="182" t="n"/>
      <c r="K730" s="178" t="n"/>
      <c r="L730" s="183" t="n"/>
      <c r="M730" s="183" t="n"/>
    </row>
    <row r="731">
      <c r="H731" s="578" t="n"/>
      <c r="J731" s="182" t="n"/>
      <c r="K731" s="178" t="n"/>
      <c r="L731" s="183" t="n"/>
      <c r="M731" s="183" t="n"/>
    </row>
    <row r="732">
      <c r="H732" s="578" t="n"/>
      <c r="J732" s="182" t="n"/>
      <c r="K732" s="178" t="n"/>
      <c r="L732" s="183" t="n"/>
      <c r="M732" s="183" t="n"/>
    </row>
    <row r="733">
      <c r="H733" s="578" t="n"/>
      <c r="J733" s="182" t="n"/>
      <c r="K733" s="178" t="n"/>
      <c r="L733" s="183" t="n"/>
      <c r="M733" s="183" t="n"/>
    </row>
    <row r="734">
      <c r="H734" s="578" t="n"/>
      <c r="J734" s="182" t="n"/>
      <c r="K734" s="178" t="n"/>
      <c r="L734" s="183" t="n"/>
      <c r="M734" s="183" t="n"/>
    </row>
    <row r="735">
      <c r="H735" s="578" t="n"/>
      <c r="J735" s="182" t="n"/>
      <c r="K735" s="178" t="n"/>
      <c r="L735" s="183" t="n"/>
      <c r="M735" s="183" t="n"/>
    </row>
    <row r="736">
      <c r="H736" s="578" t="n"/>
      <c r="J736" s="182" t="n"/>
      <c r="K736" s="178" t="n"/>
      <c r="L736" s="183" t="n"/>
      <c r="M736" s="183" t="n"/>
    </row>
    <row r="737">
      <c r="H737" s="578" t="n"/>
      <c r="J737" s="182" t="n"/>
      <c r="K737" s="178" t="n"/>
      <c r="L737" s="183" t="n"/>
      <c r="M737" s="183" t="n"/>
    </row>
    <row r="738">
      <c r="H738" s="578" t="n"/>
      <c r="J738" s="182" t="n"/>
      <c r="K738" s="178" t="n"/>
      <c r="L738" s="183" t="n"/>
      <c r="M738" s="183" t="n"/>
    </row>
    <row r="739">
      <c r="H739" s="578" t="n"/>
      <c r="J739" s="182" t="n"/>
      <c r="K739" s="178" t="n"/>
      <c r="L739" s="183" t="n"/>
      <c r="M739" s="183" t="n"/>
    </row>
    <row r="740">
      <c r="H740" s="578" t="n"/>
      <c r="J740" s="182" t="n"/>
      <c r="K740" s="178" t="n"/>
      <c r="L740" s="183" t="n"/>
      <c r="M740" s="183" t="n"/>
    </row>
    <row r="741">
      <c r="H741" s="578" t="n"/>
      <c r="J741" s="182" t="n"/>
      <c r="K741" s="178" t="n"/>
      <c r="L741" s="183" t="n"/>
      <c r="M741" s="183" t="n"/>
    </row>
    <row r="742">
      <c r="H742" s="578" t="n"/>
      <c r="J742" s="182" t="n"/>
      <c r="K742" s="178" t="n"/>
      <c r="L742" s="183" t="n"/>
      <c r="M742" s="183" t="n"/>
    </row>
    <row r="743">
      <c r="H743" s="578" t="n"/>
      <c r="J743" s="182" t="n"/>
      <c r="K743" s="178" t="n"/>
      <c r="L743" s="183" t="n"/>
      <c r="M743" s="183" t="n"/>
    </row>
    <row r="744">
      <c r="H744" s="578" t="n"/>
      <c r="J744" s="182" t="n"/>
      <c r="K744" s="178" t="n"/>
      <c r="L744" s="183" t="n"/>
      <c r="M744" s="183" t="n"/>
    </row>
    <row r="745">
      <c r="H745" s="578" t="n"/>
      <c r="J745" s="182" t="n"/>
      <c r="K745" s="178" t="n"/>
      <c r="L745" s="183" t="n"/>
      <c r="M745" s="183" t="n"/>
    </row>
    <row r="746">
      <c r="H746" s="578" t="n"/>
      <c r="J746" s="182" t="n"/>
      <c r="K746" s="178" t="n"/>
      <c r="L746" s="183" t="n"/>
      <c r="M746" s="183" t="n"/>
    </row>
    <row r="747">
      <c r="H747" s="578" t="n"/>
      <c r="J747" s="182" t="n"/>
      <c r="K747" s="178" t="n"/>
      <c r="L747" s="183" t="n"/>
      <c r="M747" s="183" t="n"/>
    </row>
    <row r="748">
      <c r="H748" s="578" t="n"/>
      <c r="J748" s="182" t="n"/>
      <c r="K748" s="178" t="n"/>
      <c r="L748" s="183" t="n"/>
      <c r="M748" s="183" t="n"/>
    </row>
    <row r="749">
      <c r="H749" s="578" t="n"/>
      <c r="J749" s="182" t="n"/>
      <c r="K749" s="178" t="n"/>
      <c r="L749" s="183" t="n"/>
      <c r="M749" s="183" t="n"/>
    </row>
    <row r="750">
      <c r="H750" s="578" t="n"/>
      <c r="J750" s="182" t="n"/>
      <c r="K750" s="178" t="n"/>
      <c r="L750" s="183" t="n"/>
      <c r="M750" s="183" t="n"/>
    </row>
    <row r="751">
      <c r="H751" s="578" t="n"/>
      <c r="J751" s="182" t="n"/>
      <c r="K751" s="178" t="n"/>
      <c r="L751" s="183" t="n"/>
      <c r="M751" s="183" t="n"/>
    </row>
    <row r="752">
      <c r="H752" s="578" t="n"/>
      <c r="J752" s="182" t="n"/>
      <c r="K752" s="178" t="n"/>
      <c r="L752" s="183" t="n"/>
      <c r="M752" s="183" t="n"/>
    </row>
    <row r="753">
      <c r="H753" s="578" t="n"/>
      <c r="J753" s="182" t="n"/>
      <c r="K753" s="178" t="n"/>
      <c r="L753" s="183" t="n"/>
      <c r="M753" s="183" t="n"/>
    </row>
    <row r="754">
      <c r="H754" s="578" t="n"/>
      <c r="J754" s="182" t="n"/>
      <c r="K754" s="178" t="n"/>
      <c r="L754" s="183" t="n"/>
      <c r="M754" s="183" t="n"/>
    </row>
    <row r="755">
      <c r="H755" s="578" t="n"/>
      <c r="J755" s="182" t="n"/>
      <c r="K755" s="178" t="n"/>
      <c r="L755" s="183" t="n"/>
      <c r="M755" s="183" t="n"/>
    </row>
    <row r="756">
      <c r="H756" s="578" t="n"/>
      <c r="J756" s="182" t="n"/>
      <c r="K756" s="178" t="n"/>
      <c r="L756" s="183" t="n"/>
      <c r="M756" s="183" t="n"/>
    </row>
    <row r="757">
      <c r="H757" s="578" t="n"/>
      <c r="J757" s="182" t="n"/>
      <c r="K757" s="178" t="n"/>
      <c r="L757" s="183" t="n"/>
      <c r="M757" s="183" t="n"/>
    </row>
    <row r="758">
      <c r="H758" s="578" t="n"/>
      <c r="J758" s="182" t="n"/>
      <c r="K758" s="178" t="n"/>
      <c r="L758" s="183" t="n"/>
      <c r="M758" s="183" t="n"/>
    </row>
    <row r="759">
      <c r="H759" s="578" t="n"/>
      <c r="J759" s="182" t="n"/>
      <c r="K759" s="178" t="n"/>
      <c r="L759" s="183" t="n"/>
      <c r="M759" s="183" t="n"/>
    </row>
    <row r="760">
      <c r="H760" s="578" t="n"/>
      <c r="J760" s="182" t="n"/>
      <c r="K760" s="178" t="n"/>
      <c r="L760" s="183" t="n"/>
      <c r="M760" s="183" t="n"/>
    </row>
    <row r="761">
      <c r="H761" s="578" t="n"/>
      <c r="J761" s="182" t="n"/>
      <c r="K761" s="178" t="n"/>
      <c r="L761" s="183" t="n"/>
      <c r="M761" s="183" t="n"/>
    </row>
    <row r="762">
      <c r="H762" s="578" t="n"/>
      <c r="J762" s="182" t="n"/>
      <c r="K762" s="178" t="n"/>
      <c r="L762" s="183" t="n"/>
      <c r="M762" s="183" t="n"/>
    </row>
    <row r="763">
      <c r="H763" s="578" t="n"/>
      <c r="J763" s="182" t="n"/>
      <c r="K763" s="178" t="n"/>
      <c r="L763" s="183" t="n"/>
      <c r="M763" s="183" t="n"/>
    </row>
    <row r="764">
      <c r="H764" s="578" t="n"/>
      <c r="J764" s="182" t="n"/>
      <c r="K764" s="178" t="n"/>
      <c r="L764" s="183" t="n"/>
      <c r="M764" s="183" t="n"/>
    </row>
    <row r="765">
      <c r="H765" s="578" t="n"/>
      <c r="J765" s="182" t="n"/>
      <c r="K765" s="178" t="n"/>
      <c r="L765" s="183" t="n"/>
      <c r="M765" s="183" t="n"/>
    </row>
    <row r="766">
      <c r="H766" s="578" t="n"/>
      <c r="J766" s="182" t="n"/>
      <c r="K766" s="178" t="n"/>
      <c r="L766" s="183" t="n"/>
      <c r="M766" s="183" t="n"/>
    </row>
    <row r="767">
      <c r="H767" s="578" t="n"/>
      <c r="J767" s="182" t="n"/>
      <c r="K767" s="178" t="n"/>
      <c r="L767" s="183" t="n"/>
      <c r="M767" s="183" t="n"/>
    </row>
    <row r="768">
      <c r="H768" s="578" t="n"/>
      <c r="J768" s="182" t="n"/>
      <c r="K768" s="178" t="n"/>
      <c r="L768" s="183" t="n"/>
      <c r="M768" s="183" t="n"/>
    </row>
    <row r="769">
      <c r="H769" s="578" t="n"/>
      <c r="J769" s="182" t="n"/>
      <c r="K769" s="178" t="n"/>
      <c r="L769" s="183" t="n"/>
      <c r="M769" s="183" t="n"/>
    </row>
    <row r="770">
      <c r="H770" s="578" t="n"/>
      <c r="J770" s="182" t="n"/>
      <c r="K770" s="178" t="n"/>
      <c r="L770" s="183" t="n"/>
      <c r="M770" s="183" t="n"/>
    </row>
    <row r="771">
      <c r="H771" s="578" t="n"/>
      <c r="J771" s="182" t="n"/>
      <c r="K771" s="178" t="n"/>
      <c r="L771" s="183" t="n"/>
      <c r="M771" s="183" t="n"/>
    </row>
    <row r="772">
      <c r="H772" s="578" t="n"/>
      <c r="J772" s="182" t="n"/>
      <c r="K772" s="178" t="n"/>
      <c r="L772" s="183" t="n"/>
      <c r="M772" s="183" t="n"/>
    </row>
    <row r="773">
      <c r="H773" s="578" t="n"/>
      <c r="J773" s="182" t="n"/>
      <c r="K773" s="178" t="n"/>
      <c r="L773" s="183" t="n"/>
      <c r="M773" s="183" t="n"/>
    </row>
    <row r="774">
      <c r="H774" s="578" t="n"/>
      <c r="J774" s="182" t="n"/>
      <c r="K774" s="178" t="n"/>
      <c r="L774" s="183" t="n"/>
      <c r="M774" s="183" t="n"/>
    </row>
    <row r="775">
      <c r="H775" s="578" t="n"/>
      <c r="J775" s="182" t="n"/>
      <c r="K775" s="178" t="n"/>
      <c r="L775" s="183" t="n"/>
      <c r="M775" s="183" t="n"/>
    </row>
    <row r="776">
      <c r="H776" s="578" t="n"/>
      <c r="J776" s="182" t="n"/>
      <c r="K776" s="178" t="n"/>
      <c r="L776" s="183" t="n"/>
      <c r="M776" s="183" t="n"/>
    </row>
    <row r="777">
      <c r="H777" s="578" t="n"/>
      <c r="J777" s="182" t="n"/>
      <c r="K777" s="178" t="n"/>
      <c r="L777" s="183" t="n"/>
      <c r="M777" s="183" t="n"/>
    </row>
    <row r="778">
      <c r="H778" s="578" t="n"/>
      <c r="J778" s="182" t="n"/>
      <c r="K778" s="178" t="n"/>
      <c r="L778" s="183" t="n"/>
      <c r="M778" s="183" t="n"/>
    </row>
    <row r="779">
      <c r="H779" s="578" t="n"/>
      <c r="J779" s="182" t="n"/>
      <c r="K779" s="178" t="n"/>
      <c r="L779" s="183" t="n"/>
      <c r="M779" s="183" t="n"/>
    </row>
    <row r="780">
      <c r="H780" s="578" t="n"/>
      <c r="J780" s="182" t="n"/>
      <c r="K780" s="178" t="n"/>
      <c r="L780" s="183" t="n"/>
      <c r="M780" s="183" t="n"/>
    </row>
    <row r="781">
      <c r="H781" s="578" t="n"/>
      <c r="J781" s="182" t="n"/>
      <c r="K781" s="178" t="n"/>
      <c r="L781" s="183" t="n"/>
      <c r="M781" s="183" t="n"/>
    </row>
    <row r="782">
      <c r="H782" s="578" t="n"/>
      <c r="J782" s="182" t="n"/>
      <c r="K782" s="178" t="n"/>
      <c r="L782" s="183" t="n"/>
      <c r="M782" s="183" t="n"/>
    </row>
    <row r="783">
      <c r="H783" s="578" t="n"/>
      <c r="J783" s="182" t="n"/>
      <c r="K783" s="178" t="n"/>
      <c r="L783" s="183" t="n"/>
      <c r="M783" s="183" t="n"/>
    </row>
    <row r="784">
      <c r="H784" s="578" t="n"/>
      <c r="J784" s="182" t="n"/>
      <c r="K784" s="178" t="n"/>
      <c r="L784" s="183" t="n"/>
      <c r="M784" s="183" t="n"/>
    </row>
    <row r="785">
      <c r="H785" s="578" t="n"/>
      <c r="J785" s="182" t="n"/>
      <c r="K785" s="178" t="n"/>
      <c r="L785" s="183" t="n"/>
      <c r="M785" s="183" t="n"/>
    </row>
    <row r="786">
      <c r="H786" s="578" t="n"/>
      <c r="J786" s="182" t="n"/>
      <c r="K786" s="178" t="n"/>
      <c r="L786" s="183" t="n"/>
      <c r="M786" s="183" t="n"/>
    </row>
    <row r="787">
      <c r="H787" s="492" t="n"/>
      <c r="I787" s="578" t="n"/>
      <c r="J787" s="179" t="n"/>
      <c r="K787" s="182" t="n"/>
      <c r="L787" s="178" t="n"/>
      <c r="M787" s="183" t="n"/>
    </row>
    <row r="788">
      <c r="H788" s="492" t="n">
        <v>2626570853</v>
      </c>
      <c r="I788" s="578" t="n"/>
      <c r="J788" s="179" t="n"/>
      <c r="K788" s="182" t="n"/>
      <c r="L788" s="178" t="n"/>
      <c r="M788" s="183" t="n"/>
    </row>
    <row r="789">
      <c r="H789" s="492" t="n">
        <v>2575795337</v>
      </c>
    </row>
    <row r="790">
      <c r="H790" s="492" t="n">
        <v>2631966096</v>
      </c>
    </row>
    <row r="791">
      <c r="H791" s="492" t="n">
        <v>2629690799</v>
      </c>
    </row>
    <row r="792">
      <c r="H792" s="492" t="n">
        <v>2629642980</v>
      </c>
    </row>
    <row r="793">
      <c r="H793" s="492" t="n">
        <v>2602071256</v>
      </c>
    </row>
    <row r="794">
      <c r="H794" s="492" t="n">
        <v>2636685774</v>
      </c>
    </row>
    <row r="795">
      <c r="H795" s="492" t="n">
        <v>2630830137</v>
      </c>
    </row>
    <row r="796">
      <c r="H796" s="492" t="n">
        <v>2635530864</v>
      </c>
    </row>
    <row r="797">
      <c r="H797" s="492" t="n">
        <v>2607592413</v>
      </c>
    </row>
    <row r="798">
      <c r="H798" s="492" t="n">
        <v>2609874843</v>
      </c>
    </row>
    <row r="799">
      <c r="H799" s="492" t="n">
        <v>2637431236</v>
      </c>
    </row>
    <row r="800">
      <c r="H800" s="492" t="n">
        <v>2637431285</v>
      </c>
    </row>
  </sheetData>
  <autoFilter ref="A160:T399"/>
  <mergeCells count="293">
    <mergeCell ref="O7:P7"/>
    <mergeCell ref="C69:C74"/>
    <mergeCell ref="C419:C424"/>
    <mergeCell ref="O6:P6"/>
    <mergeCell ref="C324:C325"/>
    <mergeCell ref="B612:B61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 ref="D598:D599"/>
    <mergeCell ref="D283:D284"/>
    <mergeCell ref="D612:D613"/>
    <mergeCell ref="D45:D48"/>
    <mergeCell ref="C173:C174"/>
    <mergeCell ref="B28:B29"/>
    <mergeCell ref="A37:A40"/>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A20:A21"/>
    <mergeCell ref="D430:D437"/>
    <mergeCell ref="A22:A25"/>
    <mergeCell ref="O8:P8"/>
    <mergeCell ref="B356:B357"/>
    <mergeCell ref="A35:A36"/>
    <mergeCell ref="C358:C359"/>
    <mergeCell ref="A127:A128"/>
    <mergeCell ref="B438:B445"/>
    <mergeCell ref="D544:D545"/>
    <mergeCell ref="D506:D513"/>
    <mergeCell ref="D16:D18"/>
    <mergeCell ref="C151:C154"/>
    <mergeCell ref="B26:B27"/>
    <mergeCell ref="A546:A547"/>
    <mergeCell ref="B41:B44"/>
    <mergeCell ref="A49:A52"/>
    <mergeCell ref="B35:B36"/>
    <mergeCell ref="C49:C52"/>
    <mergeCell ref="B302:B303"/>
    <mergeCell ref="C396:C397"/>
    <mergeCell ref="D302:D303"/>
    <mergeCell ref="B155:B156"/>
    <mergeCell ref="O3:P3"/>
    <mergeCell ref="C438:C445"/>
    <mergeCell ref="A402:A403"/>
    <mergeCell ref="A530:A531"/>
    <mergeCell ref="A595:A596"/>
    <mergeCell ref="A417:A418"/>
    <mergeCell ref="C402:C403"/>
    <mergeCell ref="C595:C596"/>
    <mergeCell ref="D149:D150"/>
    <mergeCell ref="D518:D519"/>
    <mergeCell ref="D155:D156"/>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600:A608"/>
    <mergeCell ref="A415:A416"/>
    <mergeCell ref="A419:A424"/>
    <mergeCell ref="C415:C416"/>
    <mergeCell ref="A302:A303"/>
    <mergeCell ref="A131:A132"/>
    <mergeCell ref="A324:A325"/>
    <mergeCell ref="C131:C132"/>
    <mergeCell ref="D127:D128"/>
    <mergeCell ref="C89:C102"/>
    <mergeCell ref="C296:C299"/>
    <mergeCell ref="A107:A124"/>
    <mergeCell ref="C107:C124"/>
    <mergeCell ref="A304:A323"/>
    <mergeCell ref="D326:D331"/>
    <mergeCell ref="B137:B144"/>
    <mergeCell ref="A532:A536"/>
    <mergeCell ref="D137:D144"/>
    <mergeCell ref="A544:A545"/>
    <mergeCell ref="C544:C545"/>
    <mergeCell ref="B296:B299"/>
    <mergeCell ref="A75:A88"/>
    <mergeCell ref="C75:C88"/>
    <mergeCell ref="C404:C406"/>
    <mergeCell ref="A16:A18"/>
    <mergeCell ref="D530:D531"/>
    <mergeCell ref="A407:A408"/>
    <mergeCell ref="B324:B325"/>
    <mergeCell ref="D26:D27"/>
    <mergeCell ref="D324:D325"/>
    <mergeCell ref="C16:C18"/>
    <mergeCell ref="B506:B513"/>
    <mergeCell ref="B45:B48"/>
    <mergeCell ref="A518:A519"/>
    <mergeCell ref="B532:B536"/>
    <mergeCell ref="A173:A174"/>
    <mergeCell ref="B332:B333"/>
    <mergeCell ref="A300:A301"/>
    <mergeCell ref="A11:A12"/>
    <mergeCell ref="B175:B190"/>
    <mergeCell ref="C103:C104"/>
    <mergeCell ref="B131:B132"/>
    <mergeCell ref="D175:D190"/>
    <mergeCell ref="D131:D132"/>
    <mergeCell ref="B360:B395"/>
    <mergeCell ref="C20:C21"/>
    <mergeCell ref="D334:D345"/>
    <mergeCell ref="A149:A150"/>
    <mergeCell ref="N1:P1"/>
    <mergeCell ref="A581:A591"/>
    <mergeCell ref="D300:D301"/>
    <mergeCell ref="C417:C418"/>
    <mergeCell ref="B89:B102"/>
    <mergeCell ref="B145:B148"/>
    <mergeCell ref="B105:B106"/>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C612:C613"/>
    <mergeCell ref="B16:B18"/>
    <mergeCell ref="A409:A410"/>
    <mergeCell ref="C53:C68"/>
    <mergeCell ref="A356:A357"/>
    <mergeCell ref="D28:D29"/>
    <mergeCell ref="D532:D536"/>
    <mergeCell ref="C356:C357"/>
    <mergeCell ref="A438:A445"/>
    <mergeCell ref="B407:B408"/>
    <mergeCell ref="D41:D44"/>
    <mergeCell ref="A13:A1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B595:B596"/>
    <mergeCell ref="C346:C351"/>
    <mergeCell ref="C518:C519"/>
    <mergeCell ref="B135:B136"/>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B326:B331"/>
    <mergeCell ref="D409:D410"/>
    <mergeCell ref="C41:C44"/>
    <mergeCell ref="D356:D357"/>
    <mergeCell ref="B396:B397"/>
    <mergeCell ref="C302:C303"/>
    <mergeCell ref="B304:B323"/>
    <mergeCell ref="D396:D397"/>
    <mergeCell ref="A133:A134"/>
    <mergeCell ref="D304:D323"/>
    <mergeCell ref="C133:C134"/>
    <mergeCell ref="C127:C128"/>
    <mergeCell ref="C35:C36"/>
    <mergeCell ref="D438:D445"/>
    <mergeCell ref="B402:B403"/>
    <mergeCell ref="B530:B531"/>
    <mergeCell ref="D402:D403"/>
    <mergeCell ref="B151:B154"/>
    <mergeCell ref="D89:D102"/>
    <mergeCell ref="D537:D542"/>
    <mergeCell ref="A41:A44"/>
    <mergeCell ref="D332:D333"/>
    <mergeCell ref="D296:D299"/>
    <mergeCell ref="A135:A136"/>
    <mergeCell ref="C11:C12"/>
    <mergeCell ref="C135:C136"/>
    <mergeCell ref="A137:A144"/>
    <mergeCell ref="A334:A345"/>
    <mergeCell ref="C137:C144"/>
    <mergeCell ref="C334:C345"/>
    <mergeCell ref="B544:B545"/>
    <mergeCell ref="A151:A154"/>
    <mergeCell ref="C537:C542"/>
    <mergeCell ref="A592:A593"/>
    <mergeCell ref="B404:B406"/>
    <mergeCell ref="C530:C531"/>
    <mergeCell ref="D404:D406"/>
    <mergeCell ref="A579:A580"/>
    <mergeCell ref="B430:B437"/>
    <mergeCell ref="A446:A505"/>
    <mergeCell ref="C446:C505"/>
    <mergeCell ref="C26:C27"/>
    <mergeCell ref="A612:A613"/>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28:A29"/>
    <mergeCell ref="C28:C29"/>
    <mergeCell ref="D358:D359"/>
    <mergeCell ref="A1:L1"/>
    <mergeCell ref="D191:D282"/>
    <mergeCell ref="A89:A102"/>
    <mergeCell ref="D35:D36"/>
    <mergeCell ref="C326:C331"/>
    <mergeCell ref="D107:D124"/>
    <mergeCell ref="C145:C148"/>
  </mergeCells>
  <conditionalFormatting sqref="D1:D529 D532:D543 D548:D594 D597 D600:D611 D614:D1048576">
    <cfRule type="cellIs" priority="68" operator="lessThan" dxfId="0">
      <formula>0</formula>
    </cfRule>
  </conditionalFormatting>
  <conditionalFormatting sqref="K338">
    <cfRule type="duplicateValues" priority="69"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53" min="2" max="2"/>
    <col width="14.75" customWidth="1" style="153" min="3" max="3"/>
    <col width="47.375" customWidth="1" style="287" min="4" max="4"/>
    <col width="17" customWidth="1" style="520"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592" t="inlineStr">
        <is>
          <t>S/No</t>
        </is>
      </c>
      <c r="B1" s="592" t="inlineStr">
        <is>
          <t>Nationality</t>
        </is>
      </c>
      <c r="C1" s="592" t="inlineStr">
        <is>
          <t xml:space="preserve"> Categories </t>
        </is>
      </c>
      <c r="D1" s="593" t="inlineStr">
        <is>
          <t xml:space="preserve">Facility Management Services </t>
        </is>
      </c>
      <c r="E1" s="594" t="inlineStr">
        <is>
          <t>Expat Qty</t>
        </is>
      </c>
      <c r="F1" s="594" t="inlineStr">
        <is>
          <t>Saudi Qty.</t>
        </is>
      </c>
      <c r="G1" s="592" t="inlineStr">
        <is>
          <t xml:space="preserve">Total </t>
        </is>
      </c>
    </row>
    <row r="2" ht="18.75" customFormat="1" customHeight="1" s="163">
      <c r="A2" s="595" t="inlineStr">
        <is>
          <t xml:space="preserve">MEDICAL FACILITIES </t>
        </is>
      </c>
      <c r="B2" s="596" t="n"/>
      <c r="C2" s="597" t="n"/>
      <c r="D2" s="598" t="n"/>
      <c r="E2" s="532" t="n">
        <v>2</v>
      </c>
      <c r="F2" s="533">
        <f>+SUM(F3:F9)</f>
        <v/>
      </c>
      <c r="G2" s="533">
        <f>SUM(F2:F2)</f>
        <v/>
      </c>
    </row>
    <row r="3" ht="21" customHeight="1">
      <c r="A3" s="297" t="n">
        <v>1</v>
      </c>
      <c r="B3" s="297" t="inlineStr">
        <is>
          <t>S.EXPATS</t>
        </is>
      </c>
      <c r="C3" s="298" t="inlineStr">
        <is>
          <t>A</t>
        </is>
      </c>
      <c r="D3" s="299" t="inlineStr">
        <is>
          <t>MANAGERS</t>
        </is>
      </c>
      <c r="E3" s="535" t="n">
        <v>0</v>
      </c>
      <c r="F3" s="535" t="n">
        <v>0</v>
      </c>
      <c r="G3" s="535" t="n">
        <v>0</v>
      </c>
    </row>
    <row r="4" ht="21" customHeight="1">
      <c r="A4" s="297" t="n">
        <v>1</v>
      </c>
      <c r="B4" s="297" t="inlineStr">
        <is>
          <t>S.EXPATS</t>
        </is>
      </c>
      <c r="C4" s="298" t="inlineStr">
        <is>
          <t>A</t>
        </is>
      </c>
      <c r="D4" s="299" t="inlineStr">
        <is>
          <t>ADMINISTRATORS</t>
        </is>
      </c>
      <c r="E4" s="535" t="n">
        <v>0</v>
      </c>
      <c r="F4" s="535" t="n">
        <v>0</v>
      </c>
      <c r="G4" s="535" t="n">
        <v>0</v>
      </c>
    </row>
    <row r="5" ht="21" customHeight="1">
      <c r="A5" s="297">
        <f>+A4+1</f>
        <v/>
      </c>
      <c r="B5" s="297" t="inlineStr">
        <is>
          <t>S.EXPATS</t>
        </is>
      </c>
      <c r="C5" s="298" t="inlineStr">
        <is>
          <t>A</t>
        </is>
      </c>
      <c r="D5" s="299" t="inlineStr">
        <is>
          <t>SUPERVISORS</t>
        </is>
      </c>
      <c r="E5" s="535" t="n">
        <v>0</v>
      </c>
      <c r="F5" s="535" t="n">
        <v>0</v>
      </c>
      <c r="G5" s="535" t="n">
        <v>0</v>
      </c>
    </row>
    <row r="6" ht="21" customHeight="1">
      <c r="A6" s="297">
        <f>+A5+1</f>
        <v/>
      </c>
      <c r="B6" s="297" t="inlineStr">
        <is>
          <t>S.EXPATS</t>
        </is>
      </c>
      <c r="C6" s="298" t="inlineStr">
        <is>
          <t>B</t>
        </is>
      </c>
      <c r="D6" s="299" t="inlineStr">
        <is>
          <t>TEAM LEADERS</t>
        </is>
      </c>
      <c r="E6" s="535" t="n">
        <v>0</v>
      </c>
      <c r="F6" s="535" t="n">
        <v>0</v>
      </c>
      <c r="G6" s="535" t="n">
        <v>0</v>
      </c>
    </row>
    <row r="7" ht="21" customHeight="1">
      <c r="A7" s="297">
        <f>+A6+1</f>
        <v/>
      </c>
      <c r="B7" s="297" t="inlineStr">
        <is>
          <t>EXPAT'S</t>
        </is>
      </c>
      <c r="C7" s="298" t="inlineStr">
        <is>
          <t>D</t>
        </is>
      </c>
      <c r="D7" s="299" t="inlineStr">
        <is>
          <t>CLEANING STAFF</t>
        </is>
      </c>
      <c r="E7" s="535" t="n">
        <v>2</v>
      </c>
      <c r="F7" s="535" t="n">
        <v>2</v>
      </c>
      <c r="G7" s="535" t="n">
        <v>2</v>
      </c>
    </row>
    <row r="8" ht="21" customHeight="1">
      <c r="A8" s="297">
        <f>+A7+1</f>
        <v/>
      </c>
      <c r="B8" s="297" t="inlineStr">
        <is>
          <t>EXPAT'S</t>
        </is>
      </c>
      <c r="C8" s="298" t="inlineStr">
        <is>
          <t>C</t>
        </is>
      </c>
      <c r="D8" s="299" t="inlineStr">
        <is>
          <t>AMBULANCE DRIVERS</t>
        </is>
      </c>
      <c r="E8" s="535" t="n">
        <v>0</v>
      </c>
      <c r="F8" s="535" t="n">
        <v>0</v>
      </c>
      <c r="G8" s="535" t="n">
        <v>0</v>
      </c>
    </row>
    <row r="9" ht="21" customHeight="1">
      <c r="A9" s="297">
        <f>+A8+1</f>
        <v/>
      </c>
      <c r="B9" s="297" t="inlineStr">
        <is>
          <t>EXPAT'S</t>
        </is>
      </c>
      <c r="C9" s="298" t="inlineStr">
        <is>
          <t>C</t>
        </is>
      </c>
      <c r="D9" s="299" t="inlineStr">
        <is>
          <t>EQUIPMENT TECHNICIANS</t>
        </is>
      </c>
      <c r="E9" s="535" t="n">
        <v>0</v>
      </c>
      <c r="F9" s="535" t="n">
        <v>0</v>
      </c>
      <c r="G9" s="535" t="n">
        <v>0</v>
      </c>
    </row>
    <row r="10" ht="18" customFormat="1" customHeight="1" s="163">
      <c r="A10" s="595" t="inlineStr">
        <is>
          <t>ENVIRONMENT, HEALTH AND SAFETY</t>
        </is>
      </c>
      <c r="B10" s="596" t="n"/>
      <c r="C10" s="597" t="n"/>
      <c r="D10" s="598" t="n"/>
      <c r="E10" s="533" t="n">
        <v>7</v>
      </c>
      <c r="F10" s="533">
        <f>+SUM(F11:F14)</f>
        <v/>
      </c>
      <c r="G10" s="533">
        <f>SUM(F10:F10)</f>
        <v/>
      </c>
    </row>
    <row r="11" ht="21" customHeight="1">
      <c r="A11" s="297" t="n">
        <v>1</v>
      </c>
      <c r="B11" s="297" t="inlineStr">
        <is>
          <t>SAUDI'S</t>
        </is>
      </c>
      <c r="C11" s="298" t="inlineStr">
        <is>
          <t>A</t>
        </is>
      </c>
      <c r="D11" s="301" t="inlineStr">
        <is>
          <t xml:space="preserve">QHSE MANAGER </t>
        </is>
      </c>
      <c r="E11" s="535" t="n">
        <v>1</v>
      </c>
      <c r="F11" s="535" t="n">
        <v>1</v>
      </c>
      <c r="G11" s="535" t="n">
        <v>1</v>
      </c>
    </row>
    <row r="12" ht="21" customHeight="1">
      <c r="A12" s="297">
        <f>+A11+1</f>
        <v/>
      </c>
      <c r="B12" s="297" t="inlineStr">
        <is>
          <t>SAUDI'S</t>
        </is>
      </c>
      <c r="C12" s="298" t="inlineStr">
        <is>
          <t>B</t>
        </is>
      </c>
      <c r="D12" s="301" t="inlineStr">
        <is>
          <t xml:space="preserve">ENVIRONMENTAL INSPECTOR </t>
        </is>
      </c>
      <c r="E12" s="535" t="n">
        <v>2</v>
      </c>
      <c r="F12" s="535" t="n">
        <v>0</v>
      </c>
      <c r="G12" s="535" t="n">
        <v>3</v>
      </c>
    </row>
    <row r="13" ht="21" customHeight="1">
      <c r="A13" s="297">
        <f>+A12+1</f>
        <v/>
      </c>
      <c r="B13" s="297" t="inlineStr">
        <is>
          <t>EXPAT'S</t>
        </is>
      </c>
      <c r="C13" s="298" t="inlineStr">
        <is>
          <t>B</t>
        </is>
      </c>
      <c r="D13" s="301" t="inlineStr">
        <is>
          <t>QSHE  OFFICER</t>
        </is>
      </c>
      <c r="E13" s="535" t="n">
        <v>2</v>
      </c>
      <c r="F13" s="535" t="n">
        <v>2</v>
      </c>
      <c r="G13" s="535" t="n">
        <v>2</v>
      </c>
    </row>
    <row r="14" ht="21" customHeight="1">
      <c r="A14" s="297">
        <f>+A13+1</f>
        <v/>
      </c>
      <c r="B14" s="297" t="inlineStr">
        <is>
          <t>EXPAT'S</t>
        </is>
      </c>
      <c r="C14" s="298" t="inlineStr">
        <is>
          <t>B</t>
        </is>
      </c>
      <c r="D14" s="301" t="inlineStr">
        <is>
          <t>SAFETY OFFICER</t>
        </is>
      </c>
      <c r="E14" s="535" t="n">
        <v>2</v>
      </c>
      <c r="F14" s="535" t="n">
        <v>2</v>
      </c>
      <c r="G14" s="535" t="n">
        <v>2</v>
      </c>
    </row>
    <row r="15" ht="18" customFormat="1" customHeight="1" s="163">
      <c r="A15" s="595" t="inlineStr">
        <is>
          <t>PEST CONTROL SERVICES</t>
        </is>
      </c>
      <c r="B15" s="596" t="n"/>
      <c r="C15" s="597" t="n"/>
      <c r="D15" s="598" t="n"/>
      <c r="E15" s="533" t="n">
        <v>8</v>
      </c>
      <c r="F15" s="533">
        <f>+SUM(F16:F17)</f>
        <v/>
      </c>
      <c r="G15" s="533">
        <f>SUM(F15:F15)</f>
        <v/>
      </c>
    </row>
    <row r="16" ht="21" customHeight="1">
      <c r="A16" s="297" t="n">
        <v>1</v>
      </c>
      <c r="B16" s="297" t="inlineStr">
        <is>
          <t>EXPAT'S</t>
        </is>
      </c>
      <c r="C16" s="298" t="inlineStr">
        <is>
          <t>C</t>
        </is>
      </c>
      <c r="D16" s="301" t="inlineStr">
        <is>
          <t>P.C SUPERVISOR</t>
        </is>
      </c>
      <c r="E16" s="535" t="n">
        <v>2</v>
      </c>
      <c r="F16" s="535" t="n">
        <v>1</v>
      </c>
      <c r="G16" s="535" t="n">
        <v>1</v>
      </c>
    </row>
    <row r="17" ht="21" customHeight="1">
      <c r="A17" s="297">
        <f>+A16+1</f>
        <v/>
      </c>
      <c r="B17" s="297" t="inlineStr">
        <is>
          <t>EXPAT'S</t>
        </is>
      </c>
      <c r="C17" s="298" t="inlineStr">
        <is>
          <t>C</t>
        </is>
      </c>
      <c r="D17" s="301" t="inlineStr">
        <is>
          <t>P.C TECHNICIAN</t>
        </is>
      </c>
      <c r="E17" s="535" t="n">
        <v>6</v>
      </c>
      <c r="F17" s="535" t="n">
        <v>2</v>
      </c>
      <c r="G17" s="535" t="n">
        <v>17</v>
      </c>
    </row>
    <row r="18" ht="18" customFormat="1" customHeight="1" s="163">
      <c r="A18" s="595" t="inlineStr">
        <is>
          <t>WASTE MANAGEMENT</t>
        </is>
      </c>
      <c r="B18" s="596" t="n"/>
      <c r="C18" s="597" t="n"/>
      <c r="D18" s="598" t="n"/>
      <c r="E18" s="533" t="n">
        <v>18</v>
      </c>
      <c r="F18" s="533">
        <f>+SUM(F19:F21)</f>
        <v/>
      </c>
      <c r="G18" s="533">
        <f>SUM(F18:F18)</f>
        <v/>
      </c>
    </row>
    <row r="19" ht="21" customHeight="1">
      <c r="A19" s="297" t="n">
        <v>1</v>
      </c>
      <c r="B19" s="297" t="inlineStr">
        <is>
          <t>EXPAT'S</t>
        </is>
      </c>
      <c r="C19" s="298" t="inlineStr">
        <is>
          <t>A</t>
        </is>
      </c>
      <c r="D19" s="301" t="inlineStr">
        <is>
          <t xml:space="preserve">WASTE SERVICES SUPERVISOR </t>
        </is>
      </c>
      <c r="E19" s="535" t="n">
        <v>2</v>
      </c>
      <c r="F19" s="535" t="n">
        <v>0</v>
      </c>
      <c r="G19" s="535" t="n">
        <v>1</v>
      </c>
    </row>
    <row r="20" ht="21" customHeight="1">
      <c r="A20" s="297">
        <f>+A19+1</f>
        <v/>
      </c>
      <c r="B20" s="297" t="inlineStr">
        <is>
          <t>EXPAT'S</t>
        </is>
      </c>
      <c r="C20" s="298" t="inlineStr">
        <is>
          <t>D</t>
        </is>
      </c>
      <c r="D20" s="301" t="inlineStr">
        <is>
          <t>WASTE SEGREGATOR</t>
        </is>
      </c>
      <c r="E20" s="535" t="n">
        <v>12</v>
      </c>
      <c r="F20" s="535" t="n">
        <v>4</v>
      </c>
      <c r="G20" s="535" t="n">
        <v>4</v>
      </c>
    </row>
    <row r="21" ht="21" customHeight="1">
      <c r="A21" s="297">
        <f>+A20+1</f>
        <v/>
      </c>
      <c r="B21" s="297" t="inlineStr">
        <is>
          <t>EXPAT'S</t>
        </is>
      </c>
      <c r="C21" s="298" t="inlineStr">
        <is>
          <t>D</t>
        </is>
      </c>
      <c r="D21" s="301" t="inlineStr">
        <is>
          <t xml:space="preserve">WASTE COLLECTOR </t>
        </is>
      </c>
      <c r="E21" s="535" t="n">
        <v>4</v>
      </c>
      <c r="F21" s="535" t="n">
        <v>2</v>
      </c>
      <c r="G21" s="535" t="n">
        <v>2</v>
      </c>
    </row>
    <row r="22" ht="18" customFormat="1" customHeight="1" s="163">
      <c r="A22" s="595" t="inlineStr">
        <is>
          <t>HAZARDOUS WASTE STORAGE AND HANDLING</t>
        </is>
      </c>
      <c r="B22" s="596" t="n"/>
      <c r="C22" s="597" t="n"/>
      <c r="D22" s="598" t="n"/>
      <c r="E22" s="533" t="n">
        <v>2</v>
      </c>
      <c r="F22" s="533">
        <f>+SUM(F23)</f>
        <v/>
      </c>
      <c r="G22" s="533">
        <f>SUM(F22:F22)</f>
        <v/>
      </c>
    </row>
    <row r="23" ht="21" customHeight="1">
      <c r="A23" s="297" t="n">
        <v>1</v>
      </c>
      <c r="B23" s="297" t="inlineStr">
        <is>
          <t>EXPAT'S</t>
        </is>
      </c>
      <c r="C23" s="298" t="inlineStr">
        <is>
          <t>D</t>
        </is>
      </c>
      <c r="D23" s="301" t="inlineStr">
        <is>
          <t xml:space="preserve">WASTE COLLECTOR </t>
        </is>
      </c>
      <c r="E23" s="535" t="n">
        <v>2</v>
      </c>
      <c r="F23" s="535" t="n">
        <v>0</v>
      </c>
      <c r="G23" s="535" t="n">
        <v>0</v>
      </c>
    </row>
    <row r="24" ht="18" customFormat="1" customHeight="1" s="163">
      <c r="A24" s="595" t="inlineStr">
        <is>
          <t>SEWAGE TREATMENT PLANT</t>
        </is>
      </c>
      <c r="B24" s="596" t="n"/>
      <c r="C24" s="597" t="n"/>
      <c r="D24" s="598" t="n"/>
      <c r="E24" s="533" t="n">
        <v>8</v>
      </c>
      <c r="F24" s="533">
        <f>+SUM(F25:F27)</f>
        <v/>
      </c>
      <c r="G24" s="533">
        <f>SUM(F24:F24)</f>
        <v/>
      </c>
    </row>
    <row r="25" ht="21" customHeight="1">
      <c r="A25" s="297" t="n">
        <v>1</v>
      </c>
      <c r="B25" s="297" t="inlineStr">
        <is>
          <t>EXPAT'S</t>
        </is>
      </c>
      <c r="C25" s="298" t="inlineStr">
        <is>
          <t>A</t>
        </is>
      </c>
      <c r="D25" s="301" t="inlineStr">
        <is>
          <t xml:space="preserve">STP SUPERVISOR </t>
        </is>
      </c>
      <c r="E25" s="535" t="n">
        <v>2</v>
      </c>
      <c r="F25" s="535" t="n">
        <v>2</v>
      </c>
      <c r="G25" s="535" t="n">
        <v>2</v>
      </c>
    </row>
    <row r="26" ht="21" customHeight="1">
      <c r="A26" s="297">
        <f>+A25+1</f>
        <v/>
      </c>
      <c r="B26" s="297" t="inlineStr">
        <is>
          <t>EXPAT'S</t>
        </is>
      </c>
      <c r="C26" s="298" t="inlineStr">
        <is>
          <t>C</t>
        </is>
      </c>
      <c r="D26" s="301" t="inlineStr">
        <is>
          <t xml:space="preserve">STP OPERATOR </t>
        </is>
      </c>
      <c r="E26" s="535" t="n">
        <v>4</v>
      </c>
      <c r="F26" s="535" t="n">
        <v>4</v>
      </c>
      <c r="G26" s="535" t="n">
        <v>5</v>
      </c>
    </row>
    <row r="27" ht="21" customHeight="1">
      <c r="A27" s="297">
        <f>+A26+1</f>
        <v/>
      </c>
      <c r="B27" s="297" t="inlineStr">
        <is>
          <t>EXPAT'S</t>
        </is>
      </c>
      <c r="C27" s="298" t="inlineStr">
        <is>
          <t>C</t>
        </is>
      </c>
      <c r="D27" s="301" t="inlineStr">
        <is>
          <t>MULTI-SKILLED TECHNICIANS</t>
        </is>
      </c>
      <c r="E27" s="535" t="n">
        <v>2</v>
      </c>
      <c r="F27" s="535" t="n">
        <v>0</v>
      </c>
      <c r="G27" s="535" t="n">
        <v>0</v>
      </c>
    </row>
    <row r="28" ht="18" customFormat="1" customHeight="1" s="163">
      <c r="A28" s="595" t="inlineStr">
        <is>
          <t>MEP MAINTENANCE &amp; SERVICES</t>
        </is>
      </c>
      <c r="B28" s="596" t="n"/>
      <c r="C28" s="597" t="n"/>
      <c r="D28" s="598" t="n"/>
      <c r="E28" s="533" t="n">
        <v>97</v>
      </c>
      <c r="F28" s="533">
        <f>+SUM(F29:F45)</f>
        <v/>
      </c>
      <c r="G28" s="533">
        <f>SUM(F28:F28)</f>
        <v/>
      </c>
    </row>
    <row r="29" ht="21" customHeight="1">
      <c r="A29" s="297" t="n">
        <v>1</v>
      </c>
      <c r="B29" s="297" t="inlineStr">
        <is>
          <t>S.EXPATS</t>
        </is>
      </c>
      <c r="C29" s="298" t="inlineStr">
        <is>
          <t>A</t>
        </is>
      </c>
      <c r="D29" s="301" t="inlineStr">
        <is>
          <t>FACILITIES ENGINEER</t>
        </is>
      </c>
      <c r="E29" s="535" t="n">
        <v>2</v>
      </c>
      <c r="F29" s="535" t="n">
        <v>2</v>
      </c>
      <c r="G29" s="535" t="n">
        <v>3</v>
      </c>
    </row>
    <row r="30" ht="21" customHeight="1">
      <c r="A30" s="297">
        <f>+A29+1</f>
        <v/>
      </c>
      <c r="B30" s="297" t="inlineStr">
        <is>
          <t>EXPAT'S</t>
        </is>
      </c>
      <c r="C30" s="298" t="inlineStr">
        <is>
          <t>A</t>
        </is>
      </c>
      <c r="D30" s="301" t="inlineStr">
        <is>
          <t>SUPERVISORS MEP</t>
        </is>
      </c>
      <c r="E30" s="535" t="n">
        <v>4</v>
      </c>
      <c r="F30" s="535" t="n">
        <v>4</v>
      </c>
      <c r="G30" s="535" t="n">
        <v>4</v>
      </c>
    </row>
    <row r="31" ht="21" customHeight="1">
      <c r="A31" s="297">
        <f>+A30+1</f>
        <v/>
      </c>
      <c r="B31" s="297" t="inlineStr">
        <is>
          <t>EXPAT'S</t>
        </is>
      </c>
      <c r="C31" s="298" t="inlineStr">
        <is>
          <t>C</t>
        </is>
      </c>
      <c r="D31" s="301" t="inlineStr">
        <is>
          <t>UTILITY/GEN</t>
        </is>
      </c>
      <c r="E31" s="535" t="n">
        <v>4</v>
      </c>
      <c r="F31" s="535" t="n">
        <v>3</v>
      </c>
      <c r="G31" s="535" t="n">
        <v>4</v>
      </c>
    </row>
    <row r="32" ht="21" customHeight="1">
      <c r="A32" s="297">
        <f>+A31+1</f>
        <v/>
      </c>
      <c r="B32" s="297" t="inlineStr">
        <is>
          <t>EXPAT'S</t>
        </is>
      </c>
      <c r="C32" s="298" t="inlineStr">
        <is>
          <t>C</t>
        </is>
      </c>
      <c r="D32" s="301" t="inlineStr">
        <is>
          <t>MULTI SKILLED TECH.</t>
        </is>
      </c>
      <c r="E32" s="535" t="n">
        <v>4</v>
      </c>
      <c r="F32" s="535" t="n">
        <v>1</v>
      </c>
      <c r="G32" s="535" t="n">
        <v>4</v>
      </c>
    </row>
    <row r="33" ht="21" customHeight="1">
      <c r="A33" s="297">
        <f>+A32+1</f>
        <v/>
      </c>
      <c r="B33" s="297" t="inlineStr">
        <is>
          <t>EXPAT'S</t>
        </is>
      </c>
      <c r="C33" s="298" t="inlineStr">
        <is>
          <t>C</t>
        </is>
      </c>
      <c r="D33" s="301" t="inlineStr">
        <is>
          <t>MECHANICAL  TECH</t>
        </is>
      </c>
      <c r="E33" s="535" t="n">
        <v>4</v>
      </c>
      <c r="F33" s="535" t="n">
        <v>4</v>
      </c>
      <c r="G33" s="535" t="n">
        <v>7</v>
      </c>
    </row>
    <row r="34" ht="21" customHeight="1">
      <c r="A34" s="297">
        <f>+A33+1</f>
        <v/>
      </c>
      <c r="B34" s="297" t="inlineStr">
        <is>
          <t>EXPAT'S</t>
        </is>
      </c>
      <c r="C34" s="298" t="inlineStr">
        <is>
          <t>C</t>
        </is>
      </c>
      <c r="D34" s="301" t="inlineStr">
        <is>
          <t xml:space="preserve">AC TECHNICIAN  </t>
        </is>
      </c>
      <c r="E34" s="535" t="n">
        <v>16</v>
      </c>
      <c r="F34" s="535" t="n">
        <v>14</v>
      </c>
      <c r="G34" s="535" t="n">
        <v>14</v>
      </c>
    </row>
    <row r="35" ht="21" customHeight="1">
      <c r="A35" s="297">
        <f>+A34+1</f>
        <v/>
      </c>
      <c r="B35" s="297" t="inlineStr">
        <is>
          <t>EXPAT'S</t>
        </is>
      </c>
      <c r="C35" s="298" t="inlineStr">
        <is>
          <t>C</t>
        </is>
      </c>
      <c r="D35" s="301" t="inlineStr">
        <is>
          <t xml:space="preserve">ASSTANT AC TECHNICIAN </t>
        </is>
      </c>
      <c r="E35" s="535" t="n">
        <v>6</v>
      </c>
      <c r="F35" s="535" t="n">
        <v>1</v>
      </c>
      <c r="G35" s="535" t="n">
        <v>1</v>
      </c>
    </row>
    <row r="36" ht="21" customHeight="1">
      <c r="A36" s="297">
        <f>+A35+1</f>
        <v/>
      </c>
      <c r="B36" s="297" t="inlineStr">
        <is>
          <t>EXPAT'S</t>
        </is>
      </c>
      <c r="C36" s="298" t="inlineStr">
        <is>
          <t>C</t>
        </is>
      </c>
      <c r="D36" s="301" t="inlineStr">
        <is>
          <t>PLUMBER</t>
        </is>
      </c>
      <c r="E36" s="535" t="n">
        <v>14</v>
      </c>
      <c r="F36" s="535" t="n">
        <v>13</v>
      </c>
      <c r="G36" s="535" t="n">
        <v>13</v>
      </c>
    </row>
    <row r="37" ht="21" customHeight="1">
      <c r="A37" s="297">
        <f>+A36+1</f>
        <v/>
      </c>
      <c r="B37" s="297" t="inlineStr">
        <is>
          <t>EXPAT'S</t>
        </is>
      </c>
      <c r="C37" s="298" t="inlineStr">
        <is>
          <t>C</t>
        </is>
      </c>
      <c r="D37" s="301" t="inlineStr">
        <is>
          <t xml:space="preserve">TRADE HELPER </t>
        </is>
      </c>
      <c r="E37" s="535" t="n">
        <v>14</v>
      </c>
      <c r="F37" s="535" t="n">
        <v>0</v>
      </c>
      <c r="G37" s="535" t="n">
        <v>0</v>
      </c>
    </row>
    <row r="38" ht="21" customHeight="1">
      <c r="A38" s="297">
        <f>+A37+1</f>
        <v/>
      </c>
      <c r="B38" s="297" t="inlineStr">
        <is>
          <t>EXPAT'S</t>
        </is>
      </c>
      <c r="C38" s="298" t="inlineStr">
        <is>
          <t>A</t>
        </is>
      </c>
      <c r="D38" s="301" t="inlineStr">
        <is>
          <t>SUPERVISOR ELECTRICAL</t>
        </is>
      </c>
      <c r="E38" s="535" t="n">
        <v>2</v>
      </c>
      <c r="F38" s="535" t="n">
        <v>1</v>
      </c>
      <c r="G38" s="535" t="n">
        <v>1</v>
      </c>
    </row>
    <row r="39" ht="21" customHeight="1">
      <c r="A39" s="297">
        <f>+A38+1</f>
        <v/>
      </c>
      <c r="B39" s="297" t="inlineStr">
        <is>
          <t>EXPAT'S</t>
        </is>
      </c>
      <c r="C39" s="298" t="inlineStr">
        <is>
          <t>B</t>
        </is>
      </c>
      <c r="D39" s="301" t="inlineStr">
        <is>
          <t xml:space="preserve">TEAM LEADER ELECTRICAL </t>
        </is>
      </c>
      <c r="E39" s="535" t="n">
        <v>2</v>
      </c>
      <c r="F39" s="535" t="n">
        <v>2</v>
      </c>
      <c r="G39" s="535" t="n">
        <v>2</v>
      </c>
    </row>
    <row r="40" ht="21" customHeight="1">
      <c r="A40" s="297">
        <f>+A39+1</f>
        <v/>
      </c>
      <c r="B40" s="297" t="inlineStr">
        <is>
          <t>EXPAT'S</t>
        </is>
      </c>
      <c r="C40" s="298" t="inlineStr">
        <is>
          <t>C</t>
        </is>
      </c>
      <c r="D40" s="301" t="inlineStr">
        <is>
          <t>ELECTRICIAN</t>
        </is>
      </c>
      <c r="E40" s="535" t="n">
        <v>18</v>
      </c>
      <c r="F40" s="535" t="n">
        <v>18</v>
      </c>
      <c r="G40" s="535" t="n">
        <v>27</v>
      </c>
    </row>
    <row r="41" ht="21" customHeight="1">
      <c r="A41" s="297">
        <f>+A40+1</f>
        <v/>
      </c>
      <c r="B41" s="297" t="inlineStr">
        <is>
          <t>EXPAT'S</t>
        </is>
      </c>
      <c r="C41" s="298" t="inlineStr">
        <is>
          <t>C</t>
        </is>
      </c>
      <c r="D41" s="301" t="inlineStr">
        <is>
          <t xml:space="preserve">APPLIANCE TECHNICIAN </t>
        </is>
      </c>
      <c r="E41" s="535" t="n">
        <v>2</v>
      </c>
      <c r="F41" s="535" t="n">
        <v>0</v>
      </c>
      <c r="G41" s="535" t="n">
        <v>0</v>
      </c>
    </row>
    <row r="42" ht="21" customHeight="1">
      <c r="A42" s="297">
        <f>+A41+1</f>
        <v/>
      </c>
      <c r="B42" s="297" t="inlineStr">
        <is>
          <t>EXPAT'S</t>
        </is>
      </c>
      <c r="C42" s="298" t="inlineStr">
        <is>
          <t>D</t>
        </is>
      </c>
      <c r="D42" s="301" t="inlineStr">
        <is>
          <t>WARE HOUSE HELPER</t>
        </is>
      </c>
      <c r="E42" s="535" t="n">
        <v>2</v>
      </c>
      <c r="F42" s="535" t="n">
        <v>1</v>
      </c>
      <c r="G42" s="535" t="n">
        <v>1</v>
      </c>
    </row>
    <row r="43" ht="21" customHeight="1">
      <c r="A43" s="297">
        <f>+A42+1</f>
        <v/>
      </c>
      <c r="B43" s="297" t="inlineStr">
        <is>
          <t>EXPAT'S</t>
        </is>
      </c>
      <c r="C43" s="298" t="inlineStr">
        <is>
          <t>C</t>
        </is>
      </c>
      <c r="D43" s="301" t="inlineStr">
        <is>
          <t>MEWP CERTIFIED OPERATORS</t>
        </is>
      </c>
      <c r="E43" s="535" t="n">
        <v>0</v>
      </c>
      <c r="F43" s="535" t="n">
        <v>0</v>
      </c>
      <c r="G43" s="535" t="n">
        <v>0</v>
      </c>
    </row>
    <row r="44" ht="21" customHeight="1">
      <c r="A44" s="297">
        <f>+A43+1</f>
        <v/>
      </c>
      <c r="B44" s="297" t="inlineStr">
        <is>
          <t>SAUDI'S</t>
        </is>
      </c>
      <c r="C44" s="298" t="inlineStr">
        <is>
          <t>B</t>
        </is>
      </c>
      <c r="D44" s="301" t="inlineStr">
        <is>
          <t>IT ENGINEER</t>
        </is>
      </c>
      <c r="E44" s="535" t="n">
        <v>1</v>
      </c>
      <c r="F44" s="535" t="n">
        <v>1</v>
      </c>
      <c r="G44" s="535" t="n">
        <v>1</v>
      </c>
    </row>
    <row r="45" ht="21" customHeight="1">
      <c r="A45" s="297">
        <f>+A44+1</f>
        <v/>
      </c>
      <c r="B45" s="297" t="inlineStr">
        <is>
          <t>EXPAT'S</t>
        </is>
      </c>
      <c r="C45" s="298" t="inlineStr">
        <is>
          <t>C</t>
        </is>
      </c>
      <c r="D45" s="301" t="inlineStr">
        <is>
          <t>LV TECHNICIAN (CCTV/IT )</t>
        </is>
      </c>
      <c r="E45" s="535" t="n">
        <v>2</v>
      </c>
      <c r="F45" s="535" t="n">
        <v>2</v>
      </c>
      <c r="G45" s="535" t="n">
        <v>3</v>
      </c>
    </row>
    <row r="46" ht="18" customFormat="1" customHeight="1" s="163">
      <c r="A46" s="595" t="inlineStr">
        <is>
          <t>CIVIL MAINTENANCE &amp; SERVICES</t>
        </is>
      </c>
      <c r="B46" s="596" t="n"/>
      <c r="C46" s="597" t="n"/>
      <c r="D46" s="598" t="n"/>
      <c r="E46" s="533" t="n">
        <v>4</v>
      </c>
      <c r="F46" s="533">
        <f>+SUM(F47:F48)</f>
        <v/>
      </c>
      <c r="G46" s="533">
        <f>SUM(F46:F46)</f>
        <v/>
      </c>
    </row>
    <row r="47" ht="21" customHeight="1">
      <c r="A47" s="297" t="n">
        <v>1</v>
      </c>
      <c r="B47" s="297" t="inlineStr">
        <is>
          <t>EXPAT'S</t>
        </is>
      </c>
      <c r="C47" s="298" t="inlineStr">
        <is>
          <t>A</t>
        </is>
      </c>
      <c r="D47" s="301" t="inlineStr">
        <is>
          <t>CIVIL SUPERVISOR</t>
        </is>
      </c>
      <c r="E47" s="535" t="n">
        <v>2</v>
      </c>
      <c r="F47" s="535" t="n">
        <v>2</v>
      </c>
      <c r="G47" s="535" t="n">
        <v>2</v>
      </c>
    </row>
    <row r="48" ht="21" customHeight="1">
      <c r="A48" s="297">
        <f>+A47+1</f>
        <v/>
      </c>
      <c r="B48" s="297" t="inlineStr">
        <is>
          <t>EXPAT'S</t>
        </is>
      </c>
      <c r="C48" s="298" t="inlineStr">
        <is>
          <t>C</t>
        </is>
      </c>
      <c r="D48" s="301" t="inlineStr">
        <is>
          <t>MASON</t>
        </is>
      </c>
      <c r="E48" s="535" t="n">
        <v>2</v>
      </c>
      <c r="F48" s="535" t="n">
        <v>2</v>
      </c>
      <c r="G48" s="535" t="n">
        <v>3</v>
      </c>
    </row>
    <row r="49" ht="18" customFormat="1" customHeight="1" s="163">
      <c r="A49" s="595" t="inlineStr">
        <is>
          <t>CARPENTRY SERVICES</t>
        </is>
      </c>
      <c r="B49" s="596" t="n"/>
      <c r="C49" s="597" t="n"/>
      <c r="D49" s="598" t="n"/>
      <c r="E49" s="533" t="n">
        <v>12</v>
      </c>
      <c r="F49" s="533">
        <f>+SUM(F50:F51)</f>
        <v/>
      </c>
      <c r="G49" s="533">
        <f>SUM(F49:F49)</f>
        <v/>
      </c>
    </row>
    <row r="50" ht="21" customHeight="1">
      <c r="A50" s="297" t="n">
        <v>1</v>
      </c>
      <c r="B50" s="297" t="inlineStr">
        <is>
          <t>EXPAT'S</t>
        </is>
      </c>
      <c r="C50" s="298" t="inlineStr">
        <is>
          <t>C</t>
        </is>
      </c>
      <c r="D50" s="301" t="inlineStr">
        <is>
          <t>CARPENTER</t>
        </is>
      </c>
      <c r="E50" s="535" t="n">
        <v>8</v>
      </c>
      <c r="F50" s="535" t="n">
        <v>2</v>
      </c>
      <c r="G50" s="535" t="n">
        <v>2</v>
      </c>
    </row>
    <row r="51" ht="21" customHeight="1">
      <c r="A51" s="297">
        <f>+A50+1</f>
        <v/>
      </c>
      <c r="B51" s="297" t="inlineStr">
        <is>
          <t>EXPAT'S</t>
        </is>
      </c>
      <c r="C51" s="298" t="inlineStr">
        <is>
          <t>C</t>
        </is>
      </c>
      <c r="D51" s="301" t="inlineStr">
        <is>
          <t>PAINTER/HANDYMAN (CIVIL)</t>
        </is>
      </c>
      <c r="E51" s="535" t="n">
        <v>4</v>
      </c>
      <c r="F51" s="535" t="n">
        <v>4</v>
      </c>
      <c r="G51" s="535" t="n">
        <v>4</v>
      </c>
    </row>
    <row r="52" ht="18" customFormat="1" customHeight="1" s="163">
      <c r="A52" s="595" t="inlineStr">
        <is>
          <t>LANDSCAPE  SERVICES</t>
        </is>
      </c>
      <c r="B52" s="596" t="n"/>
      <c r="C52" s="597" t="n"/>
      <c r="D52" s="598" t="n"/>
      <c r="E52" s="533" t="n">
        <v>22</v>
      </c>
      <c r="F52" s="533">
        <f>+SUM(F53:F54)</f>
        <v/>
      </c>
      <c r="G52" s="533">
        <f>SUM(F52:F52)</f>
        <v/>
      </c>
    </row>
    <row r="53" ht="21" customHeight="1">
      <c r="A53" s="297" t="n">
        <v>1</v>
      </c>
      <c r="B53" s="297" t="inlineStr">
        <is>
          <t>EXPAT'S</t>
        </is>
      </c>
      <c r="C53" s="298" t="inlineStr">
        <is>
          <t>A</t>
        </is>
      </c>
      <c r="D53" s="301" t="inlineStr">
        <is>
          <t>LANDSCAPE SUPERVISOR</t>
        </is>
      </c>
      <c r="E53" s="537" t="n">
        <v>2</v>
      </c>
      <c r="F53" s="535" t="n">
        <v>1</v>
      </c>
      <c r="G53" s="535" t="n">
        <v>1</v>
      </c>
    </row>
    <row r="54" ht="21" customHeight="1">
      <c r="A54" s="297">
        <f>+A53+1</f>
        <v/>
      </c>
      <c r="B54" s="297" t="inlineStr">
        <is>
          <t>EXPAT'S</t>
        </is>
      </c>
      <c r="C54" s="298" t="inlineStr">
        <is>
          <t>D</t>
        </is>
      </c>
      <c r="D54" s="301" t="inlineStr">
        <is>
          <t>GARDENER</t>
        </is>
      </c>
      <c r="E54" s="535" t="n">
        <v>20</v>
      </c>
      <c r="F54" s="535" t="n">
        <v>20</v>
      </c>
      <c r="G54" s="535" t="n">
        <v>50</v>
      </c>
    </row>
    <row r="55" ht="18" customFormat="1" customHeight="1" s="163">
      <c r="A55" s="595" t="inlineStr">
        <is>
          <t>IRRIGATION SYSTEMS</t>
        </is>
      </c>
      <c r="B55" s="596" t="n"/>
      <c r="C55" s="597" t="n"/>
      <c r="D55" s="598" t="n"/>
      <c r="E55" s="533" t="n">
        <v>2</v>
      </c>
      <c r="F55" s="533">
        <f>+SUM(F56)</f>
        <v/>
      </c>
      <c r="G55" s="533">
        <f>SUM(F55:F55)</f>
        <v/>
      </c>
    </row>
    <row r="56" ht="21" customHeight="1">
      <c r="A56" s="297" t="n">
        <v>1</v>
      </c>
      <c r="B56" s="297" t="inlineStr">
        <is>
          <t>EXPAT'S</t>
        </is>
      </c>
      <c r="C56" s="298" t="inlineStr">
        <is>
          <t>C</t>
        </is>
      </c>
      <c r="D56" s="301" t="inlineStr">
        <is>
          <t>IRRIGATION TECHNICIAN</t>
        </is>
      </c>
      <c r="E56" s="535" t="n">
        <v>2</v>
      </c>
      <c r="F56" s="535" t="n">
        <v>1</v>
      </c>
      <c r="G56" s="535" t="n">
        <v>4</v>
      </c>
    </row>
    <row r="57" ht="18" customFormat="1" customHeight="1" s="163">
      <c r="A57" s="595" t="inlineStr">
        <is>
          <t>FIRE PROTECTION AND SAFETY SERVICES</t>
        </is>
      </c>
      <c r="B57" s="596" t="n"/>
      <c r="C57" s="597" t="n"/>
      <c r="D57" s="598" t="n"/>
      <c r="E57" s="533" t="n">
        <v>10</v>
      </c>
      <c r="F57" s="533">
        <f>+SUM(F58:F61)</f>
        <v/>
      </c>
      <c r="G57" s="533">
        <f>SUM(F57:F57)</f>
        <v/>
      </c>
    </row>
    <row r="58" ht="21" customHeight="1">
      <c r="A58" s="297" t="n">
        <v>1</v>
      </c>
      <c r="B58" s="297" t="inlineStr">
        <is>
          <t>EXPAT'S</t>
        </is>
      </c>
      <c r="C58" s="298" t="inlineStr">
        <is>
          <t>B</t>
        </is>
      </c>
      <c r="D58" s="301" t="inlineStr">
        <is>
          <t>FIRE PROTECTION ENGINEER</t>
        </is>
      </c>
      <c r="E58" s="535" t="n">
        <v>2</v>
      </c>
      <c r="F58" s="535" t="n">
        <v>0</v>
      </c>
      <c r="G58" s="535" t="n">
        <v>2</v>
      </c>
    </row>
    <row r="59" ht="21" customHeight="1">
      <c r="A59" s="297">
        <f>+A58+1</f>
        <v/>
      </c>
      <c r="B59" s="297" t="inlineStr">
        <is>
          <t>EXPAT'S</t>
        </is>
      </c>
      <c r="C59" s="298" t="inlineStr">
        <is>
          <t>C</t>
        </is>
      </c>
      <c r="D59" s="301" t="inlineStr">
        <is>
          <t>SUPERVISOR FIRE ALARM</t>
        </is>
      </c>
      <c r="E59" s="535" t="n">
        <v>0</v>
      </c>
      <c r="F59" s="535" t="n">
        <v>0</v>
      </c>
      <c r="G59" s="535" t="n">
        <v>0</v>
      </c>
    </row>
    <row r="60" ht="21" customHeight="1">
      <c r="A60" s="297">
        <f>+A59+1</f>
        <v/>
      </c>
      <c r="B60" s="297" t="inlineStr">
        <is>
          <t>EXPAT'S</t>
        </is>
      </c>
      <c r="C60" s="298" t="inlineStr">
        <is>
          <t>C</t>
        </is>
      </c>
      <c r="D60" s="301" t="inlineStr">
        <is>
          <t>FIRE FIGHTING TEAM LEADER</t>
        </is>
      </c>
      <c r="E60" s="535" t="n">
        <v>2</v>
      </c>
      <c r="F60" s="535" t="n">
        <v>1</v>
      </c>
      <c r="G60" s="535" t="n">
        <v>1</v>
      </c>
    </row>
    <row r="61" ht="21" customHeight="1">
      <c r="A61" s="297">
        <f>+A60+1</f>
        <v/>
      </c>
      <c r="B61" s="297" t="inlineStr">
        <is>
          <t>EXPAT'S</t>
        </is>
      </c>
      <c r="C61" s="298" t="inlineStr">
        <is>
          <t>C</t>
        </is>
      </c>
      <c r="D61" s="301" t="inlineStr">
        <is>
          <t>FIRE ALARM TECH</t>
        </is>
      </c>
      <c r="E61" s="535" t="n">
        <v>6</v>
      </c>
      <c r="F61" s="535" t="n">
        <v>5</v>
      </c>
      <c r="G61" s="535" t="n">
        <v>6</v>
      </c>
    </row>
    <row r="62" ht="18" customFormat="1" customHeight="1" s="163">
      <c r="A62" s="595" t="inlineStr">
        <is>
          <t>SECURITY SERVICES</t>
        </is>
      </c>
      <c r="B62" s="596" t="n"/>
      <c r="C62" s="597" t="n"/>
      <c r="D62" s="598" t="n"/>
      <c r="E62" s="533" t="n">
        <v>0</v>
      </c>
      <c r="F62" s="533">
        <f>+SUM(F63:F67)</f>
        <v/>
      </c>
      <c r="G62" s="533">
        <f>SUM(F62:F62)</f>
        <v/>
      </c>
    </row>
    <row r="63" ht="21" customHeight="1">
      <c r="A63" s="297" t="n">
        <v>1</v>
      </c>
      <c r="B63" s="297" t="inlineStr">
        <is>
          <t>SAUDI'S</t>
        </is>
      </c>
      <c r="C63" s="298" t="inlineStr">
        <is>
          <t>A</t>
        </is>
      </c>
      <c r="D63" s="301" t="inlineStr">
        <is>
          <t>SECURITY MANAGER</t>
        </is>
      </c>
      <c r="E63" s="537" t="inlineStr">
        <is>
          <t>-</t>
        </is>
      </c>
      <c r="F63" s="535" t="n">
        <v>1</v>
      </c>
      <c r="G63" s="535" t="n">
        <v>1</v>
      </c>
    </row>
    <row r="64" ht="21" customHeight="1">
      <c r="A64" s="297">
        <f>+A63+1</f>
        <v/>
      </c>
      <c r="B64" s="297" t="inlineStr">
        <is>
          <t>SAUDI'S</t>
        </is>
      </c>
      <c r="C64" s="298" t="inlineStr">
        <is>
          <t>A</t>
        </is>
      </c>
      <c r="D64" s="301" t="inlineStr">
        <is>
          <t>SECURITY SUPERVISOR</t>
        </is>
      </c>
      <c r="E64" s="537" t="inlineStr">
        <is>
          <t>-</t>
        </is>
      </c>
      <c r="F64" s="535" t="n">
        <v>2</v>
      </c>
      <c r="G64" s="535" t="n">
        <v>2</v>
      </c>
    </row>
    <row r="65" ht="21" customHeight="1">
      <c r="A65" s="297">
        <f>+A64+1</f>
        <v/>
      </c>
      <c r="B65" s="297" t="inlineStr">
        <is>
          <t>SAUDI'S</t>
        </is>
      </c>
      <c r="C65" s="298" t="inlineStr">
        <is>
          <t>C</t>
        </is>
      </c>
      <c r="D65" s="301" t="inlineStr">
        <is>
          <t xml:space="preserve">SECURITY ADMIN </t>
        </is>
      </c>
      <c r="E65" s="535" t="inlineStr">
        <is>
          <t>-</t>
        </is>
      </c>
      <c r="F65" s="535" t="n">
        <v>2</v>
      </c>
      <c r="G65" s="535" t="n">
        <v>2</v>
      </c>
    </row>
    <row r="66" ht="21" customHeight="1">
      <c r="A66" s="297">
        <f>+A65+1</f>
        <v/>
      </c>
      <c r="B66" s="297" t="inlineStr">
        <is>
          <t>SAUDI'S</t>
        </is>
      </c>
      <c r="C66" s="298" t="inlineStr">
        <is>
          <t>C</t>
        </is>
      </c>
      <c r="D66" s="301" t="inlineStr">
        <is>
          <t>MANNED SECURITY WATCHMAN/GUARDS</t>
        </is>
      </c>
      <c r="E66" s="535" t="inlineStr">
        <is>
          <t>-</t>
        </is>
      </c>
      <c r="F66" s="535" t="n">
        <v>33</v>
      </c>
      <c r="G66" s="535" t="n">
        <v>33</v>
      </c>
    </row>
    <row r="67" ht="21" customHeight="1">
      <c r="A67" s="297">
        <f>+A66+1</f>
        <v/>
      </c>
      <c r="B67" s="297" t="inlineStr">
        <is>
          <t>SAUDI'S</t>
        </is>
      </c>
      <c r="C67" s="298" t="inlineStr">
        <is>
          <t>D</t>
        </is>
      </c>
      <c r="D67" s="301" t="inlineStr">
        <is>
          <t>MANNED SECURITY PATROLS</t>
        </is>
      </c>
      <c r="E67" s="535" t="inlineStr">
        <is>
          <t>-</t>
        </is>
      </c>
      <c r="F67" s="535" t="n">
        <v>0</v>
      </c>
      <c r="G67" s="535" t="n">
        <v>0</v>
      </c>
    </row>
    <row r="68" ht="18" customFormat="1" customHeight="1" s="163">
      <c r="A68" s="595" t="inlineStr">
        <is>
          <t xml:space="preserve">RECREATION SERVICES  </t>
        </is>
      </c>
      <c r="B68" s="596" t="n"/>
      <c r="C68" s="597" t="n"/>
      <c r="D68" s="598" t="n"/>
      <c r="E68" s="533" t="n">
        <v>2</v>
      </c>
      <c r="F68" s="533">
        <f>+SUM(F69:F70)</f>
        <v/>
      </c>
      <c r="G68" s="533">
        <f>SUM(F68:F68)</f>
        <v/>
      </c>
    </row>
    <row r="69" ht="21" customHeight="1">
      <c r="A69" s="297" t="n">
        <v>1</v>
      </c>
      <c r="B69" s="297" t="inlineStr">
        <is>
          <t>EXPAT'S</t>
        </is>
      </c>
      <c r="C69" s="298" t="inlineStr">
        <is>
          <t>B</t>
        </is>
      </c>
      <c r="D69" s="301" t="inlineStr">
        <is>
          <t xml:space="preserve">RECREATION INCHARGE </t>
        </is>
      </c>
      <c r="E69" s="537" t="n">
        <v>1</v>
      </c>
      <c r="F69" s="535" t="n">
        <v>1</v>
      </c>
      <c r="G69" s="535" t="n">
        <v>1</v>
      </c>
    </row>
    <row r="70" ht="21" customHeight="1">
      <c r="A70" s="297">
        <f>+A69+1</f>
        <v/>
      </c>
      <c r="B70" s="297" t="inlineStr">
        <is>
          <t>EXPAT'S</t>
        </is>
      </c>
      <c r="C70" s="298" t="inlineStr">
        <is>
          <t>C</t>
        </is>
      </c>
      <c r="D70" s="301" t="inlineStr">
        <is>
          <t xml:space="preserve">RECREATION COORDINATOR </t>
        </is>
      </c>
      <c r="E70" s="537" t="n">
        <v>1</v>
      </c>
      <c r="F70" s="535" t="n">
        <v>1</v>
      </c>
      <c r="G70" s="535" t="n">
        <v>1</v>
      </c>
    </row>
    <row r="71" ht="18" customFormat="1" customHeight="1" s="163">
      <c r="A71" s="595" t="inlineStr">
        <is>
          <t>CAMP MANAGEMENT</t>
        </is>
      </c>
      <c r="B71" s="596" t="n"/>
      <c r="C71" s="597" t="n"/>
      <c r="D71" s="598" t="n"/>
      <c r="E71" s="533" t="n">
        <v>25</v>
      </c>
      <c r="F71" s="533">
        <f>+SUM(F72:F87)</f>
        <v/>
      </c>
      <c r="G71" s="533">
        <f>SUM(F71:F71)</f>
        <v/>
      </c>
    </row>
    <row r="72" ht="21" customHeight="1">
      <c r="A72" s="297" t="n">
        <v>1</v>
      </c>
      <c r="B72" s="297" t="inlineStr">
        <is>
          <t>S.EXPATS</t>
        </is>
      </c>
      <c r="C72" s="298" t="inlineStr">
        <is>
          <t>A</t>
        </is>
      </c>
      <c r="D72" s="299" t="inlineStr">
        <is>
          <t>FACILITY MANAGER</t>
        </is>
      </c>
      <c r="E72" s="535" t="n">
        <v>1</v>
      </c>
      <c r="F72" s="535" t="n">
        <v>1</v>
      </c>
      <c r="G72" s="535" t="n">
        <v>1</v>
      </c>
    </row>
    <row r="73" ht="21" customHeight="1">
      <c r="A73" s="297">
        <f>+A72+1</f>
        <v/>
      </c>
      <c r="B73" s="297" t="inlineStr">
        <is>
          <t>S.EXPATS</t>
        </is>
      </c>
      <c r="C73" s="298" t="inlineStr">
        <is>
          <t>A</t>
        </is>
      </c>
      <c r="D73" s="299" t="inlineStr">
        <is>
          <t>HARD SERVICES MANAGERS</t>
        </is>
      </c>
      <c r="E73" s="535" t="n">
        <v>1</v>
      </c>
      <c r="F73" s="535" t="n">
        <v>1</v>
      </c>
      <c r="G73" s="535" t="n">
        <v>1</v>
      </c>
    </row>
    <row r="74" ht="21" customHeight="1">
      <c r="A74" s="297">
        <f>+A73+1</f>
        <v/>
      </c>
      <c r="B74" s="297" t="inlineStr">
        <is>
          <t>EXPAT'S</t>
        </is>
      </c>
      <c r="C74" s="298" t="inlineStr">
        <is>
          <t>A</t>
        </is>
      </c>
      <c r="D74" s="299" t="inlineStr">
        <is>
          <t>SOFT SERVICES MANAGERS</t>
        </is>
      </c>
      <c r="E74" s="535" t="n">
        <v>1</v>
      </c>
      <c r="F74" s="535" t="n">
        <v>1</v>
      </c>
      <c r="G74" s="535" t="n">
        <v>2</v>
      </c>
    </row>
    <row r="75" ht="21" customHeight="1">
      <c r="A75" s="297">
        <f>+A74+1</f>
        <v/>
      </c>
      <c r="B75" s="297" t="inlineStr">
        <is>
          <t>S.EXPATS</t>
        </is>
      </c>
      <c r="C75" s="298" t="inlineStr">
        <is>
          <t>A</t>
        </is>
      </c>
      <c r="D75" s="299" t="inlineStr">
        <is>
          <t xml:space="preserve">OFFICE MANAGER/HR MANAGER </t>
        </is>
      </c>
      <c r="E75" s="535" t="n">
        <v>1</v>
      </c>
      <c r="F75" s="535" t="n">
        <v>0</v>
      </c>
      <c r="G75" s="535" t="n">
        <v>0</v>
      </c>
    </row>
    <row r="76" ht="21" customHeight="1">
      <c r="A76" s="297">
        <f>+A75+1</f>
        <v/>
      </c>
      <c r="B76" s="297" t="inlineStr">
        <is>
          <t>EXPAT'S</t>
        </is>
      </c>
      <c r="C76" s="298" t="inlineStr">
        <is>
          <t>C</t>
        </is>
      </c>
      <c r="D76" s="299" t="inlineStr">
        <is>
          <t>HARD SERVICE COORDINATORS</t>
        </is>
      </c>
      <c r="E76" s="535" t="n">
        <v>1</v>
      </c>
      <c r="F76" s="535" t="n">
        <v>0</v>
      </c>
      <c r="G76" s="535" t="n">
        <v>0</v>
      </c>
    </row>
    <row r="77" ht="21" customHeight="1">
      <c r="A77" s="297">
        <f>+A76+1</f>
        <v/>
      </c>
      <c r="B77" s="297" t="inlineStr">
        <is>
          <t>EXPAT'S</t>
        </is>
      </c>
      <c r="C77" s="298" t="inlineStr">
        <is>
          <t>D</t>
        </is>
      </c>
      <c r="D77" s="299" t="inlineStr">
        <is>
          <t>SOFT SERVICE COORDINATORS</t>
        </is>
      </c>
      <c r="E77" s="535" t="n">
        <v>1</v>
      </c>
      <c r="F77" s="535" t="n">
        <v>1</v>
      </c>
      <c r="G77" s="535" t="n">
        <v>1</v>
      </c>
    </row>
    <row r="78" ht="21" customHeight="1">
      <c r="A78" s="297">
        <f>+A77+1</f>
        <v/>
      </c>
      <c r="B78" s="297" t="inlineStr">
        <is>
          <t>EXPAT'S</t>
        </is>
      </c>
      <c r="C78" s="298" t="inlineStr">
        <is>
          <t>A</t>
        </is>
      </c>
      <c r="D78" s="299" t="inlineStr">
        <is>
          <t>ADMINISTRATORS</t>
        </is>
      </c>
      <c r="E78" s="535" t="n">
        <v>2</v>
      </c>
      <c r="F78" s="535" t="n">
        <v>2</v>
      </c>
      <c r="G78" s="535" t="n">
        <v>2</v>
      </c>
    </row>
    <row r="79" ht="21" customHeight="1">
      <c r="A79" s="297">
        <f>+A78+1</f>
        <v/>
      </c>
      <c r="B79" s="297" t="inlineStr">
        <is>
          <t>SAUDI'S</t>
        </is>
      </c>
      <c r="C79" s="298" t="inlineStr">
        <is>
          <t>A</t>
        </is>
      </c>
      <c r="D79" s="299" t="inlineStr">
        <is>
          <t xml:space="preserve">IMAM FOR MOSQUE </t>
        </is>
      </c>
      <c r="E79" s="535" t="n">
        <v>1</v>
      </c>
      <c r="F79" s="535" t="n">
        <v>2</v>
      </c>
      <c r="G79" s="535" t="n">
        <v>2</v>
      </c>
    </row>
    <row r="80" ht="21" customHeight="1">
      <c r="A80" s="297">
        <f>+A79+1</f>
        <v/>
      </c>
      <c r="B80" s="297" t="inlineStr">
        <is>
          <t>EXPAT'S</t>
        </is>
      </c>
      <c r="C80" s="298" t="inlineStr">
        <is>
          <t>C</t>
        </is>
      </c>
      <c r="D80" s="299" t="inlineStr">
        <is>
          <t>WARE HOUSE INCHARGE</t>
        </is>
      </c>
      <c r="E80" s="535" t="n">
        <v>1</v>
      </c>
      <c r="F80" s="535" t="n">
        <v>1</v>
      </c>
      <c r="G80" s="535" t="n">
        <v>1</v>
      </c>
    </row>
    <row r="81" ht="21" customHeight="1">
      <c r="A81" s="297">
        <f>+A80+1</f>
        <v/>
      </c>
      <c r="B81" s="297" t="inlineStr">
        <is>
          <t>EXPAT'S</t>
        </is>
      </c>
      <c r="C81" s="298" t="inlineStr">
        <is>
          <t>C</t>
        </is>
      </c>
      <c r="D81" s="299" t="inlineStr">
        <is>
          <t>CAFM/HELP DESK OPERATOR</t>
        </is>
      </c>
      <c r="E81" s="535" t="n">
        <v>3</v>
      </c>
      <c r="F81" s="535" t="n">
        <v>3</v>
      </c>
      <c r="G81" s="535" t="n">
        <v>4</v>
      </c>
    </row>
    <row r="82" ht="21" customHeight="1">
      <c r="A82" s="297">
        <f>+A81+1</f>
        <v/>
      </c>
      <c r="B82" s="297" t="inlineStr">
        <is>
          <t>EXPAT'S</t>
        </is>
      </c>
      <c r="C82" s="298" t="inlineStr">
        <is>
          <t>B</t>
        </is>
      </c>
      <c r="D82" s="299" t="inlineStr">
        <is>
          <t>ACCOMODATION INCHARGE</t>
        </is>
      </c>
      <c r="E82" s="535" t="n">
        <v>1</v>
      </c>
      <c r="F82" s="535" t="n">
        <v>1</v>
      </c>
      <c r="G82" s="535" t="n">
        <v>1</v>
      </c>
    </row>
    <row r="83" ht="21" customHeight="1">
      <c r="A83" s="297">
        <f>+A82+1</f>
        <v/>
      </c>
      <c r="B83" s="297" t="inlineStr">
        <is>
          <t>EXPAT'S</t>
        </is>
      </c>
      <c r="C83" s="298" t="inlineStr">
        <is>
          <t>B</t>
        </is>
      </c>
      <c r="D83" s="299" t="inlineStr">
        <is>
          <t xml:space="preserve">ID ISSUING INCHARGE </t>
        </is>
      </c>
      <c r="E83" s="535" t="n">
        <v>2</v>
      </c>
      <c r="F83" s="535" t="n">
        <v>0</v>
      </c>
      <c r="G83" s="535" t="n">
        <v>1</v>
      </c>
    </row>
    <row r="84" ht="21" customHeight="1">
      <c r="A84" s="297">
        <f>+A83+1</f>
        <v/>
      </c>
      <c r="B84" s="297" t="inlineStr">
        <is>
          <t>EXPAT'S</t>
        </is>
      </c>
      <c r="C84" s="298" t="inlineStr">
        <is>
          <t>B</t>
        </is>
      </c>
      <c r="D84" s="299" t="inlineStr">
        <is>
          <t xml:space="preserve">ACCOMODATION ADMIN </t>
        </is>
      </c>
      <c r="E84" s="535" t="n">
        <v>4</v>
      </c>
      <c r="F84" s="535" t="n">
        <v>3</v>
      </c>
      <c r="G84" s="535" t="n">
        <v>3</v>
      </c>
    </row>
    <row r="85" ht="21" customHeight="1">
      <c r="A85" s="297">
        <f>+A84+1</f>
        <v/>
      </c>
      <c r="B85" s="297" t="inlineStr">
        <is>
          <t>EXPAT'S</t>
        </is>
      </c>
      <c r="C85" s="298" t="inlineStr">
        <is>
          <t>C</t>
        </is>
      </c>
      <c r="D85" s="299" t="inlineStr">
        <is>
          <t xml:space="preserve">KEY CUSTODIAN </t>
        </is>
      </c>
      <c r="E85" s="535" t="n">
        <v>2</v>
      </c>
      <c r="F85" s="535" t="n">
        <v>1</v>
      </c>
      <c r="G85" s="535" t="n">
        <v>1</v>
      </c>
    </row>
    <row r="86" ht="21" customHeight="1">
      <c r="A86" s="297">
        <f>+A85+1</f>
        <v/>
      </c>
      <c r="B86" s="297" t="inlineStr">
        <is>
          <t>EXPAT'S</t>
        </is>
      </c>
      <c r="C86" s="298" t="inlineStr">
        <is>
          <t>C</t>
        </is>
      </c>
      <c r="D86" s="299" t="inlineStr">
        <is>
          <t>DOCUMENT CONTROLLER</t>
        </is>
      </c>
      <c r="E86" s="535" t="n">
        <v>2</v>
      </c>
      <c r="F86" s="535" t="n">
        <v>2</v>
      </c>
      <c r="G86" s="535" t="n">
        <v>2</v>
      </c>
    </row>
    <row r="87" ht="21" customHeight="1">
      <c r="A87" s="297">
        <f>+A86+1</f>
        <v/>
      </c>
      <c r="B87" s="297" t="inlineStr">
        <is>
          <t>EXPAT'S</t>
        </is>
      </c>
      <c r="C87" s="298" t="inlineStr">
        <is>
          <t>B</t>
        </is>
      </c>
      <c r="D87" s="299" t="inlineStr">
        <is>
          <t>PROCUREMENT OFFICER</t>
        </is>
      </c>
      <c r="E87" s="535" t="n">
        <v>1</v>
      </c>
      <c r="F87" s="535" t="n">
        <v>0</v>
      </c>
      <c r="G87" s="535" t="n">
        <v>0</v>
      </c>
    </row>
    <row r="88" ht="18" customFormat="1" customHeight="1" s="163">
      <c r="A88" s="595" t="inlineStr">
        <is>
          <t>GOVERNMENT LIAISON SERVICES</t>
        </is>
      </c>
      <c r="B88" s="596" t="n"/>
      <c r="C88" s="597" t="n"/>
      <c r="D88" s="598" t="n"/>
      <c r="E88" s="533" t="n">
        <v>0</v>
      </c>
      <c r="F88" s="533">
        <f>+SUM(F89)</f>
        <v/>
      </c>
      <c r="G88" s="533">
        <f>SUM(F88:F88)</f>
        <v/>
      </c>
    </row>
    <row r="89" ht="21" customHeight="1">
      <c r="A89" s="297" t="n">
        <v>1</v>
      </c>
      <c r="B89" s="297" t="inlineStr">
        <is>
          <t>SAUDI'S</t>
        </is>
      </c>
      <c r="C89" s="298" t="inlineStr">
        <is>
          <t>B</t>
        </is>
      </c>
      <c r="D89" s="299" t="inlineStr">
        <is>
          <t>RELATIONSHIP OFFICER</t>
        </is>
      </c>
      <c r="E89" s="535" t="inlineStr">
        <is>
          <t>-</t>
        </is>
      </c>
      <c r="F89" s="535" t="n">
        <v>0</v>
      </c>
      <c r="G89" s="535" t="n">
        <v>0</v>
      </c>
    </row>
    <row r="90" ht="18" customFormat="1" customHeight="1" s="163">
      <c r="A90" s="595" t="inlineStr">
        <is>
          <t>HOUSEKEEPING &amp; JANITORIAL SERVICES</t>
        </is>
      </c>
      <c r="B90" s="596" t="n"/>
      <c r="C90" s="597" t="n"/>
      <c r="D90" s="598" t="n"/>
      <c r="E90" s="533" t="n">
        <v>141</v>
      </c>
      <c r="F90" s="533">
        <f>+SUM(F91:F99)</f>
        <v/>
      </c>
      <c r="G90" s="533">
        <f>SUM(F90:F90)</f>
        <v/>
      </c>
    </row>
    <row r="91" ht="21" customHeight="1">
      <c r="A91" s="297" t="n">
        <v>1</v>
      </c>
      <c r="B91" s="297" t="inlineStr">
        <is>
          <t>EXPAT'S</t>
        </is>
      </c>
      <c r="C91" s="298" t="inlineStr">
        <is>
          <t>C</t>
        </is>
      </c>
      <c r="D91" s="301" t="inlineStr">
        <is>
          <t>CLEANING SUPERVISOR</t>
        </is>
      </c>
      <c r="E91" s="535" t="n">
        <v>12</v>
      </c>
      <c r="F91" s="535" t="n">
        <v>12</v>
      </c>
      <c r="G91" s="535" t="n">
        <v>12</v>
      </c>
    </row>
    <row r="92" ht="21" customHeight="1">
      <c r="A92" s="297">
        <f>+A91+1</f>
        <v/>
      </c>
      <c r="B92" s="297" t="inlineStr">
        <is>
          <t>EXPAT'S</t>
        </is>
      </c>
      <c r="C92" s="298" t="inlineStr">
        <is>
          <t>C</t>
        </is>
      </c>
      <c r="D92" s="301" t="inlineStr">
        <is>
          <t xml:space="preserve">HOUSEKEEPRS -MALE </t>
        </is>
      </c>
      <c r="E92" s="535" t="n">
        <v>92</v>
      </c>
      <c r="F92" s="535" t="n">
        <v>90</v>
      </c>
      <c r="G92" s="535" t="n">
        <v>90</v>
      </c>
    </row>
    <row r="93" ht="21" customHeight="1">
      <c r="A93" s="297">
        <f>+A92+1</f>
        <v/>
      </c>
      <c r="B93" s="297" t="inlineStr">
        <is>
          <t>EXPAT'S</t>
        </is>
      </c>
      <c r="C93" s="298" t="inlineStr">
        <is>
          <t>C</t>
        </is>
      </c>
      <c r="D93" s="301" t="inlineStr">
        <is>
          <t xml:space="preserve">CLEANERS-MALE </t>
        </is>
      </c>
      <c r="E93" s="535" t="n">
        <v>16</v>
      </c>
      <c r="F93" s="535" t="n">
        <v>16</v>
      </c>
      <c r="G93" s="535" t="n">
        <v>17</v>
      </c>
    </row>
    <row r="94" ht="21" customHeight="1">
      <c r="A94" s="297">
        <f>+A93+1</f>
        <v/>
      </c>
      <c r="B94" s="297" t="inlineStr">
        <is>
          <t>EXPAT'S</t>
        </is>
      </c>
      <c r="C94" s="298" t="inlineStr">
        <is>
          <t>C</t>
        </is>
      </c>
      <c r="D94" s="301" t="inlineStr">
        <is>
          <t>TEA BOY FM OPERATION OFFICE</t>
        </is>
      </c>
      <c r="E94" s="535" t="n">
        <v>2</v>
      </c>
      <c r="F94" s="535" t="n">
        <v>1</v>
      </c>
      <c r="G94" s="535" t="n">
        <v>1</v>
      </c>
    </row>
    <row r="95" ht="21" customHeight="1">
      <c r="A95" s="297">
        <f>+A94+1</f>
        <v/>
      </c>
      <c r="B95" s="297" t="inlineStr">
        <is>
          <t>EXPAT'S</t>
        </is>
      </c>
      <c r="C95" s="298" t="inlineStr">
        <is>
          <t>C</t>
        </is>
      </c>
      <c r="D95" s="301" t="inlineStr">
        <is>
          <t xml:space="preserve">TEAM LEADER MESS HALL </t>
        </is>
      </c>
      <c r="E95" s="535" t="n">
        <v>2</v>
      </c>
      <c r="F95" s="535" t="n">
        <v>0</v>
      </c>
      <c r="G95" s="535" t="n">
        <v>0</v>
      </c>
    </row>
    <row r="96" ht="21" customHeight="1">
      <c r="A96" s="297">
        <f>+A95+1</f>
        <v/>
      </c>
      <c r="B96" s="297" t="inlineStr">
        <is>
          <t>EXPAT'S</t>
        </is>
      </c>
      <c r="C96" s="298" t="inlineStr">
        <is>
          <t>C</t>
        </is>
      </c>
      <c r="D96" s="301" t="inlineStr">
        <is>
          <t>LITTER PICKER SUPERVISOR</t>
        </is>
      </c>
      <c r="E96" s="535" t="n">
        <v>2</v>
      </c>
      <c r="F96" s="535" t="n">
        <v>0</v>
      </c>
      <c r="G96" s="535" t="n">
        <v>2</v>
      </c>
    </row>
    <row r="97" ht="21" customHeight="1">
      <c r="A97" s="297">
        <f>+A96+1</f>
        <v/>
      </c>
      <c r="B97" s="297" t="inlineStr">
        <is>
          <t>EXPAT'S</t>
        </is>
      </c>
      <c r="C97" s="298" t="inlineStr">
        <is>
          <t>C</t>
        </is>
      </c>
      <c r="D97" s="301" t="inlineStr">
        <is>
          <t xml:space="preserve">LITTER PICKER </t>
        </is>
      </c>
      <c r="E97" s="535" t="n">
        <v>10</v>
      </c>
      <c r="F97" s="535" t="n">
        <v>10</v>
      </c>
      <c r="G97" s="535" t="n">
        <v>10</v>
      </c>
    </row>
    <row r="98" ht="21" customHeight="1">
      <c r="A98" s="297">
        <f>+A97+1</f>
        <v/>
      </c>
      <c r="B98" s="297" t="inlineStr">
        <is>
          <t>EXPAT'S</t>
        </is>
      </c>
      <c r="C98" s="298" t="inlineStr">
        <is>
          <t>C</t>
        </is>
      </c>
      <c r="D98" s="301" t="inlineStr">
        <is>
          <t>ROAD SWEEPER DRIVER</t>
        </is>
      </c>
      <c r="E98" s="535" t="n">
        <v>1</v>
      </c>
      <c r="F98" s="535" t="n">
        <v>1</v>
      </c>
      <c r="G98" s="535" t="n">
        <v>1</v>
      </c>
    </row>
    <row r="99" ht="21" customHeight="1">
      <c r="A99" s="297">
        <f>+A98+1</f>
        <v/>
      </c>
      <c r="B99" s="297" t="inlineStr">
        <is>
          <t>EXPAT'S</t>
        </is>
      </c>
      <c r="C99" s="298" t="inlineStr">
        <is>
          <t>C</t>
        </is>
      </c>
      <c r="D99" s="301" t="inlineStr">
        <is>
          <t>BARBER</t>
        </is>
      </c>
      <c r="E99" s="535" t="n">
        <v>4</v>
      </c>
      <c r="F99" s="535" t="n">
        <v>3</v>
      </c>
      <c r="G99" s="535" t="n">
        <v>3</v>
      </c>
    </row>
    <row r="100" ht="18" customFormat="1" customHeight="1" s="163">
      <c r="A100" s="595" t="inlineStr">
        <is>
          <t>LAUNDRY SERVICES</t>
        </is>
      </c>
      <c r="B100" s="596" t="n"/>
      <c r="C100" s="597" t="n"/>
      <c r="D100" s="598" t="n"/>
      <c r="E100" s="533" t="n">
        <v>42</v>
      </c>
      <c r="F100" s="533">
        <f>+SUM(F101:F104)</f>
        <v/>
      </c>
      <c r="G100" s="533">
        <f>SUM(F100:F100)</f>
        <v/>
      </c>
    </row>
    <row r="101" ht="21" customHeight="1">
      <c r="A101" s="297" t="n">
        <v>1</v>
      </c>
      <c r="B101" s="297" t="inlineStr">
        <is>
          <t>EXPAT'S</t>
        </is>
      </c>
      <c r="C101" s="298" t="inlineStr">
        <is>
          <t>A</t>
        </is>
      </c>
      <c r="D101" s="301" t="inlineStr">
        <is>
          <t>LAUNDRY SUPERVISOR</t>
        </is>
      </c>
      <c r="E101" s="535" t="n">
        <v>2</v>
      </c>
      <c r="F101" s="535" t="n">
        <v>2</v>
      </c>
      <c r="G101" s="535" t="n">
        <v>2</v>
      </c>
    </row>
    <row r="102" ht="21" customHeight="1">
      <c r="A102" s="297">
        <f>+A101+1</f>
        <v/>
      </c>
      <c r="B102" s="297" t="inlineStr">
        <is>
          <t>EXPAT'S</t>
        </is>
      </c>
      <c r="C102" s="298" t="inlineStr">
        <is>
          <t>C</t>
        </is>
      </c>
      <c r="D102" s="301" t="inlineStr">
        <is>
          <t>LAUNDRY TEAM LEADER</t>
        </is>
      </c>
      <c r="E102" s="535" t="n">
        <v>2</v>
      </c>
      <c r="F102" s="535" t="n">
        <v>2</v>
      </c>
      <c r="G102" s="535" t="n">
        <v>2</v>
      </c>
    </row>
    <row r="103" ht="21" customHeight="1">
      <c r="A103" s="297">
        <f>+A102+1</f>
        <v/>
      </c>
      <c r="B103" s="297" t="inlineStr">
        <is>
          <t>EXPAT'S</t>
        </is>
      </c>
      <c r="C103" s="298" t="inlineStr">
        <is>
          <t>C</t>
        </is>
      </c>
      <c r="D103" s="301" t="inlineStr">
        <is>
          <t>LAUNDRY OPERATIVES</t>
        </is>
      </c>
      <c r="E103" s="535" t="n">
        <v>36</v>
      </c>
      <c r="F103" s="535" t="n">
        <v>36</v>
      </c>
      <c r="G103" s="535" t="n">
        <v>37</v>
      </c>
    </row>
    <row r="104" ht="21" customHeight="1">
      <c r="A104" s="297">
        <f>+A103+1</f>
        <v/>
      </c>
      <c r="B104" s="297" t="inlineStr">
        <is>
          <t>EXPAT'S</t>
        </is>
      </c>
      <c r="C104" s="298" t="inlineStr">
        <is>
          <t>C</t>
        </is>
      </c>
      <c r="D104" s="301" t="inlineStr">
        <is>
          <t xml:space="preserve">LAUNDRY VEHCILE DRIVER </t>
        </is>
      </c>
      <c r="E104" s="535" t="n">
        <v>2</v>
      </c>
      <c r="F104" s="535" t="n">
        <v>0</v>
      </c>
      <c r="G104" s="535" t="n">
        <v>0</v>
      </c>
    </row>
    <row r="105" ht="17.25" customHeight="1">
      <c r="A105" s="300" t="n"/>
      <c r="B105" s="303" t="n"/>
      <c r="C105" s="303" t="n"/>
      <c r="D105" s="304" t="n"/>
      <c r="E105" s="542" t="n">
        <v>402</v>
      </c>
      <c r="F105" s="542" t="n">
        <v>90</v>
      </c>
      <c r="G105" s="542">
        <f>SUM(G100,G90,G88,G71,G68,G62,G57,G55,G52,G49,G46,G28,G24,G22,G18,G15,G10,G2)</f>
        <v/>
      </c>
    </row>
    <row r="109" ht="15" customHeight="1">
      <c r="G109" s="176" t="n"/>
    </row>
    <row r="110" ht="15" customFormat="1" customHeight="1" s="520">
      <c r="B110" s="153" t="n"/>
      <c r="C110" s="543" t="n"/>
      <c r="D110" s="287" t="n"/>
      <c r="G110" s="176" t="n"/>
    </row>
    <row r="111" ht="15" customFormat="1" customHeight="1" s="520">
      <c r="B111" s="153" t="n"/>
      <c r="C111" s="543" t="n"/>
      <c r="D111" s="287" t="n"/>
    </row>
    <row r="112" ht="15" customFormat="1" customHeight="1" s="520">
      <c r="B112" s="153" t="n"/>
      <c r="C112" s="543" t="n"/>
      <c r="D112" s="287" t="n"/>
    </row>
    <row r="113" ht="15" customFormat="1" customHeight="1" s="520">
      <c r="B113" s="153" t="n"/>
      <c r="C113" s="543" t="n"/>
      <c r="D113" s="287" t="n"/>
    </row>
    <row r="114" ht="15" customFormat="1" customHeight="1" s="520">
      <c r="B114" s="153" t="n"/>
      <c r="C114" s="543" t="n"/>
      <c r="D114" s="287" t="n"/>
    </row>
    <row r="115" ht="15" customFormat="1" customHeight="1" s="520">
      <c r="B115" s="153" t="n"/>
      <c r="C115" s="543" t="n"/>
      <c r="D115" s="287" t="n"/>
    </row>
    <row r="118" ht="15" customFormat="1" customHeight="1" s="520">
      <c r="B118" s="153" t="n"/>
      <c r="C118" s="543" t="n"/>
      <c r="D118" s="287" t="n"/>
    </row>
    <row r="119" ht="15" customFormat="1" customHeight="1" s="520">
      <c r="B119" s="153" t="n"/>
      <c r="C119" s="543" t="n"/>
      <c r="D119" s="287" t="n"/>
    </row>
    <row r="120" ht="15" customFormat="1" customHeight="1" s="520">
      <c r="B120" s="153" t="n"/>
      <c r="C120" s="543" t="n"/>
      <c r="D120" s="287" t="n"/>
    </row>
    <row r="121" ht="15" customFormat="1" customHeight="1" s="520">
      <c r="B121" s="153" t="n"/>
      <c r="C121" s="543" t="n"/>
      <c r="D121" s="287" t="n"/>
    </row>
    <row r="122" ht="15" customFormat="1" customHeight="1" s="520">
      <c r="B122" s="153" t="n"/>
      <c r="C122" s="543" t="n"/>
      <c r="D122" s="287" t="n"/>
    </row>
    <row r="123" ht="15" customFormat="1" customHeight="1" s="520">
      <c r="B123" s="153" t="n"/>
      <c r="C123" s="543" t="n"/>
      <c r="D123" s="287" t="n"/>
    </row>
    <row r="124" ht="15" customFormat="1" customHeight="1" s="520">
      <c r="B124" s="153" t="n"/>
      <c r="C124" s="543" t="n"/>
      <c r="D124" s="287" t="n"/>
    </row>
    <row r="125" ht="15" customFormat="1" customHeight="1" s="520">
      <c r="B125" s="153" t="n"/>
      <c r="C125" s="543" t="n"/>
      <c r="D125" s="287" t="n"/>
    </row>
    <row r="126" ht="15" customFormat="1" customHeight="1" s="520">
      <c r="B126" s="153" t="n"/>
      <c r="C126" s="543" t="n"/>
      <c r="D126" s="287" t="n"/>
    </row>
    <row r="127" ht="15" customFormat="1" customHeight="1" s="520">
      <c r="B127" s="153" t="n"/>
      <c r="C127" s="543" t="n"/>
      <c r="D127" s="287" t="n"/>
    </row>
    <row r="128" ht="15" customFormat="1" customHeight="1" s="520">
      <c r="B128" s="153" t="n"/>
      <c r="C128" s="543" t="n"/>
      <c r="D128" s="287" t="n"/>
    </row>
    <row r="130" ht="15" customFormat="1" customHeight="1" s="520">
      <c r="B130" s="153" t="n"/>
      <c r="C130" s="543" t="n"/>
      <c r="D130" s="287" t="n"/>
    </row>
    <row r="131" ht="15" customFormat="1" customHeight="1" s="520">
      <c r="B131" s="153" t="n"/>
      <c r="C131" s="543" t="n"/>
      <c r="D131" s="287" t="n"/>
    </row>
    <row r="132" ht="15" customFormat="1" customHeight="1" s="520">
      <c r="B132" s="153" t="n"/>
      <c r="C132" s="543" t="n"/>
      <c r="D132" s="287" t="n"/>
    </row>
    <row r="133" ht="15" customFormat="1" customHeight="1" s="520">
      <c r="B133" s="153" t="n"/>
      <c r="C133" s="543" t="n"/>
      <c r="D133" s="287" t="n"/>
    </row>
    <row r="134" ht="15" customFormat="1" customHeight="1" s="520">
      <c r="B134" s="153" t="n"/>
      <c r="C134" s="543" t="n"/>
      <c r="D134" s="287" t="n"/>
    </row>
    <row r="135" ht="15" customFormat="1" customHeight="1" s="520">
      <c r="B135" s="153" t="n"/>
      <c r="C135" s="543" t="n"/>
      <c r="D135" s="287" t="n"/>
    </row>
    <row r="136" ht="15" customFormat="1" customHeight="1" s="520">
      <c r="B136" s="153" t="n"/>
      <c r="C136" s="543" t="n"/>
      <c r="D136" s="287" t="n"/>
    </row>
    <row r="137" ht="15" customFormat="1" customHeight="1" s="520">
      <c r="B137" s="153" t="n"/>
      <c r="C137" s="543" t="n"/>
      <c r="D137" s="287" t="n"/>
    </row>
    <row r="138" ht="15" customFormat="1" customHeight="1" s="520">
      <c r="B138" s="153" t="n"/>
      <c r="C138" s="543" t="n"/>
      <c r="D138" s="287" t="n"/>
    </row>
    <row r="139" ht="15" customFormat="1" customHeight="1" s="520">
      <c r="B139" s="153" t="n"/>
      <c r="C139" s="543" t="n"/>
      <c r="D139" s="287" t="n"/>
    </row>
    <row r="140" ht="15" customFormat="1" customHeight="1" s="520">
      <c r="B140" s="153" t="n"/>
      <c r="C140" s="543" t="n"/>
      <c r="D140" s="287" t="n"/>
    </row>
    <row r="141" ht="15" customFormat="1" customHeight="1" s="520">
      <c r="B141" s="153" t="n"/>
      <c r="C141" s="543" t="n"/>
      <c r="D141" s="287" t="n"/>
    </row>
    <row r="143" ht="15" customFormat="1" customHeight="1" s="520">
      <c r="B143" s="153" t="n"/>
      <c r="C143" s="543" t="n"/>
      <c r="D143" s="287" t="n"/>
    </row>
    <row r="144" ht="15" customFormat="1" customHeight="1" s="520">
      <c r="B144" s="153" t="n"/>
      <c r="C144" s="543" t="n"/>
      <c r="D144" s="287" t="n"/>
    </row>
    <row r="145" ht="15" customFormat="1" customHeight="1" s="520">
      <c r="B145" s="153" t="n"/>
      <c r="C145" s="543" t="n"/>
      <c r="D145" s="287" t="n"/>
    </row>
    <row r="146" ht="15" customFormat="1" customHeight="1" s="520">
      <c r="B146" s="153" t="n"/>
      <c r="C146" s="543" t="n"/>
      <c r="D146" s="287" t="n"/>
    </row>
    <row r="147" ht="15" customFormat="1" customHeight="1" s="520">
      <c r="B147" s="153" t="n"/>
      <c r="C147" s="543" t="n"/>
      <c r="D147" s="287" t="n"/>
    </row>
    <row r="148" ht="15" customFormat="1" customHeight="1" s="520">
      <c r="B148" s="153" t="n"/>
      <c r="C148" s="543" t="n"/>
      <c r="D148" s="287" t="n"/>
    </row>
    <row r="149" ht="15" customFormat="1" customHeight="1" s="520">
      <c r="B149" s="153" t="n"/>
      <c r="C149" s="543" t="n"/>
      <c r="D149" s="287" t="n"/>
    </row>
    <row r="150" ht="15" customFormat="1" customHeight="1" s="520">
      <c r="B150" s="153" t="n"/>
      <c r="C150" s="543" t="n"/>
      <c r="D150" s="287" t="n"/>
    </row>
    <row r="151" ht="15" customFormat="1" customHeight="1" s="520">
      <c r="B151" s="153" t="n"/>
      <c r="C151" s="543" t="n"/>
      <c r="D151" s="287" t="n"/>
    </row>
    <row r="152" ht="15" customFormat="1" customHeight="1" s="520">
      <c r="B152" s="153" t="n"/>
      <c r="C152" s="543" t="n"/>
      <c r="D152" s="287" t="n"/>
    </row>
    <row r="153" ht="15" customFormat="1" customHeight="1" s="520">
      <c r="B153" s="153" t="n"/>
      <c r="C153" s="543" t="n"/>
      <c r="D153" s="287"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6" text="SAUDI'S">
      <formula>NOT(ISERROR(SEARCH("SAUDI'S",B2)))</formula>
    </cfRule>
  </conditionalFormatting>
  <conditionalFormatting sqref="D101:D104">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6"/>
  <sheetViews>
    <sheetView zoomScale="80" zoomScaleNormal="80" workbookViewId="0">
      <pane ySplit="3" topLeftCell="A90" activePane="bottomLeft" state="frozen"/>
      <selection activeCell="E39" sqref="E39"/>
      <selection pane="bottomLeft" activeCell="K107" sqref="K107"/>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324" t="inlineStr">
        <is>
          <t>Project Manager</t>
        </is>
      </c>
      <c r="B4" s="323" t="n">
        <v>1</v>
      </c>
      <c r="C4" s="323" t="n">
        <v>0</v>
      </c>
      <c r="D4" s="323">
        <f>B4-C4</f>
        <v/>
      </c>
      <c r="E4" s="338" t="n"/>
      <c r="F4" s="446" t="inlineStr">
        <is>
          <t>Site Management</t>
        </is>
      </c>
      <c r="G4" s="338" t="n"/>
      <c r="H4" s="397" t="n"/>
      <c r="I4" s="446" t="inlineStr">
        <is>
          <t>Vacant</t>
        </is>
      </c>
      <c r="J4" s="599" t="n"/>
      <c r="K4" s="18" t="n"/>
      <c r="L4" s="18" t="n"/>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324" t="inlineStr">
        <is>
          <t>Accommodation Admin</t>
        </is>
      </c>
      <c r="B5" s="323" t="n">
        <v>1</v>
      </c>
      <c r="C5" s="323" t="n">
        <v>0</v>
      </c>
      <c r="D5" s="323">
        <f>B5-C5</f>
        <v/>
      </c>
      <c r="E5" s="338" t="n"/>
      <c r="F5" s="446" t="inlineStr">
        <is>
          <t>Site Management</t>
        </is>
      </c>
      <c r="G5" s="338" t="n"/>
      <c r="H5" s="341" t="n"/>
      <c r="I5" s="446" t="inlineStr">
        <is>
          <t>Vacant</t>
        </is>
      </c>
      <c r="J5" s="599" t="n"/>
      <c r="K5" s="18" t="n"/>
      <c r="L5" s="34" t="n"/>
      <c r="N5" s="35" t="inlineStr">
        <is>
          <t>Approved</t>
        </is>
      </c>
      <c r="O5" s="420">
        <f>COUNTIF(I4:I82,"approved")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324" t="inlineStr">
        <is>
          <t>Warehouse Incharge</t>
        </is>
      </c>
      <c r="B6" s="323" t="n">
        <v>1</v>
      </c>
      <c r="C6" s="323" t="n">
        <v>1</v>
      </c>
      <c r="D6" s="323">
        <f>B6-C6</f>
        <v/>
      </c>
      <c r="E6" s="338" t="inlineStr">
        <is>
          <t>MD JAVED KHAN</t>
        </is>
      </c>
      <c r="F6" s="446" t="inlineStr">
        <is>
          <t>Site Management</t>
        </is>
      </c>
      <c r="G6" s="338" t="n">
        <v>702875</v>
      </c>
      <c r="H6" s="338" t="n">
        <v>2563545702</v>
      </c>
      <c r="I6" s="446" t="inlineStr">
        <is>
          <t>Approved</t>
        </is>
      </c>
      <c r="J6" s="599" t="n">
        <v>45666</v>
      </c>
      <c r="K6" s="18" t="inlineStr">
        <is>
          <t>FMCO</t>
        </is>
      </c>
      <c r="L6" s="37" t="n"/>
      <c r="N6" s="38" t="inlineStr">
        <is>
          <t>Rejected</t>
        </is>
      </c>
      <c r="O6" s="421">
        <f>COUNTIF(I4:I82,"Rejected")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324" t="inlineStr">
        <is>
          <t>CAFM Operator/Admin</t>
        </is>
      </c>
      <c r="B7" s="323" t="n">
        <v>1</v>
      </c>
      <c r="C7" s="323" t="n">
        <v>1</v>
      </c>
      <c r="D7" s="323">
        <f>B7-C7</f>
        <v/>
      </c>
      <c r="E7" s="338" t="inlineStr">
        <is>
          <t>HAKKIM ANSAR ALI SHAHUL HAMEED</t>
        </is>
      </c>
      <c r="F7" s="446" t="inlineStr">
        <is>
          <t>Site Management</t>
        </is>
      </c>
      <c r="G7" s="338" t="n">
        <v>702901</v>
      </c>
      <c r="H7" s="338" t="n">
        <v>2563892617</v>
      </c>
      <c r="I7" s="446" t="inlineStr">
        <is>
          <t>Approved</t>
        </is>
      </c>
      <c r="J7" s="599" t="n">
        <v>46088</v>
      </c>
      <c r="K7" s="18" t="inlineStr">
        <is>
          <t>FMCO</t>
        </is>
      </c>
      <c r="L7" s="34" t="n"/>
      <c r="N7" s="39" t="inlineStr">
        <is>
          <t xml:space="preserve">Vacant Positions </t>
        </is>
      </c>
      <c r="O7" s="422">
        <f>COUNTIF(I4:I80,"Vacant")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324" t="inlineStr">
        <is>
          <t>Document Controller</t>
        </is>
      </c>
      <c r="B8" s="323" t="n">
        <v>1</v>
      </c>
      <c r="C8" s="323" t="n">
        <v>1</v>
      </c>
      <c r="D8" s="323">
        <f>B8-C8</f>
        <v/>
      </c>
      <c r="E8" s="338" t="inlineStr">
        <is>
          <t>MOHAMMAD EQUBAL ANSARI</t>
        </is>
      </c>
      <c r="F8" s="42" t="inlineStr">
        <is>
          <t>Site Management</t>
        </is>
      </c>
      <c r="G8" s="338" t="inlineStr">
        <is>
          <t>EM-0003024</t>
        </is>
      </c>
      <c r="H8" s="338" t="n">
        <v>2617045824</v>
      </c>
      <c r="I8" s="446" t="inlineStr">
        <is>
          <t>Approved</t>
        </is>
      </c>
      <c r="J8" s="599" t="n">
        <v>45954</v>
      </c>
      <c r="K8" s="44" t="inlineStr">
        <is>
          <t>AL FALAK</t>
        </is>
      </c>
      <c r="L8" s="37" t="n"/>
      <c r="N8" s="35" t="inlineStr">
        <is>
          <t>Total Workforce on Site</t>
        </is>
      </c>
      <c r="O8" s="420">
        <f>COUNTIF(I4:I80,"Approved")</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53">
        <f>COUNTIF(E5:E8,"&lt;&gt;")</f>
        <v/>
      </c>
      <c r="B9" s="53">
        <f>SUM(B4:B8)</f>
        <v/>
      </c>
      <c r="C9" s="53">
        <f>COUNTIF(I4:I8,"Approved")</f>
        <v/>
      </c>
      <c r="D9" s="53">
        <f>COUNTIF(I4:I8,"Vacant")</f>
        <v/>
      </c>
      <c r="E9" s="59">
        <f>COUNTIF(I4:I8,"Rejected")</f>
        <v/>
      </c>
      <c r="F9" s="55">
        <f>COUNTIF(I4:I8,"Additional ")</f>
        <v/>
      </c>
      <c r="G9" s="55">
        <f>COUNTIF(G4:G8,"-")</f>
        <v/>
      </c>
      <c r="H9" s="55">
        <f>COUNTIF(H4:H8,"-")</f>
        <v/>
      </c>
      <c r="I9" s="60" t="n"/>
      <c r="J9" s="556" t="n"/>
      <c r="K9" s="62" t="n"/>
      <c r="L9" s="60"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11" t="inlineStr">
        <is>
          <t>Position</t>
        </is>
      </c>
      <c r="B10" s="12" t="inlineStr">
        <is>
          <t>Contractual Requirement</t>
        </is>
      </c>
      <c r="C10" s="12" t="inlineStr">
        <is>
          <t>Current Availability</t>
        </is>
      </c>
      <c r="D10" s="12" t="inlineStr">
        <is>
          <t>Vacant Position</t>
        </is>
      </c>
      <c r="E10" s="13" t="inlineStr">
        <is>
          <t>Emaployee Name</t>
        </is>
      </c>
      <c r="F10" s="14" t="inlineStr">
        <is>
          <t>Decipline</t>
        </is>
      </c>
      <c r="G10" s="15" t="inlineStr">
        <is>
          <t>ID</t>
        </is>
      </c>
      <c r="H10" s="14" t="inlineStr">
        <is>
          <t>Shift</t>
        </is>
      </c>
      <c r="I10" s="15" t="inlineStr">
        <is>
          <t>Status</t>
        </is>
      </c>
      <c r="J10" s="558" t="n"/>
      <c r="K10" s="70" t="n"/>
      <c r="L10" s="17" t="inlineStr">
        <is>
          <t>Remarks/Notes</t>
        </is>
      </c>
      <c r="N10" s="47" t="inlineStr">
        <is>
          <t>Back-End/Additional Staff</t>
        </is>
      </c>
      <c r="O10" s="423">
        <f>COUNTIF(I84:I106,"Additional")</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324" t="inlineStr">
        <is>
          <t>Soft Service Manager</t>
        </is>
      </c>
      <c r="B11" s="323" t="n">
        <v>1</v>
      </c>
      <c r="C11" s="323" t="n">
        <v>1</v>
      </c>
      <c r="D11" s="323">
        <f>B11-C11</f>
        <v/>
      </c>
      <c r="E11" s="338" t="inlineStr">
        <is>
          <t>PANKAJ BARTHWAL</t>
        </is>
      </c>
      <c r="F11" s="42" t="inlineStr">
        <is>
          <t>Soft Service</t>
        </is>
      </c>
      <c r="G11" s="342" t="n">
        <v>704202</v>
      </c>
      <c r="H11" s="342" t="n">
        <v>2635615053</v>
      </c>
      <c r="I11" s="446" t="inlineStr">
        <is>
          <t>Approved</t>
        </is>
      </c>
      <c r="J11" s="599" t="n">
        <v>46139</v>
      </c>
      <c r="K11" s="512" t="inlineStr">
        <is>
          <t>FMCO</t>
        </is>
      </c>
      <c r="L11" s="37"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324" t="inlineStr">
        <is>
          <t>Housekeeping Supervisor</t>
        </is>
      </c>
      <c r="B12" s="323" t="n">
        <v>2</v>
      </c>
      <c r="C12" s="323" t="n">
        <v>1</v>
      </c>
      <c r="D12" s="323">
        <f>B12-C12</f>
        <v/>
      </c>
      <c r="E12" s="338" t="inlineStr">
        <is>
          <t>MOHAMMAD JAWED</t>
        </is>
      </c>
      <c r="F12" s="42" t="inlineStr">
        <is>
          <t>Soft Service</t>
        </is>
      </c>
      <c r="G12" s="338" t="inlineStr">
        <is>
          <t>EM-0002738</t>
        </is>
      </c>
      <c r="H12" s="338" t="n">
        <v>2586128981</v>
      </c>
      <c r="I12" s="446" t="inlineStr">
        <is>
          <t>Approved</t>
        </is>
      </c>
      <c r="J12" s="599" t="n">
        <v>45600</v>
      </c>
      <c r="K12" s="18" t="n"/>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553" t="n"/>
      <c r="B13" s="553" t="n"/>
      <c r="C13" s="553" t="n"/>
      <c r="D13" s="553" t="n"/>
      <c r="E13" s="338" t="inlineStr">
        <is>
          <t>AFZAL KHAIRULLAH KHAN</t>
        </is>
      </c>
      <c r="F13" s="42" t="inlineStr">
        <is>
          <t>Soft Service</t>
        </is>
      </c>
      <c r="G13" s="338" t="n"/>
      <c r="H13" s="341" t="inlineStr">
        <is>
          <t>C0492304</t>
        </is>
      </c>
      <c r="I13" s="446" t="inlineStr">
        <is>
          <t>Approved</t>
        </is>
      </c>
      <c r="J13" s="599" t="n">
        <v>46267</v>
      </c>
      <c r="K13" s="44" t="n"/>
      <c r="L13" s="37"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324" t="inlineStr">
        <is>
          <t>Landscape Supervisor</t>
        </is>
      </c>
      <c r="B14" s="323" t="n">
        <v>2</v>
      </c>
      <c r="C14" s="323" t="n">
        <v>2</v>
      </c>
      <c r="D14" s="323">
        <f>B14-C14</f>
        <v/>
      </c>
      <c r="E14" s="338" t="inlineStr">
        <is>
          <t>MOHAN SINGH</t>
        </is>
      </c>
      <c r="F14" s="42" t="inlineStr">
        <is>
          <t>Soft Service</t>
        </is>
      </c>
      <c r="G14" s="338" t="n">
        <v>219400</v>
      </c>
      <c r="H14" s="338" t="n">
        <v>2622658082</v>
      </c>
      <c r="I14" s="446" t="inlineStr">
        <is>
          <t>Approved</t>
        </is>
      </c>
      <c r="J14" s="599" t="n">
        <v>46014</v>
      </c>
      <c r="K14" s="18" t="n"/>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553" t="n"/>
      <c r="B15" s="553" t="n"/>
      <c r="C15" s="553" t="n"/>
      <c r="D15" s="553" t="n"/>
      <c r="E15" s="343" t="inlineStr">
        <is>
          <t>MUHAMMAD ALI</t>
        </is>
      </c>
      <c r="F15" s="42" t="inlineStr">
        <is>
          <t>Soft Service</t>
        </is>
      </c>
      <c r="G15" s="343" t="n"/>
      <c r="H15" s="343" t="n">
        <v>2627126465</v>
      </c>
      <c r="I15" s="446" t="inlineStr">
        <is>
          <t>Approved</t>
        </is>
      </c>
      <c r="J15" s="599" t="n">
        <v>46222</v>
      </c>
      <c r="K15" s="18" t="n"/>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600" t="inlineStr">
        <is>
          <t>Housekeepers - Male</t>
        </is>
      </c>
      <c r="B16" s="425" t="n">
        <v>9</v>
      </c>
      <c r="C16" s="425" t="n">
        <v>9</v>
      </c>
      <c r="D16" s="425" t="n">
        <v>0</v>
      </c>
      <c r="E16" s="338" t="inlineStr">
        <is>
          <t>AAKAF AZAD CHIPLUNKAR</t>
        </is>
      </c>
      <c r="F16" s="42" t="inlineStr">
        <is>
          <t>Soft Service</t>
        </is>
      </c>
      <c r="G16" s="338" t="inlineStr">
        <is>
          <t>R07627</t>
        </is>
      </c>
      <c r="H16" s="341" t="n">
        <v>2591516576</v>
      </c>
      <c r="I16" s="446" t="inlineStr">
        <is>
          <t>Approved</t>
        </is>
      </c>
      <c r="J16" s="599" t="n">
        <v>46141</v>
      </c>
      <c r="K16" s="512" t="inlineStr">
        <is>
          <t>Mehan</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338" t="inlineStr">
        <is>
          <t>SAMIUL ISLAM</t>
        </is>
      </c>
      <c r="F17" s="42" t="inlineStr">
        <is>
          <t>Soft Service</t>
        </is>
      </c>
      <c r="G17" s="338" t="n"/>
      <c r="H17" s="338" t="n">
        <v>2607334642</v>
      </c>
      <c r="I17" s="446" t="inlineStr">
        <is>
          <t>Approved</t>
        </is>
      </c>
      <c r="J17" s="599" t="n">
        <v>45944</v>
      </c>
      <c r="K17" s="512" t="inlineStr">
        <is>
          <t>Esnad</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4" t="n"/>
      <c r="B18" s="554" t="n"/>
      <c r="C18" s="554" t="n"/>
      <c r="D18" s="554" t="n"/>
      <c r="E18" s="338" t="inlineStr">
        <is>
          <t>MD ASHIK</t>
        </is>
      </c>
      <c r="F18" s="42" t="inlineStr">
        <is>
          <t>Soft Service</t>
        </is>
      </c>
      <c r="G18" s="338" t="n"/>
      <c r="H18" s="338" t="n">
        <v>2624659856</v>
      </c>
      <c r="I18" s="446" t="inlineStr">
        <is>
          <t>Approved</t>
        </is>
      </c>
      <c r="J18" s="599" t="n">
        <v>46025</v>
      </c>
      <c r="K18" s="512" t="inlineStr">
        <is>
          <t>SCC</t>
        </is>
      </c>
      <c r="L18" s="37"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554" t="n"/>
      <c r="B19" s="554" t="n"/>
      <c r="C19" s="554" t="n"/>
      <c r="D19" s="554" t="n"/>
      <c r="E19" s="338" t="inlineStr">
        <is>
          <t>Md Saiful Islam</t>
        </is>
      </c>
      <c r="F19" s="42" t="inlineStr">
        <is>
          <t>Soft Service</t>
        </is>
      </c>
      <c r="G19" s="338" t="n"/>
      <c r="H19" s="341" t="n">
        <v>2637637428</v>
      </c>
      <c r="I19" s="446" t="inlineStr">
        <is>
          <t>Approved</t>
        </is>
      </c>
      <c r="J19" s="599" t="n">
        <v>46225</v>
      </c>
      <c r="K19" s="512" t="inlineStr">
        <is>
          <t>Wabco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554" t="n"/>
      <c r="B20" s="554" t="n"/>
      <c r="C20" s="554" t="n"/>
      <c r="D20" s="554" t="n"/>
      <c r="E20" s="338" t="inlineStr">
        <is>
          <t>MANIK BISHWACH</t>
        </is>
      </c>
      <c r="F20" s="42" t="inlineStr">
        <is>
          <t>Soft Service</t>
        </is>
      </c>
      <c r="G20" s="338" t="n"/>
      <c r="H20" s="341" t="n">
        <v>2619952183</v>
      </c>
      <c r="I20" s="446" t="inlineStr">
        <is>
          <t>Approved</t>
        </is>
      </c>
      <c r="J20" s="599" t="n">
        <v>45967</v>
      </c>
      <c r="K20" s="512" t="inlineStr">
        <is>
          <t>Gulf Vision</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4" t="n"/>
      <c r="B21" s="554" t="n"/>
      <c r="C21" s="554" t="n"/>
      <c r="D21" s="554" t="n"/>
      <c r="E21" s="338" t="inlineStr">
        <is>
          <t>MD KAMALUDDIN</t>
        </is>
      </c>
      <c r="F21" s="42" t="inlineStr">
        <is>
          <t>Soft Service</t>
        </is>
      </c>
      <c r="G21" s="338" t="n"/>
      <c r="H21" s="341" t="n">
        <v>2619159300</v>
      </c>
      <c r="I21" s="446" t="inlineStr">
        <is>
          <t>Approved</t>
        </is>
      </c>
      <c r="J21" s="599" t="n">
        <v>45967</v>
      </c>
      <c r="K21" s="512" t="inlineStr">
        <is>
          <t>Gulf Vision</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554" t="n"/>
      <c r="B22" s="554" t="n"/>
      <c r="C22" s="554" t="n"/>
      <c r="D22" s="554" t="n"/>
      <c r="E22" s="338" t="inlineStr">
        <is>
          <t>MD SUHAIL</t>
        </is>
      </c>
      <c r="F22" s="42" t="inlineStr">
        <is>
          <t>Soft Service</t>
        </is>
      </c>
      <c r="G22" s="338" t="n"/>
      <c r="H22" s="341" t="n">
        <v>2615783046</v>
      </c>
      <c r="I22" s="446" t="inlineStr">
        <is>
          <t>Approved</t>
        </is>
      </c>
      <c r="J22" s="599" t="n">
        <v>45967</v>
      </c>
      <c r="K22" s="512" t="inlineStr">
        <is>
          <t>Gulf Vision</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338" t="inlineStr">
        <is>
          <t>BUDDHI BAHADUR LIMBU</t>
        </is>
      </c>
      <c r="F23" s="42" t="inlineStr">
        <is>
          <t>Soft Service</t>
        </is>
      </c>
      <c r="G23" s="338" t="n">
        <v>703537</v>
      </c>
      <c r="H23" s="341" t="n">
        <v>2585449578</v>
      </c>
      <c r="I23" s="446" t="inlineStr">
        <is>
          <t>Approved</t>
        </is>
      </c>
      <c r="J23" s="599" t="n">
        <v>45586</v>
      </c>
      <c r="K23" s="512" t="inlineStr">
        <is>
          <t>FMCO</t>
        </is>
      </c>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3" t="n"/>
      <c r="B24" s="553" t="n"/>
      <c r="C24" s="553" t="n"/>
      <c r="D24" s="553" t="n"/>
      <c r="E24" s="338" t="inlineStr">
        <is>
          <t>MD YASIN MIA</t>
        </is>
      </c>
      <c r="F24" s="42" t="inlineStr">
        <is>
          <t>Soft Service</t>
        </is>
      </c>
      <c r="G24" s="338" t="inlineStr">
        <is>
          <t>R09396</t>
        </is>
      </c>
      <c r="H24" s="341" t="n">
        <v>2613457205</v>
      </c>
      <c r="I24" s="446" t="inlineStr">
        <is>
          <t>Approved</t>
        </is>
      </c>
      <c r="J24" s="599" t="n">
        <v>46111</v>
      </c>
      <c r="K24" s="512" t="inlineStr">
        <is>
          <t>Mehan</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600" t="inlineStr">
        <is>
          <t>External Cleaners</t>
        </is>
      </c>
      <c r="B25" s="451" t="n">
        <v>3</v>
      </c>
      <c r="C25" s="451" t="n">
        <v>3</v>
      </c>
      <c r="D25" s="451" t="n">
        <v>0</v>
      </c>
      <c r="E25" s="338" t="inlineStr">
        <is>
          <t>MD SHAKIBUR ALAM</t>
        </is>
      </c>
      <c r="F25" s="42" t="inlineStr">
        <is>
          <t>Soft Service</t>
        </is>
      </c>
      <c r="G25" s="338" t="n"/>
      <c r="H25" s="341" t="n">
        <v>2619885425</v>
      </c>
      <c r="I25" s="446" t="inlineStr">
        <is>
          <t>Approved</t>
        </is>
      </c>
      <c r="J25" s="599" t="n">
        <v>45967</v>
      </c>
      <c r="K25" s="512" t="inlineStr">
        <is>
          <t>Gulf Vision</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554" t="n"/>
      <c r="B26" s="554" t="n"/>
      <c r="C26" s="554" t="n"/>
      <c r="D26" s="554" t="n"/>
      <c r="E26" s="338" t="inlineStr">
        <is>
          <t>MD ALI HUSSAIN</t>
        </is>
      </c>
      <c r="F26" s="42" t="inlineStr">
        <is>
          <t>Soft Service</t>
        </is>
      </c>
      <c r="G26" s="338" t="n"/>
      <c r="H26" s="341" t="n">
        <v>2617182353</v>
      </c>
      <c r="I26" s="446" t="inlineStr">
        <is>
          <t>Approved</t>
        </is>
      </c>
      <c r="J26" s="599" t="n">
        <v>45967</v>
      </c>
      <c r="K26" s="512" t="inlineStr">
        <is>
          <t>Gulf Vision</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338" t="inlineStr">
        <is>
          <t>MD TARIQUL</t>
        </is>
      </c>
      <c r="F27" s="42" t="inlineStr">
        <is>
          <t>Soft Service</t>
        </is>
      </c>
      <c r="G27" s="338" t="n"/>
      <c r="H27" s="341" t="n">
        <v>2619195064</v>
      </c>
      <c r="I27" s="446" t="inlineStr">
        <is>
          <t>Approved</t>
        </is>
      </c>
      <c r="J27" s="599" t="n">
        <v>45967</v>
      </c>
      <c r="K27" s="512" t="inlineStr">
        <is>
          <t>Gulf Vision</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600" t="inlineStr">
        <is>
          <t>Litter Picker</t>
        </is>
      </c>
      <c r="B28" s="451" t="n">
        <v>2</v>
      </c>
      <c r="C28" s="451" t="n">
        <v>2</v>
      </c>
      <c r="D28" s="451" t="n">
        <v>0</v>
      </c>
      <c r="E28" s="338" t="inlineStr">
        <is>
          <t>HASAN RAZA</t>
        </is>
      </c>
      <c r="F28" s="42" t="inlineStr">
        <is>
          <t>Soft Service</t>
        </is>
      </c>
      <c r="G28" s="338" t="inlineStr">
        <is>
          <t>EM-0002737</t>
        </is>
      </c>
      <c r="H28" s="338" t="n">
        <v>2608099111</v>
      </c>
      <c r="I28" s="446" t="inlineStr">
        <is>
          <t>Approved</t>
        </is>
      </c>
      <c r="J28" s="599" t="n">
        <v>45863</v>
      </c>
      <c r="K28" s="512" t="inlineStr">
        <is>
          <t>Al-Falak</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338" t="inlineStr">
        <is>
          <t>SAMEER MAJID AHMED SHAIKH</t>
        </is>
      </c>
      <c r="F29" s="42" t="inlineStr">
        <is>
          <t>Soft Service</t>
        </is>
      </c>
      <c r="G29" s="338" t="inlineStr">
        <is>
          <t>R08812</t>
        </is>
      </c>
      <c r="H29" s="338" t="n">
        <v>2608386534</v>
      </c>
      <c r="I29" s="446" t="inlineStr">
        <is>
          <t>Approved</t>
        </is>
      </c>
      <c r="J29" s="599" t="n">
        <v>46139</v>
      </c>
      <c r="K29" s="512" t="inlineStr">
        <is>
          <t>Mehan</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600" t="inlineStr">
        <is>
          <t>Gardener</t>
        </is>
      </c>
      <c r="B30" s="451" t="n">
        <v>15</v>
      </c>
      <c r="C30" s="451" t="n">
        <v>15</v>
      </c>
      <c r="D30" s="451" t="n">
        <v>0</v>
      </c>
      <c r="E30" s="338" t="inlineStr">
        <is>
          <t>MD MIZANUR RAHMAN</t>
        </is>
      </c>
      <c r="F30" s="42" t="inlineStr">
        <is>
          <t>Soft Service</t>
        </is>
      </c>
      <c r="G30" s="338" t="n"/>
      <c r="H30" s="341" t="n">
        <v>2629375656</v>
      </c>
      <c r="I30" s="446" t="inlineStr">
        <is>
          <t>Approved</t>
        </is>
      </c>
      <c r="J30" s="599" t="n">
        <v>46082</v>
      </c>
      <c r="K30" s="512" t="inlineStr">
        <is>
          <t>UCC RENTAL</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554" t="n"/>
      <c r="B31" s="554" t="n"/>
      <c r="C31" s="554" t="n"/>
      <c r="D31" s="554" t="n"/>
      <c r="E31" s="338" t="inlineStr">
        <is>
          <t>MD SAHIN MOLLA</t>
        </is>
      </c>
      <c r="F31" s="42" t="inlineStr">
        <is>
          <t>Soft Service</t>
        </is>
      </c>
      <c r="G31" s="338" t="n"/>
      <c r="H31" s="341" t="n">
        <v>2630365928</v>
      </c>
      <c r="I31" s="446" t="inlineStr">
        <is>
          <t>Approved</t>
        </is>
      </c>
      <c r="J31" s="599" t="n">
        <v>46082</v>
      </c>
      <c r="K31" s="512" t="inlineStr">
        <is>
          <t>UCC RENTAL</t>
        </is>
      </c>
      <c r="L31" s="37"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54" t="n"/>
      <c r="B32" s="554" t="n"/>
      <c r="C32" s="554" t="n"/>
      <c r="D32" s="554" t="n"/>
      <c r="E32" s="338" t="inlineStr">
        <is>
          <t>MD ALI FOKIR</t>
        </is>
      </c>
      <c r="F32" s="42" t="inlineStr">
        <is>
          <t>Soft Service</t>
        </is>
      </c>
      <c r="G32" s="338" t="n"/>
      <c r="H32" s="341" t="n">
        <v>2629900719</v>
      </c>
      <c r="I32" s="446" t="inlineStr">
        <is>
          <t>Approved</t>
        </is>
      </c>
      <c r="J32" s="599" t="n">
        <v>46082</v>
      </c>
      <c r="K32" s="512" t="inlineStr">
        <is>
          <t>UCC RENTAL</t>
        </is>
      </c>
      <c r="L32" s="37"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554" t="n"/>
      <c r="B33" s="554" t="n"/>
      <c r="C33" s="554" t="n"/>
      <c r="D33" s="554" t="n"/>
      <c r="E33" s="338" t="inlineStr">
        <is>
          <t>FARUK LAL MIA</t>
        </is>
      </c>
      <c r="F33" s="42" t="inlineStr">
        <is>
          <t>Soft Service</t>
        </is>
      </c>
      <c r="G33" s="338" t="n"/>
      <c r="H33" s="341" t="n">
        <v>2590605008</v>
      </c>
      <c r="I33" s="446" t="inlineStr">
        <is>
          <t>Approved</t>
        </is>
      </c>
      <c r="J33" s="599" t="n">
        <v>46082</v>
      </c>
      <c r="K33" s="512" t="inlineStr">
        <is>
          <t>UCC RENTAL</t>
        </is>
      </c>
      <c r="L33" s="37"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554" t="n"/>
      <c r="B34" s="554" t="n"/>
      <c r="C34" s="554" t="n"/>
      <c r="D34" s="554" t="n"/>
      <c r="E34" s="338" t="inlineStr">
        <is>
          <t>MD ALAMGIR MIAH</t>
        </is>
      </c>
      <c r="F34" s="42" t="inlineStr">
        <is>
          <t>Soft Service</t>
        </is>
      </c>
      <c r="G34" s="338" t="n"/>
      <c r="H34" s="341" t="n">
        <v>2626794255</v>
      </c>
      <c r="I34" s="446" t="inlineStr">
        <is>
          <t>Approved</t>
        </is>
      </c>
      <c r="J34" s="599" t="n">
        <v>46082</v>
      </c>
      <c r="K34" s="512" t="inlineStr">
        <is>
          <t>UCC RENTAL</t>
        </is>
      </c>
      <c r="L34" s="37"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554" t="n"/>
      <c r="B35" s="554" t="n"/>
      <c r="C35" s="554" t="n"/>
      <c r="D35" s="554" t="n"/>
      <c r="E35" s="338" t="inlineStr">
        <is>
          <t>MD EMAM HOSSAIN</t>
        </is>
      </c>
      <c r="F35" s="42" t="inlineStr">
        <is>
          <t>Soft Service</t>
        </is>
      </c>
      <c r="G35" s="338" t="n"/>
      <c r="H35" s="341" t="n">
        <v>2630841514</v>
      </c>
      <c r="I35" s="446" t="inlineStr">
        <is>
          <t>Approved</t>
        </is>
      </c>
      <c r="J35" s="599" t="n">
        <v>46082</v>
      </c>
      <c r="K35" s="512" t="inlineStr">
        <is>
          <t>UCC RENTAL</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4" t="n"/>
      <c r="B36" s="554" t="n"/>
      <c r="C36" s="554" t="n"/>
      <c r="D36" s="554" t="n"/>
      <c r="E36" s="338" t="inlineStr">
        <is>
          <t>MD YOUNUS ALI</t>
        </is>
      </c>
      <c r="F36" s="42" t="inlineStr">
        <is>
          <t>Soft Service</t>
        </is>
      </c>
      <c r="G36" s="338" t="n"/>
      <c r="H36" s="341" t="n">
        <v>2629484797</v>
      </c>
      <c r="I36" s="446" t="inlineStr">
        <is>
          <t>Approved</t>
        </is>
      </c>
      <c r="J36" s="599" t="n">
        <v>46082</v>
      </c>
      <c r="K36" s="512" t="inlineStr">
        <is>
          <t>UCC RENTAL</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554" t="n"/>
      <c r="B37" s="554" t="n"/>
      <c r="C37" s="554" t="n"/>
      <c r="D37" s="554" t="n"/>
      <c r="E37" s="338" t="inlineStr">
        <is>
          <t>AWLAD HOSSAIN</t>
        </is>
      </c>
      <c r="F37" s="42" t="inlineStr">
        <is>
          <t>Soft Service</t>
        </is>
      </c>
      <c r="G37" s="338" t="n"/>
      <c r="H37" s="341" t="n">
        <v>2626524587</v>
      </c>
      <c r="I37" s="446" t="inlineStr">
        <is>
          <t>Approved</t>
        </is>
      </c>
      <c r="J37" s="599" t="n">
        <v>46082</v>
      </c>
      <c r="K37" s="512" t="inlineStr">
        <is>
          <t>UCC RENTAL</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38" t="inlineStr">
        <is>
          <t>MD FIROJ GAZI</t>
        </is>
      </c>
      <c r="F38" s="42" t="inlineStr">
        <is>
          <t>Soft Service</t>
        </is>
      </c>
      <c r="G38" s="338" t="n"/>
      <c r="H38" s="341" t="n">
        <v>2627760610</v>
      </c>
      <c r="I38" s="446" t="inlineStr">
        <is>
          <t>Approved</t>
        </is>
      </c>
      <c r="J38" s="599" t="n">
        <v>46082</v>
      </c>
      <c r="K38" s="512" t="inlineStr">
        <is>
          <t>UCC RENTAL</t>
        </is>
      </c>
      <c r="L38" s="74"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338" t="inlineStr">
        <is>
          <t>MD SHARIFUL ISLAM</t>
        </is>
      </c>
      <c r="F39" s="42" t="inlineStr">
        <is>
          <t>Soft Service</t>
        </is>
      </c>
      <c r="G39" s="338" t="n"/>
      <c r="H39" s="341" t="n">
        <v>2631183361</v>
      </c>
      <c r="I39" s="446" t="inlineStr">
        <is>
          <t>Approved</t>
        </is>
      </c>
      <c r="J39" s="599" t="n">
        <v>46082</v>
      </c>
      <c r="K39" s="512" t="inlineStr">
        <is>
          <t>UCC RENTAL</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4" t="n"/>
      <c r="B40" s="554" t="n"/>
      <c r="C40" s="554" t="n"/>
      <c r="D40" s="554" t="n"/>
      <c r="E40" s="338" t="inlineStr">
        <is>
          <t>MD NASIR UDDIN SHEAK</t>
        </is>
      </c>
      <c r="F40" s="42" t="inlineStr">
        <is>
          <t>Soft Service</t>
        </is>
      </c>
      <c r="G40" s="338" t="n"/>
      <c r="H40" s="341" t="n">
        <v>2631182116</v>
      </c>
      <c r="I40" s="446" t="inlineStr">
        <is>
          <t>Approved</t>
        </is>
      </c>
      <c r="J40" s="599" t="n">
        <v>46082</v>
      </c>
      <c r="K40" s="512" t="inlineStr">
        <is>
          <t>UCC RENTAL</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554" t="n"/>
      <c r="B41" s="554" t="n"/>
      <c r="C41" s="554" t="n"/>
      <c r="D41" s="554" t="n"/>
      <c r="E41" s="338" t="inlineStr">
        <is>
          <t>RIAD HOSSAIN</t>
        </is>
      </c>
      <c r="F41" s="42" t="inlineStr">
        <is>
          <t>Soft Service</t>
        </is>
      </c>
      <c r="G41" s="338" t="inlineStr">
        <is>
          <t>E135</t>
        </is>
      </c>
      <c r="H41" s="338" t="n">
        <v>2604540886</v>
      </c>
      <c r="I41" s="446" t="inlineStr">
        <is>
          <t>Approved</t>
        </is>
      </c>
      <c r="J41" s="599" t="n">
        <v>46187</v>
      </c>
      <c r="K41" s="512" t="inlineStr">
        <is>
          <t>Esnad (Rental)</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338" t="inlineStr">
        <is>
          <t>SOJON LATIF</t>
        </is>
      </c>
      <c r="F42" s="42" t="inlineStr">
        <is>
          <t>Soft Service</t>
        </is>
      </c>
      <c r="G42" s="338" t="inlineStr">
        <is>
          <t>E134</t>
        </is>
      </c>
      <c r="H42" s="338" t="n">
        <v>2618482893</v>
      </c>
      <c r="I42" s="446" t="inlineStr">
        <is>
          <t>Approved</t>
        </is>
      </c>
      <c r="J42" s="599" t="n">
        <v>46187</v>
      </c>
      <c r="K42" s="512" t="inlineStr">
        <is>
          <t>Esnad (Rental)</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338" t="inlineStr">
        <is>
          <t>MD BELLAL HOSSAIN</t>
        </is>
      </c>
      <c r="F43" s="42" t="inlineStr">
        <is>
          <t>Soft Service</t>
        </is>
      </c>
      <c r="G43" s="338" t="n"/>
      <c r="H43" s="341" t="n">
        <v>2571349964</v>
      </c>
      <c r="I43" s="446" t="inlineStr">
        <is>
          <t>Approved</t>
        </is>
      </c>
      <c r="J43" s="599" t="n">
        <v>46190</v>
      </c>
      <c r="K43" s="512" t="inlineStr">
        <is>
          <t>UCC Rental</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338" t="inlineStr">
        <is>
          <t>GOHAR ALI SHER ZADA</t>
        </is>
      </c>
      <c r="F44" s="42" t="inlineStr">
        <is>
          <t>Soft Service</t>
        </is>
      </c>
      <c r="G44" s="338" t="n"/>
      <c r="H44" s="338" t="n">
        <v>2638291654</v>
      </c>
      <c r="I44" s="446" t="inlineStr">
        <is>
          <t>Approved</t>
        </is>
      </c>
      <c r="J44" s="599" t="n">
        <v>46190</v>
      </c>
      <c r="K44" s="512" t="inlineStr">
        <is>
          <t>UCC RENTAL</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7" t="inlineStr">
        <is>
          <t>Laundry Operative</t>
        </is>
      </c>
      <c r="B45" s="429" t="n">
        <v>3</v>
      </c>
      <c r="C45" s="429" t="n">
        <v>0</v>
      </c>
      <c r="D45" s="429" t="n">
        <v>3</v>
      </c>
      <c r="E45" s="73" t="n"/>
      <c r="F45" s="71" t="inlineStr">
        <is>
          <t>Laundry</t>
        </is>
      </c>
      <c r="G45" s="446" t="n"/>
      <c r="H45" s="45" t="n"/>
      <c r="I45" s="446" t="inlineStr">
        <is>
          <t>Vacant</t>
        </is>
      </c>
      <c r="J45" s="552" t="n"/>
      <c r="K45" s="18" t="n"/>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n"/>
      <c r="F46" s="71" t="inlineStr">
        <is>
          <t>Laundry</t>
        </is>
      </c>
      <c r="G46" s="445" t="n"/>
      <c r="H46" s="445" t="n"/>
      <c r="I46" s="446" t="inlineStr">
        <is>
          <t>Vacant</t>
        </is>
      </c>
      <c r="J46" s="551" t="n"/>
      <c r="K46" s="18" t="n"/>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3" t="n"/>
      <c r="B47" s="553" t="n"/>
      <c r="C47" s="553" t="n"/>
      <c r="D47" s="553" t="n"/>
      <c r="E47" s="48" t="n"/>
      <c r="F47" s="71" t="inlineStr">
        <is>
          <t>Laundry</t>
        </is>
      </c>
      <c r="G47" s="445" t="n"/>
      <c r="H47" s="445" t="n"/>
      <c r="I47" s="446" t="inlineStr">
        <is>
          <t>Vacant</t>
        </is>
      </c>
      <c r="J47" s="551" t="n"/>
      <c r="K47" s="18" t="n"/>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398" t="inlineStr">
        <is>
          <t>Pest Control Operative</t>
        </is>
      </c>
      <c r="B48" s="451" t="n">
        <v>1</v>
      </c>
      <c r="C48" s="451" t="n">
        <v>1</v>
      </c>
      <c r="D48" s="451" t="n">
        <v>0</v>
      </c>
      <c r="E48" s="345" t="inlineStr">
        <is>
          <t xml:space="preserve">MD SOFEUR </t>
        </is>
      </c>
      <c r="F48" s="42" t="inlineStr">
        <is>
          <t>Soft Service</t>
        </is>
      </c>
      <c r="G48" s="344" t="n"/>
      <c r="H48" s="344" t="n">
        <v>2589812300</v>
      </c>
      <c r="I48" s="446" t="inlineStr">
        <is>
          <t>Approved</t>
        </is>
      </c>
      <c r="J48" s="599" t="n">
        <v>46246</v>
      </c>
      <c r="K48" s="346" t="n"/>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398" t="inlineStr">
        <is>
          <t>HS Manager</t>
        </is>
      </c>
      <c r="B49" s="451" t="n">
        <v>1</v>
      </c>
      <c r="C49" s="451" t="n">
        <v>1</v>
      </c>
      <c r="D49" s="451" t="n">
        <v>0</v>
      </c>
      <c r="E49" s="345" t="inlineStr">
        <is>
          <t>MUHAMMAD TARIQ ANWAR</t>
        </is>
      </c>
      <c r="F49" s="42" t="inlineStr">
        <is>
          <t>Hard Service</t>
        </is>
      </c>
      <c r="G49" s="344" t="n"/>
      <c r="H49" s="344" t="n">
        <v>2564073969</v>
      </c>
      <c r="I49" s="446" t="inlineStr">
        <is>
          <t>Approved</t>
        </is>
      </c>
      <c r="J49" s="599" t="n">
        <v>46252</v>
      </c>
      <c r="K49" s="346" t="inlineStr">
        <is>
          <t>FMCO</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398" t="inlineStr">
        <is>
          <t>Facilities Engineer</t>
        </is>
      </c>
      <c r="B50" s="451" t="n">
        <v>1</v>
      </c>
      <c r="C50" s="451" t="n">
        <v>1</v>
      </c>
      <c r="D50" s="451" t="n">
        <v>0</v>
      </c>
      <c r="E50" s="338" t="inlineStr">
        <is>
          <t>ALIFA MEHERA LASKAR</t>
        </is>
      </c>
      <c r="F50" s="42" t="inlineStr">
        <is>
          <t>Hard Service</t>
        </is>
      </c>
      <c r="G50" s="344" t="inlineStr">
        <is>
          <t>EM-0002759</t>
        </is>
      </c>
      <c r="H50" s="374" t="n">
        <v>2603380078</v>
      </c>
      <c r="I50" s="446" t="inlineStr">
        <is>
          <t>Approved</t>
        </is>
      </c>
      <c r="J50" s="599" t="n">
        <v>45847</v>
      </c>
      <c r="K50" s="340" t="inlineStr">
        <is>
          <t>Al-Falak</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398" t="inlineStr">
        <is>
          <t>FLS Specialist</t>
        </is>
      </c>
      <c r="B51" s="451" t="n">
        <v>1</v>
      </c>
      <c r="C51" s="451" t="n">
        <v>1</v>
      </c>
      <c r="D51" s="451" t="n">
        <v>0</v>
      </c>
      <c r="E51" s="338" t="inlineStr">
        <is>
          <t>MD ASIF BAIG</t>
        </is>
      </c>
      <c r="F51" s="42" t="inlineStr">
        <is>
          <t>Hard Service</t>
        </is>
      </c>
      <c r="G51" s="338" t="inlineStr">
        <is>
          <t>C01371</t>
        </is>
      </c>
      <c r="H51" s="341" t="n">
        <v>2618058222</v>
      </c>
      <c r="I51" s="446" t="inlineStr">
        <is>
          <t>Approved</t>
        </is>
      </c>
      <c r="J51" s="599" t="n">
        <v>45954</v>
      </c>
      <c r="K51" s="340" t="inlineStr">
        <is>
          <t>Mehan</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329" t="inlineStr">
        <is>
          <t>Electrical Supervisor</t>
        </is>
      </c>
      <c r="B52" s="323" t="n">
        <v>1</v>
      </c>
      <c r="C52" s="323" t="n">
        <v>1</v>
      </c>
      <c r="D52" s="323">
        <f>B52-C52</f>
        <v/>
      </c>
      <c r="E52" s="338" t="inlineStr">
        <is>
          <t>ABDUL RAHUMAN ABDUL KATHER</t>
        </is>
      </c>
      <c r="F52" s="42" t="inlineStr">
        <is>
          <t>Hard Service</t>
        </is>
      </c>
      <c r="G52" s="338" t="inlineStr">
        <is>
          <t>EM-0004013</t>
        </is>
      </c>
      <c r="H52" s="338" t="n">
        <v>2641304726</v>
      </c>
      <c r="I52" s="446" t="inlineStr">
        <is>
          <t>Approved</t>
        </is>
      </c>
      <c r="J52" s="599" t="n">
        <v>46245</v>
      </c>
      <c r="K52" s="340" t="inlineStr">
        <is>
          <t>Al-Falak</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329" t="inlineStr">
        <is>
          <t>MEP Supervisor</t>
        </is>
      </c>
      <c r="B53" s="323" t="n">
        <v>1</v>
      </c>
      <c r="C53" s="323" t="n">
        <v>1</v>
      </c>
      <c r="D53" s="323">
        <f>B53-C53</f>
        <v/>
      </c>
      <c r="E53" s="338" t="inlineStr">
        <is>
          <t>MD SAQUIB ALAM</t>
        </is>
      </c>
      <c r="F53" s="42" t="inlineStr">
        <is>
          <t>Hard Service</t>
        </is>
      </c>
      <c r="G53" s="338" t="inlineStr">
        <is>
          <t>EM-0003023</t>
        </is>
      </c>
      <c r="H53" s="338" t="n">
        <v>2617045709</v>
      </c>
      <c r="I53" s="446" t="inlineStr">
        <is>
          <t>Approved</t>
        </is>
      </c>
      <c r="J53" s="599" t="n">
        <v>45954</v>
      </c>
      <c r="K53" s="340" t="inlineStr">
        <is>
          <t>Al-Falak</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324" t="inlineStr">
        <is>
          <t>Civil Supervisor</t>
        </is>
      </c>
      <c r="B54" s="323" t="n">
        <v>1</v>
      </c>
      <c r="C54" s="323" t="n">
        <v>1</v>
      </c>
      <c r="D54" s="323">
        <f>B54-C54</f>
        <v/>
      </c>
      <c r="E54" s="338" t="inlineStr">
        <is>
          <t>AMJED TALIKY</t>
        </is>
      </c>
      <c r="F54" s="42" t="inlineStr">
        <is>
          <t>Hard Service</t>
        </is>
      </c>
      <c r="G54" s="342" t="inlineStr">
        <is>
          <t xml:space="preserve">704323	</t>
        </is>
      </c>
      <c r="H54" s="342" t="n">
        <v>2159014352</v>
      </c>
      <c r="I54" s="446" t="inlineStr">
        <is>
          <t>Approved</t>
        </is>
      </c>
      <c r="J54" s="599" t="n">
        <v>46185</v>
      </c>
      <c r="K54" s="346"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600" t="inlineStr">
        <is>
          <t>HVAC Technician</t>
        </is>
      </c>
      <c r="B55" s="451" t="n">
        <v>3</v>
      </c>
      <c r="C55" s="451" t="n">
        <v>2</v>
      </c>
      <c r="D55" s="451" t="n">
        <v>1</v>
      </c>
      <c r="E55" s="338" t="n"/>
      <c r="F55" s="42" t="inlineStr">
        <is>
          <t>Hard Service</t>
        </is>
      </c>
      <c r="G55" s="338" t="n"/>
      <c r="H55" s="341" t="n"/>
      <c r="I55" s="446" t="inlineStr">
        <is>
          <t>Vacant</t>
        </is>
      </c>
      <c r="J55" s="599" t="n"/>
      <c r="K55" s="399" t="n"/>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342" t="inlineStr">
        <is>
          <t>MOHAMMAD ILIYAS</t>
        </is>
      </c>
      <c r="F56" s="42" t="inlineStr">
        <is>
          <t>Hard Service</t>
        </is>
      </c>
      <c r="G56" s="338" t="inlineStr">
        <is>
          <t>C02141</t>
        </is>
      </c>
      <c r="H56" s="338" t="n">
        <v>2642516575</v>
      </c>
      <c r="I56" s="446" t="inlineStr">
        <is>
          <t>Approved</t>
        </is>
      </c>
      <c r="J56" s="599" t="n">
        <v>46225</v>
      </c>
      <c r="K56" s="346" t="inlineStr">
        <is>
          <t>FMCO</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3" t="n"/>
      <c r="B57" s="553" t="n"/>
      <c r="C57" s="553" t="n"/>
      <c r="D57" s="553" t="n"/>
      <c r="E57" s="338" t="inlineStr">
        <is>
          <t>NEHAL KHAN</t>
        </is>
      </c>
      <c r="F57" s="42" t="inlineStr">
        <is>
          <t>Hard Service</t>
        </is>
      </c>
      <c r="G57" s="338" t="inlineStr">
        <is>
          <t>C00531</t>
        </is>
      </c>
      <c r="H57" s="341" t="n">
        <v>2617253402</v>
      </c>
      <c r="I57" s="446" t="inlineStr">
        <is>
          <t>Approved</t>
        </is>
      </c>
      <c r="J57" s="599" t="n">
        <v>45954</v>
      </c>
      <c r="K57" s="340" t="inlineStr">
        <is>
          <t>Mehan</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600" t="inlineStr">
        <is>
          <t>Electrician</t>
        </is>
      </c>
      <c r="B58" s="451" t="n">
        <v>2</v>
      </c>
      <c r="C58" s="451" t="n">
        <v>2</v>
      </c>
      <c r="D58" s="451" t="n">
        <v>0</v>
      </c>
      <c r="E58" s="338" t="inlineStr">
        <is>
          <t>SHAHNAWAZ UL HAQUE</t>
        </is>
      </c>
      <c r="F58" s="42" t="inlineStr">
        <is>
          <t>Hard Service</t>
        </is>
      </c>
      <c r="G58" s="344" t="inlineStr">
        <is>
          <t>EM-0002709</t>
        </is>
      </c>
      <c r="H58" s="374" t="n">
        <v>2587449121</v>
      </c>
      <c r="I58" s="446" t="inlineStr">
        <is>
          <t>Approved</t>
        </is>
      </c>
      <c r="J58" s="599" t="n">
        <v>45586</v>
      </c>
      <c r="K58" s="346" t="inlineStr">
        <is>
          <t>Al-Falak</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3" t="n"/>
      <c r="B59" s="553" t="n"/>
      <c r="C59" s="553" t="n"/>
      <c r="D59" s="553" t="n"/>
      <c r="E59" s="338" t="inlineStr">
        <is>
          <t>ABID HUSAIN</t>
        </is>
      </c>
      <c r="F59" s="42" t="inlineStr">
        <is>
          <t>Hard Service</t>
        </is>
      </c>
      <c r="G59" s="344" t="inlineStr">
        <is>
          <t>EM-0003032</t>
        </is>
      </c>
      <c r="H59" s="374" t="n">
        <v>2617180134</v>
      </c>
      <c r="I59" s="446" t="inlineStr">
        <is>
          <t>Approved</t>
        </is>
      </c>
      <c r="J59" s="599" t="n">
        <v>45954</v>
      </c>
      <c r="K59" s="340" t="inlineStr">
        <is>
          <t>Al-Falak</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329" t="inlineStr">
        <is>
          <t>Multi Skilled Technician</t>
        </is>
      </c>
      <c r="B60" s="323" t="n">
        <v>1</v>
      </c>
      <c r="C60" s="323" t="n">
        <v>1</v>
      </c>
      <c r="D60" s="323">
        <f>B60-C60</f>
        <v/>
      </c>
      <c r="E60" s="338" t="inlineStr">
        <is>
          <t>MOHAMMAD NAYEEMULLA</t>
        </is>
      </c>
      <c r="F60" s="42" t="inlineStr">
        <is>
          <t>Hard Service</t>
        </is>
      </c>
      <c r="G60" s="344" t="n">
        <v>702863</v>
      </c>
      <c r="H60" s="374" t="n">
        <v>2563544887</v>
      </c>
      <c r="I60" s="446" t="inlineStr">
        <is>
          <t>Approved</t>
        </is>
      </c>
      <c r="J60" s="599" t="n">
        <v>46090</v>
      </c>
      <c r="K60" s="346" t="inlineStr">
        <is>
          <t>FMCO</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329" t="inlineStr">
        <is>
          <t>IT Technician</t>
        </is>
      </c>
      <c r="B61" s="323" t="n">
        <v>1</v>
      </c>
      <c r="C61" s="323" t="n">
        <v>1</v>
      </c>
      <c r="D61" s="323">
        <f>B61-C61</f>
        <v/>
      </c>
      <c r="E61" s="338" t="n"/>
      <c r="F61" s="42" t="inlineStr">
        <is>
          <t>Hard Service</t>
        </is>
      </c>
      <c r="G61" s="344" t="n"/>
      <c r="H61" s="347" t="n"/>
      <c r="I61" s="446" t="inlineStr">
        <is>
          <t>Vacant</t>
        </is>
      </c>
      <c r="J61" s="599" t="n"/>
      <c r="K61" s="340" t="n"/>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600" t="inlineStr">
        <is>
          <t>Mechanical Technician</t>
        </is>
      </c>
      <c r="B62" s="451" t="n">
        <v>2</v>
      </c>
      <c r="C62" s="451" t="n">
        <v>0</v>
      </c>
      <c r="D62" s="451" t="n">
        <v>2</v>
      </c>
      <c r="E62" s="73" t="n"/>
      <c r="F62" s="42" t="inlineStr">
        <is>
          <t>Hard Service</t>
        </is>
      </c>
      <c r="G62" s="446" t="n"/>
      <c r="H62" s="45" t="n"/>
      <c r="I62" s="446" t="inlineStr">
        <is>
          <t>Vacant</t>
        </is>
      </c>
      <c r="J62" s="552" t="n"/>
      <c r="K62" s="18" t="n"/>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3" t="n"/>
      <c r="B63" s="553" t="n"/>
      <c r="C63" s="553" t="n"/>
      <c r="D63" s="553" t="n"/>
      <c r="E63" s="73" t="n"/>
      <c r="F63" s="42" t="inlineStr">
        <is>
          <t>Hard Service</t>
        </is>
      </c>
      <c r="G63" s="446" t="n"/>
      <c r="H63" s="45" t="n"/>
      <c r="I63" s="446" t="inlineStr">
        <is>
          <t>Vacant</t>
        </is>
      </c>
      <c r="J63" s="552"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329" t="inlineStr">
        <is>
          <t>Civil Technician</t>
        </is>
      </c>
      <c r="B64" s="323" t="n">
        <v>1</v>
      </c>
      <c r="C64" s="323" t="n">
        <v>1</v>
      </c>
      <c r="D64" s="323">
        <f>B64-C64</f>
        <v/>
      </c>
      <c r="E64" s="338" t="n"/>
      <c r="F64" s="42" t="inlineStr">
        <is>
          <t>Hard Service</t>
        </is>
      </c>
      <c r="G64" s="338" t="n"/>
      <c r="H64" s="338" t="n"/>
      <c r="I64" s="446" t="inlineStr">
        <is>
          <t>Vacant</t>
        </is>
      </c>
      <c r="J64" s="599" t="n"/>
      <c r="K64" s="346" t="n"/>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332" t="inlineStr">
        <is>
          <t>Swimming Pool Technician</t>
        </is>
      </c>
      <c r="B65" s="331" t="n">
        <v>1</v>
      </c>
      <c r="C65" s="331" t="n">
        <v>1</v>
      </c>
      <c r="D65" s="331">
        <f>B65-C65</f>
        <v/>
      </c>
      <c r="E65" s="338" t="inlineStr">
        <is>
          <t>SHAHBAZ AHAMD</t>
        </is>
      </c>
      <c r="F65" s="42" t="inlineStr">
        <is>
          <t>Hard Service</t>
        </is>
      </c>
      <c r="G65" s="344" t="inlineStr">
        <is>
          <t>EM-0001956</t>
        </is>
      </c>
      <c r="H65" s="344" t="n">
        <v>2586197820</v>
      </c>
      <c r="I65" s="446" t="inlineStr">
        <is>
          <t>Approved</t>
        </is>
      </c>
      <c r="J65" s="599" t="n">
        <v>45863</v>
      </c>
      <c r="K65" s="346" t="inlineStr">
        <is>
          <t>Al-Falak</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329" t="inlineStr">
        <is>
          <t>FLS Technician</t>
        </is>
      </c>
      <c r="B66" s="323" t="n">
        <v>1</v>
      </c>
      <c r="C66" s="323" t="n">
        <v>1</v>
      </c>
      <c r="D66" s="323">
        <f>B66-C66</f>
        <v/>
      </c>
      <c r="E66" s="338" t="inlineStr">
        <is>
          <t>MOHD UMAR KHAN</t>
        </is>
      </c>
      <c r="F66" s="42" t="inlineStr">
        <is>
          <t>Hard Service</t>
        </is>
      </c>
      <c r="G66" s="344" t="inlineStr">
        <is>
          <t>C01356</t>
        </is>
      </c>
      <c r="H66" s="374" t="n">
        <v>2617251950</v>
      </c>
      <c r="I66" s="446" t="inlineStr">
        <is>
          <t>Approved</t>
        </is>
      </c>
      <c r="J66" s="599" t="n">
        <v>45954</v>
      </c>
      <c r="K66" s="346" t="inlineStr">
        <is>
          <t>Mehan</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324" t="inlineStr">
        <is>
          <t>Security Supervisor</t>
        </is>
      </c>
      <c r="B67" s="323" t="n">
        <v>1</v>
      </c>
      <c r="C67" s="323" t="n">
        <v>1</v>
      </c>
      <c r="D67" s="323">
        <f>B67-C67</f>
        <v/>
      </c>
      <c r="E67" s="345" t="inlineStr">
        <is>
          <t>ABDULLAH AL QAHTANI</t>
        </is>
      </c>
      <c r="F67" s="42" t="inlineStr">
        <is>
          <t>Security</t>
        </is>
      </c>
      <c r="G67" s="344" t="n">
        <v>703879</v>
      </c>
      <c r="H67" s="344" t="n">
        <v>1057294587</v>
      </c>
      <c r="I67" s="446" t="inlineStr">
        <is>
          <t>Approved</t>
        </is>
      </c>
      <c r="J67" s="599" t="n">
        <v>45842</v>
      </c>
      <c r="K67" s="346" t="inlineStr">
        <is>
          <t>FMCO</t>
        </is>
      </c>
      <c r="L67" s="37"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600" t="inlineStr">
        <is>
          <t>Security Guard</t>
        </is>
      </c>
      <c r="B68" s="451" t="n">
        <v>12</v>
      </c>
      <c r="C68" s="451" t="n">
        <v>11</v>
      </c>
      <c r="D68" s="451" t="n">
        <v>1</v>
      </c>
      <c r="E68" s="345" t="inlineStr">
        <is>
          <t>TARIQ IBRAHIM ALMUKHLIFI</t>
        </is>
      </c>
      <c r="F68" s="42" t="inlineStr">
        <is>
          <t>Security</t>
        </is>
      </c>
      <c r="G68" s="344" t="n">
        <v>704115</v>
      </c>
      <c r="H68" s="344" t="n">
        <v>1133131522</v>
      </c>
      <c r="I68" s="446" t="inlineStr">
        <is>
          <t>Approved</t>
        </is>
      </c>
      <c r="J68" s="599" t="n">
        <v>46044</v>
      </c>
      <c r="K68" s="346" t="inlineStr">
        <is>
          <t>FMCO</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554" t="n"/>
      <c r="B69" s="554" t="n"/>
      <c r="C69" s="554" t="n"/>
      <c r="D69" s="554" t="n"/>
      <c r="E69" s="345" t="inlineStr">
        <is>
          <t>MOHAMMED MATHKAR ALQAHTANI</t>
        </is>
      </c>
      <c r="F69" s="42" t="inlineStr">
        <is>
          <t>Security</t>
        </is>
      </c>
      <c r="G69" s="344" t="n">
        <v>704125</v>
      </c>
      <c r="H69" s="344" t="n">
        <v>1118065265</v>
      </c>
      <c r="I69" s="446" t="inlineStr">
        <is>
          <t>Approved</t>
        </is>
      </c>
      <c r="J69" s="599" t="n">
        <v>46044</v>
      </c>
      <c r="K69" s="346" t="inlineStr">
        <is>
          <t>FMCO</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345" t="inlineStr">
        <is>
          <t>IBRAHIM MANA ALKAHTANI</t>
        </is>
      </c>
      <c r="F70" s="42" t="inlineStr">
        <is>
          <t>Security</t>
        </is>
      </c>
      <c r="G70" s="344" t="n">
        <v>704113</v>
      </c>
      <c r="H70" s="344" t="n">
        <v>1128368147</v>
      </c>
      <c r="I70" s="446" t="inlineStr">
        <is>
          <t>Approved</t>
        </is>
      </c>
      <c r="J70" s="599" t="n">
        <v>46044</v>
      </c>
      <c r="K70" s="346" t="inlineStr">
        <is>
          <t>FMCO</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345" t="inlineStr">
        <is>
          <t>BIJAD FAHAD ALBOGAMI</t>
        </is>
      </c>
      <c r="F71" s="42" t="inlineStr">
        <is>
          <t>Security</t>
        </is>
      </c>
      <c r="G71" s="344" t="n">
        <v>704120</v>
      </c>
      <c r="H71" s="344" t="n">
        <v>1096859218</v>
      </c>
      <c r="I71" s="446" t="inlineStr">
        <is>
          <t>Approved</t>
        </is>
      </c>
      <c r="J71" s="599" t="n">
        <v>46047</v>
      </c>
      <c r="K71" s="346" t="inlineStr">
        <is>
          <t>FMCO</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345" t="inlineStr">
        <is>
          <t>ABDULLAH NASSER ALQAHTANI</t>
        </is>
      </c>
      <c r="F72" s="42" t="inlineStr">
        <is>
          <t>Security</t>
        </is>
      </c>
      <c r="G72" s="344" t="n">
        <v>704153</v>
      </c>
      <c r="H72" s="344" t="n">
        <v>1097019358</v>
      </c>
      <c r="I72" s="446" t="inlineStr">
        <is>
          <t>Approved</t>
        </is>
      </c>
      <c r="J72" s="599" t="n">
        <v>46084</v>
      </c>
      <c r="K72" s="346" t="inlineStr">
        <is>
          <t>FMCO</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345" t="inlineStr">
        <is>
          <t>HUWAYZI MUQBIL ALSUWAYDANI</t>
        </is>
      </c>
      <c r="F73" s="42" t="inlineStr">
        <is>
          <t>Security</t>
        </is>
      </c>
      <c r="G73" s="344" t="n">
        <v>703620</v>
      </c>
      <c r="H73" s="344" t="n">
        <v>1109185072</v>
      </c>
      <c r="I73" s="446" t="inlineStr">
        <is>
          <t>Approved</t>
        </is>
      </c>
      <c r="J73" s="599" t="n">
        <v>45624</v>
      </c>
      <c r="K73" s="346" t="inlineStr">
        <is>
          <t>FMCO</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4" t="n"/>
      <c r="B74" s="554" t="n"/>
      <c r="C74" s="554" t="n"/>
      <c r="D74" s="554" t="n"/>
      <c r="E74" s="345" t="inlineStr">
        <is>
          <t>ABDULLAH ABUTALEB</t>
        </is>
      </c>
      <c r="F74" s="42" t="inlineStr">
        <is>
          <t>Security</t>
        </is>
      </c>
      <c r="G74" s="344" t="n">
        <v>704013</v>
      </c>
      <c r="H74" s="344" t="inlineStr">
        <is>
          <t>1141762797</t>
        </is>
      </c>
      <c r="I74" s="446" t="inlineStr">
        <is>
          <t>Approved</t>
        </is>
      </c>
      <c r="J74" s="599" t="inlineStr">
        <is>
          <t>2025-09-04 00:00:00</t>
        </is>
      </c>
      <c r="K74" s="346" t="inlineStr">
        <is>
          <t>FMCO</t>
        </is>
      </c>
      <c r="L74" s="37"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554" t="n"/>
      <c r="B75" s="554" t="n"/>
      <c r="C75" s="554" t="n"/>
      <c r="D75" s="554" t="n"/>
      <c r="E75" s="345" t="inlineStr">
        <is>
          <t>FAHAD MOHAMMED ALQAHTANI</t>
        </is>
      </c>
      <c r="F75" s="42" t="inlineStr">
        <is>
          <t>Security</t>
        </is>
      </c>
      <c r="G75" s="344" t="n">
        <v>704311</v>
      </c>
      <c r="H75" s="344" t="n">
        <v>1143003620</v>
      </c>
      <c r="I75" s="446" t="inlineStr">
        <is>
          <t>Approved</t>
        </is>
      </c>
      <c r="J75" s="599" t="n">
        <v>46182</v>
      </c>
      <c r="K75" s="346"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345" t="inlineStr">
        <is>
          <t>RYAN THAFIL AL-QAHTANI</t>
        </is>
      </c>
      <c r="F76" s="42" t="inlineStr">
        <is>
          <t>Security</t>
        </is>
      </c>
      <c r="G76" s="344" t="n"/>
      <c r="H76" s="344" t="n">
        <v>1136584180</v>
      </c>
      <c r="I76" s="446" t="inlineStr">
        <is>
          <t>Approved</t>
        </is>
      </c>
      <c r="J76" s="599" t="n">
        <v>46222</v>
      </c>
      <c r="K76" s="346"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345" t="inlineStr">
        <is>
          <t>FAHAD HALAS AL-QAHTANI</t>
        </is>
      </c>
      <c r="F77" s="42" t="inlineStr">
        <is>
          <t>Security</t>
        </is>
      </c>
      <c r="G77" s="344" t="n"/>
      <c r="H77" s="344" t="n">
        <v>1084060670</v>
      </c>
      <c r="I77" s="446" t="inlineStr">
        <is>
          <t>Approved</t>
        </is>
      </c>
      <c r="J77" s="599" t="n">
        <v>46222</v>
      </c>
      <c r="K77" s="346" t="inlineStr">
        <is>
          <t>FMCO</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345" t="inlineStr">
        <is>
          <t>SALMAN ABDULLAH AL-SAHLI</t>
        </is>
      </c>
      <c r="F78" s="42" t="inlineStr">
        <is>
          <t>Security</t>
        </is>
      </c>
      <c r="G78" s="344" t="n"/>
      <c r="H78" s="344" t="n">
        <v>1138233653</v>
      </c>
      <c r="I78" s="446" t="inlineStr">
        <is>
          <t>Approved</t>
        </is>
      </c>
      <c r="J78" s="599" t="n">
        <v>46238</v>
      </c>
      <c r="K78" s="346" t="inlineStr">
        <is>
          <t>FMCO</t>
        </is>
      </c>
      <c r="L78" s="37"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3" t="n"/>
      <c r="B79" s="553" t="n"/>
      <c r="C79" s="553" t="n"/>
      <c r="D79" s="553" t="n"/>
      <c r="E79" s="400" t="inlineStr">
        <is>
          <t>FEHAID HMOUD  AL OLAYAN</t>
        </is>
      </c>
      <c r="F79" s="42" t="inlineStr">
        <is>
          <t>Security</t>
        </is>
      </c>
      <c r="G79" s="401" t="n">
        <v>704469</v>
      </c>
      <c r="H79" s="401" t="inlineStr">
        <is>
          <t>1109208759</t>
        </is>
      </c>
      <c r="I79" s="446" t="inlineStr">
        <is>
          <t>Approved</t>
        </is>
      </c>
      <c r="J79" s="599" t="inlineStr">
        <is>
          <t>2026-07-19 00:00:00</t>
        </is>
      </c>
      <c r="K79" s="402" t="inlineStr">
        <is>
          <t>FMCO</t>
        </is>
      </c>
      <c r="L79" s="37"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324" t="inlineStr">
        <is>
          <t>Safety Officer</t>
        </is>
      </c>
      <c r="B80" s="323" t="n">
        <v>1</v>
      </c>
      <c r="C80" s="323" t="n">
        <v>1</v>
      </c>
      <c r="D80" s="323">
        <f>B80-C80</f>
        <v/>
      </c>
      <c r="E80" s="345" t="inlineStr">
        <is>
          <t>YAMEEN QURESHI LIYAQAT HUSSAIN</t>
        </is>
      </c>
      <c r="F80" s="42" t="inlineStr">
        <is>
          <t>Saftey</t>
        </is>
      </c>
      <c r="G80" s="344" t="n">
        <v>700680</v>
      </c>
      <c r="H80" s="344" t="n">
        <v>2516600612</v>
      </c>
      <c r="I80" s="446" t="inlineStr">
        <is>
          <t>Approved</t>
        </is>
      </c>
      <c r="J80" s="599" t="n">
        <v>46056</v>
      </c>
      <c r="K80" s="340" t="inlineStr">
        <is>
          <t>FMCO</t>
        </is>
      </c>
      <c r="L80" s="37"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52" t="inlineStr">
        <is>
          <t>Total Team 
Hard Service Management</t>
        </is>
      </c>
      <c r="B81" s="53" t="inlineStr">
        <is>
          <t>Contractual Requirement</t>
        </is>
      </c>
      <c r="C81" s="53" t="inlineStr">
        <is>
          <t>Approved</t>
        </is>
      </c>
      <c r="D81" s="53" t="inlineStr">
        <is>
          <t>Vacant Position</t>
        </is>
      </c>
      <c r="E81" s="54" t="inlineStr">
        <is>
          <t>Rejected</t>
        </is>
      </c>
      <c r="F81" s="55" t="inlineStr">
        <is>
          <t xml:space="preserve">Additional </t>
        </is>
      </c>
      <c r="G81" s="55" t="inlineStr">
        <is>
          <t>ID</t>
        </is>
      </c>
      <c r="H81" s="55" t="inlineStr">
        <is>
          <t>Iqama</t>
        </is>
      </c>
      <c r="I81" s="80" t="inlineStr">
        <is>
          <t>Status</t>
        </is>
      </c>
      <c r="J81" s="555" t="n"/>
      <c r="K81" s="58" t="n"/>
      <c r="L81" s="59"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3">
        <f>COUNTIF(E11:E80,"&lt;&gt;")</f>
        <v/>
      </c>
      <c r="B82" s="53">
        <f>SUM(B11:B80)</f>
        <v/>
      </c>
      <c r="C82" s="53">
        <f>COUNTIF(I11:I80,"Approved")</f>
        <v/>
      </c>
      <c r="D82" s="53">
        <f>COUNTIF(I11:I80,"Vacant")</f>
        <v/>
      </c>
      <c r="E82" s="59">
        <f>COUNTIF(I11:I80,"Rejected")</f>
        <v/>
      </c>
      <c r="F82" s="55">
        <f>COUNTIF(I11:I80,"Additional ")</f>
        <v/>
      </c>
      <c r="G82" s="55">
        <f>COUNTIF(G11:G80,"-")</f>
        <v/>
      </c>
      <c r="H82" s="55">
        <f>COUNTIF(H11:H80,"-")</f>
        <v/>
      </c>
      <c r="I82" s="60" t="n"/>
      <c r="J82" s="556" t="n"/>
      <c r="K82" s="62" t="n"/>
      <c r="L82" s="60"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36" t="inlineStr">
        <is>
          <t>Position</t>
        </is>
      </c>
      <c r="B83" s="137" t="inlineStr">
        <is>
          <t>Contractual Requirement</t>
        </is>
      </c>
      <c r="C83" s="137" t="inlineStr">
        <is>
          <t>On-Site Availability</t>
        </is>
      </c>
      <c r="D83" s="137" t="inlineStr">
        <is>
          <t>Vacant Position</t>
        </is>
      </c>
      <c r="E83" s="138" t="inlineStr">
        <is>
          <t>Emaployee Name</t>
        </is>
      </c>
      <c r="F83" s="139" t="inlineStr">
        <is>
          <t>Decipline</t>
        </is>
      </c>
      <c r="G83" s="140" t="inlineStr">
        <is>
          <t>ID</t>
        </is>
      </c>
      <c r="H83" s="139" t="inlineStr">
        <is>
          <t>Iqama</t>
        </is>
      </c>
      <c r="I83" s="140" t="inlineStr">
        <is>
          <t>Status</t>
        </is>
      </c>
      <c r="J83" s="568" t="inlineStr">
        <is>
          <t xml:space="preserve"> Deployement Date</t>
        </is>
      </c>
      <c r="K83" s="142" t="inlineStr">
        <is>
          <t>Sponsor</t>
        </is>
      </c>
      <c r="L83" s="142"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512" t="inlineStr">
        <is>
          <t>HARD SERVICE MANAGER</t>
        </is>
      </c>
      <c r="B84" s="323" t="n">
        <v>0</v>
      </c>
      <c r="C84" s="323" t="n">
        <v>1</v>
      </c>
      <c r="D84" s="323" t="n">
        <v>0</v>
      </c>
      <c r="E84" s="512" t="inlineStr">
        <is>
          <t>JUNAID AHMED</t>
        </is>
      </c>
      <c r="F84" s="512" t="inlineStr">
        <is>
          <t>Hard Service</t>
        </is>
      </c>
      <c r="G84" s="512" t="n">
        <v>703491</v>
      </c>
      <c r="H84" s="512" t="n">
        <v>2557070352</v>
      </c>
      <c r="I84" s="512" t="inlineStr">
        <is>
          <t>Additional</t>
        </is>
      </c>
      <c r="J84" s="601" t="n">
        <v>45902</v>
      </c>
      <c r="K84" s="512" t="inlineStr">
        <is>
          <t>FMCO</t>
        </is>
      </c>
      <c r="L84" s="34"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12" t="inlineStr">
        <is>
          <t>STP Operator</t>
        </is>
      </c>
      <c r="B85" s="323" t="n">
        <v>0</v>
      </c>
      <c r="C85" s="323" t="n">
        <v>1</v>
      </c>
      <c r="D85" s="323" t="n">
        <v>0</v>
      </c>
      <c r="E85" s="512" t="inlineStr">
        <is>
          <t>Md Khalid Saifulla</t>
        </is>
      </c>
      <c r="F85" s="512" t="inlineStr">
        <is>
          <t>Hard Service</t>
        </is>
      </c>
      <c r="G85" s="512" t="inlineStr">
        <is>
          <t>EM-0003021</t>
        </is>
      </c>
      <c r="H85" s="512" t="n">
        <v>2617045972</v>
      </c>
      <c r="I85" s="512" t="inlineStr">
        <is>
          <t>Additional</t>
        </is>
      </c>
      <c r="J85" s="601" t="n">
        <v>45954</v>
      </c>
      <c r="K85" s="512" t="inlineStr">
        <is>
          <t>Al-Falak</t>
        </is>
      </c>
      <c r="L85" s="34"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512" t="inlineStr">
        <is>
          <t>STP Operator</t>
        </is>
      </c>
      <c r="B86" s="323" t="n">
        <v>0</v>
      </c>
      <c r="C86" s="323" t="n">
        <v>1</v>
      </c>
      <c r="D86" s="323" t="n">
        <v>0</v>
      </c>
      <c r="E86" s="512" t="inlineStr">
        <is>
          <t>Asif Ansari</t>
        </is>
      </c>
      <c r="F86" s="512" t="inlineStr">
        <is>
          <t>Hard Service</t>
        </is>
      </c>
      <c r="G86" s="512" t="n"/>
      <c r="H86" s="512" t="n">
        <v>2640393100</v>
      </c>
      <c r="I86" s="512" t="inlineStr">
        <is>
          <t>Additional</t>
        </is>
      </c>
      <c r="J86" s="601" t="n">
        <v>46212</v>
      </c>
      <c r="K86" s="512" t="inlineStr">
        <is>
          <t>FMCO</t>
        </is>
      </c>
      <c r="L86" s="34"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512" t="inlineStr">
        <is>
          <t>Key Man</t>
        </is>
      </c>
      <c r="B87" s="323" t="n">
        <v>0</v>
      </c>
      <c r="C87" s="323" t="n">
        <v>1</v>
      </c>
      <c r="D87" s="323" t="n">
        <v>0</v>
      </c>
      <c r="E87" s="512" t="inlineStr">
        <is>
          <t>Raja Mohd Istaq</t>
        </is>
      </c>
      <c r="F87" s="512" t="inlineStr">
        <is>
          <t>Accomodation</t>
        </is>
      </c>
      <c r="G87" s="512" t="inlineStr">
        <is>
          <t>C01352</t>
        </is>
      </c>
      <c r="H87" s="512" t="n">
        <v>2617252073</v>
      </c>
      <c r="I87" s="512" t="inlineStr">
        <is>
          <t>Additional</t>
        </is>
      </c>
      <c r="J87" s="601" t="n">
        <v>45954</v>
      </c>
      <c r="K87" s="512" t="inlineStr">
        <is>
          <t>Mehan</t>
        </is>
      </c>
      <c r="L87" s="34"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12" t="inlineStr">
        <is>
          <t>HVAC TECHNICIAN</t>
        </is>
      </c>
      <c r="B88" s="323" t="n">
        <v>0</v>
      </c>
      <c r="C88" s="323" t="n">
        <v>1</v>
      </c>
      <c r="D88" s="323" t="n">
        <v>0</v>
      </c>
      <c r="E88" s="512" t="inlineStr">
        <is>
          <t>MANNU ALI</t>
        </is>
      </c>
      <c r="F88" s="512" t="inlineStr">
        <is>
          <t>Hard Service</t>
        </is>
      </c>
      <c r="G88" s="512" t="n"/>
      <c r="H88" s="512" t="n">
        <v>2611407814</v>
      </c>
      <c r="I88" s="512" t="inlineStr">
        <is>
          <t>Additional</t>
        </is>
      </c>
      <c r="J88" s="601" t="n">
        <v>46209</v>
      </c>
      <c r="K88" s="512" t="inlineStr">
        <is>
          <t>FMCO</t>
        </is>
      </c>
      <c r="L88" s="34"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512" t="inlineStr">
        <is>
          <t>Gardner</t>
        </is>
      </c>
      <c r="B89" s="512" t="n">
        <v>0</v>
      </c>
      <c r="C89" s="512" t="n">
        <v>10</v>
      </c>
      <c r="D89" s="512" t="n">
        <v>0</v>
      </c>
      <c r="E89" s="512" t="inlineStr">
        <is>
          <t>Md Hafizul Islam</t>
        </is>
      </c>
      <c r="F89" s="512" t="inlineStr">
        <is>
          <t>Soft Service</t>
        </is>
      </c>
      <c r="G89" s="512" t="inlineStr">
        <is>
          <t>R08457</t>
        </is>
      </c>
      <c r="H89" s="512" t="n">
        <v>2607618804</v>
      </c>
      <c r="I89" s="512" t="inlineStr">
        <is>
          <t>Additional</t>
        </is>
      </c>
      <c r="J89" s="601" t="n">
        <v>46217</v>
      </c>
      <c r="K89" s="512" t="inlineStr">
        <is>
          <t>Mehan</t>
        </is>
      </c>
      <c r="L89" s="34"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512" t="inlineStr">
        <is>
          <t>Kabir Miah</t>
        </is>
      </c>
      <c r="F90" s="512" t="inlineStr">
        <is>
          <t>Soft Service</t>
        </is>
      </c>
      <c r="G90" s="512" t="inlineStr">
        <is>
          <t>L01433</t>
        </is>
      </c>
      <c r="H90" s="512" t="n">
        <v>2637736758</v>
      </c>
      <c r="I90" s="512" t="inlineStr">
        <is>
          <t>Additional</t>
        </is>
      </c>
      <c r="J90" s="601" t="n">
        <v>46217</v>
      </c>
      <c r="K90" s="512" t="inlineStr">
        <is>
          <t>Mehan</t>
        </is>
      </c>
      <c r="L90" s="34"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512" t="inlineStr">
        <is>
          <t>Md Bablur Rahman</t>
        </is>
      </c>
      <c r="F91" s="512" t="inlineStr">
        <is>
          <t>Soft Service</t>
        </is>
      </c>
      <c r="G91" s="512" t="inlineStr">
        <is>
          <t>R07497</t>
        </is>
      </c>
      <c r="H91" s="512" t="n">
        <v>2588674271</v>
      </c>
      <c r="I91" s="512" t="inlineStr">
        <is>
          <t>Additional</t>
        </is>
      </c>
      <c r="J91" s="601" t="n">
        <v>46217</v>
      </c>
      <c r="K91" s="512" t="inlineStr">
        <is>
          <t>Mehan</t>
        </is>
      </c>
      <c r="L91" s="34"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512" t="inlineStr">
        <is>
          <t>Md Nurullah</t>
        </is>
      </c>
      <c r="F92" s="512" t="inlineStr">
        <is>
          <t>Soft Service</t>
        </is>
      </c>
      <c r="G92" s="512" t="inlineStr">
        <is>
          <t>R08463</t>
        </is>
      </c>
      <c r="H92" s="512" t="n">
        <v>2607340987</v>
      </c>
      <c r="I92" s="512" t="inlineStr">
        <is>
          <t>Additional</t>
        </is>
      </c>
      <c r="J92" s="601" t="n">
        <v>46217</v>
      </c>
      <c r="K92" s="512" t="inlineStr">
        <is>
          <t>Mehan</t>
        </is>
      </c>
      <c r="L92" s="146"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512" t="inlineStr">
        <is>
          <t>Krishna Bahadur Tharu</t>
        </is>
      </c>
      <c r="F93" s="512" t="inlineStr">
        <is>
          <t>Soft Service</t>
        </is>
      </c>
      <c r="G93" s="512" t="n"/>
      <c r="H93" s="512" t="n">
        <v>2617334442</v>
      </c>
      <c r="I93" s="512" t="inlineStr">
        <is>
          <t>Additional</t>
        </is>
      </c>
      <c r="J93" s="601" t="n">
        <v>46217</v>
      </c>
      <c r="K93" s="512" t="inlineStr">
        <is>
          <t>Gulf Vision</t>
        </is>
      </c>
      <c r="L93" s="146"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512" t="inlineStr">
        <is>
          <t>Manoj Thapa</t>
        </is>
      </c>
      <c r="F94" s="512" t="inlineStr">
        <is>
          <t>Soft Service</t>
        </is>
      </c>
      <c r="G94" s="512" t="n"/>
      <c r="H94" s="512" t="n">
        <v>2617334491</v>
      </c>
      <c r="I94" s="512" t="inlineStr">
        <is>
          <t>Additional</t>
        </is>
      </c>
      <c r="J94" s="601" t="n">
        <v>46217</v>
      </c>
      <c r="K94" s="512" t="inlineStr">
        <is>
          <t>Gulf Vision</t>
        </is>
      </c>
      <c r="L94" s="146"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512" t="inlineStr">
        <is>
          <t>Mugle Ajam Mumin</t>
        </is>
      </c>
      <c r="F95" s="512" t="inlineStr">
        <is>
          <t>Soft Service</t>
        </is>
      </c>
      <c r="G95" s="512" t="n"/>
      <c r="H95" s="512" t="n">
        <v>2617334715</v>
      </c>
      <c r="I95" s="512" t="inlineStr">
        <is>
          <t>Additional</t>
        </is>
      </c>
      <c r="J95" s="601" t="n">
        <v>46217</v>
      </c>
      <c r="K95" s="512" t="inlineStr">
        <is>
          <t>Gulf Vision</t>
        </is>
      </c>
      <c r="L95" s="34"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512" t="inlineStr">
        <is>
          <t>Sami Akbar Hamesh</t>
        </is>
      </c>
      <c r="F96" s="512" t="inlineStr">
        <is>
          <t>Soft Service</t>
        </is>
      </c>
      <c r="G96" s="512" t="n"/>
      <c r="H96" s="512" t="n">
        <v>2492756065</v>
      </c>
      <c r="I96" s="512" t="inlineStr">
        <is>
          <t>Additional</t>
        </is>
      </c>
      <c r="J96" s="601" t="n">
        <v>46225</v>
      </c>
      <c r="K96" s="512" t="inlineStr">
        <is>
          <t>Wabco</t>
        </is>
      </c>
      <c r="L96" s="34"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512" t="inlineStr">
        <is>
          <t>Nauman Latif Khan</t>
        </is>
      </c>
      <c r="F97" s="512" t="inlineStr">
        <is>
          <t>Soft Service</t>
        </is>
      </c>
      <c r="G97" s="512" t="n"/>
      <c r="H97" s="512" t="n">
        <v>2617119108</v>
      </c>
      <c r="I97" s="512" t="inlineStr">
        <is>
          <t>Additional</t>
        </is>
      </c>
      <c r="J97" s="601" t="n">
        <v>46225</v>
      </c>
      <c r="K97" s="512" t="inlineStr">
        <is>
          <t>Wabco</t>
        </is>
      </c>
      <c r="L97" s="34"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3" t="n"/>
      <c r="B98" s="553" t="n"/>
      <c r="C98" s="553" t="n"/>
      <c r="D98" s="553" t="n"/>
      <c r="E98" s="512" t="inlineStr">
        <is>
          <t>Abdul Aziz Mumtaz</t>
        </is>
      </c>
      <c r="F98" s="512" t="inlineStr">
        <is>
          <t>Soft Service</t>
        </is>
      </c>
      <c r="G98" s="512" t="n"/>
      <c r="H98" s="512" t="n">
        <v>2623312085</v>
      </c>
      <c r="I98" s="512" t="inlineStr">
        <is>
          <t>Additional</t>
        </is>
      </c>
      <c r="J98" s="601" t="n">
        <v>46225</v>
      </c>
      <c r="K98" s="512" t="inlineStr">
        <is>
          <t>Wabco</t>
        </is>
      </c>
      <c r="L98" s="34"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12" t="inlineStr">
        <is>
          <t>FLS Technician</t>
        </is>
      </c>
      <c r="B99" s="512" t="n">
        <v>0</v>
      </c>
      <c r="C99" s="512" t="n">
        <v>2</v>
      </c>
      <c r="D99" s="512" t="n">
        <v>0</v>
      </c>
      <c r="E99" s="512" t="inlineStr">
        <is>
          <t>Mohammad Abid Khan</t>
        </is>
      </c>
      <c r="F99" s="512" t="inlineStr">
        <is>
          <t>Hard Service</t>
        </is>
      </c>
      <c r="G99" s="512" t="n">
        <v>702833</v>
      </c>
      <c r="H99" s="512" t="n">
        <v>2562857157</v>
      </c>
      <c r="I99" s="512" t="inlineStr">
        <is>
          <t>Additional</t>
        </is>
      </c>
      <c r="J99" s="601" t="n">
        <v>46015</v>
      </c>
      <c r="K99" s="512" t="inlineStr">
        <is>
          <t>FMCO</t>
        </is>
      </c>
      <c r="L99" s="34"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3" t="n"/>
      <c r="B100" s="553" t="n"/>
      <c r="C100" s="553" t="n"/>
      <c r="D100" s="553" t="n"/>
      <c r="E100" s="512" t="inlineStr">
        <is>
          <t>Famin Ahmed Faruk Ahmed</t>
        </is>
      </c>
      <c r="F100" s="512" t="inlineStr">
        <is>
          <t>Hard Service</t>
        </is>
      </c>
      <c r="G100" s="512" t="n"/>
      <c r="H100" s="512" t="n">
        <v>2629084688</v>
      </c>
      <c r="I100" s="512" t="inlineStr">
        <is>
          <t>Additional</t>
        </is>
      </c>
      <c r="J100" s="601" t="n">
        <v>46207</v>
      </c>
      <c r="K100" s="512" t="inlineStr">
        <is>
          <t>RAMZ</t>
        </is>
      </c>
      <c r="L100" s="34"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12" t="inlineStr">
        <is>
          <t>Pest Control Operative</t>
        </is>
      </c>
      <c r="B101" s="323" t="n">
        <v>0</v>
      </c>
      <c r="C101" s="323" t="n">
        <v>1</v>
      </c>
      <c r="D101" s="323" t="n">
        <v>0</v>
      </c>
      <c r="E101" s="512" t="inlineStr">
        <is>
          <t xml:space="preserve">MD YEASIN FAKIR </t>
        </is>
      </c>
      <c r="F101" s="512" t="inlineStr">
        <is>
          <t>Soft Service</t>
        </is>
      </c>
      <c r="G101" s="512" t="n"/>
      <c r="H101" s="512" t="n">
        <v>2631415029</v>
      </c>
      <c r="I101" s="512" t="inlineStr">
        <is>
          <t>Additional</t>
        </is>
      </c>
      <c r="J101" s="601" t="n">
        <v>46246</v>
      </c>
      <c r="K101" s="512" t="inlineStr">
        <is>
          <t>JAWAD AL DUWAIL</t>
        </is>
      </c>
      <c r="L101" s="34"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12" t="inlineStr">
        <is>
          <t>Housekeepers - Male</t>
        </is>
      </c>
      <c r="B102" s="474" t="n">
        <v>0</v>
      </c>
      <c r="C102" s="474" t="n">
        <v>5</v>
      </c>
      <c r="D102" s="474" t="n">
        <v>0</v>
      </c>
      <c r="E102" s="512" t="inlineStr">
        <is>
          <t>Atikur Rahman</t>
        </is>
      </c>
      <c r="F102" s="512" t="inlineStr">
        <is>
          <t>Soft Service</t>
        </is>
      </c>
      <c r="G102" s="512" t="n"/>
      <c r="H102" s="512" t="n">
        <v>2636304129</v>
      </c>
      <c r="I102" s="512" t="inlineStr">
        <is>
          <t>Additional</t>
        </is>
      </c>
      <c r="J102" s="601" t="n">
        <v>46225</v>
      </c>
      <c r="K102" s="512" t="inlineStr">
        <is>
          <t>Wabco</t>
        </is>
      </c>
      <c r="L102" s="34"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554" t="n"/>
      <c r="B103" s="554" t="n"/>
      <c r="C103" s="554" t="n"/>
      <c r="D103" s="554" t="n"/>
      <c r="E103" s="512" t="n"/>
      <c r="F103" s="512" t="inlineStr">
        <is>
          <t>Soft Service</t>
        </is>
      </c>
      <c r="G103" s="512" t="inlineStr">
        <is>
          <t>-</t>
        </is>
      </c>
      <c r="H103" s="512" t="inlineStr">
        <is>
          <t>-</t>
        </is>
      </c>
      <c r="I103" s="512" t="inlineStr">
        <is>
          <t>Vacant</t>
        </is>
      </c>
      <c r="J103" s="601" t="n"/>
      <c r="K103" s="512" t="inlineStr">
        <is>
          <t>-</t>
        </is>
      </c>
      <c r="L103" s="34"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4" t="n"/>
      <c r="B104" s="554" t="n"/>
      <c r="C104" s="554" t="n"/>
      <c r="D104" s="554" t="n"/>
      <c r="E104" s="512" t="inlineStr">
        <is>
          <t>Md Israfil Bissas</t>
        </is>
      </c>
      <c r="F104" s="512" t="inlineStr">
        <is>
          <t>Soft Service</t>
        </is>
      </c>
      <c r="G104" s="512" t="n"/>
      <c r="H104" s="512" t="n"/>
      <c r="I104" s="512" t="inlineStr">
        <is>
          <t>Additional</t>
        </is>
      </c>
      <c r="J104" s="601" t="n">
        <v>46231</v>
      </c>
      <c r="K104" s="512" t="inlineStr">
        <is>
          <t>Wabco</t>
        </is>
      </c>
      <c r="L104" s="34"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554" t="n"/>
      <c r="B105" s="554" t="n"/>
      <c r="C105" s="554" t="n"/>
      <c r="D105" s="554" t="n"/>
      <c r="E105" s="512" t="inlineStr">
        <is>
          <t>Mokchin Mia</t>
        </is>
      </c>
      <c r="F105" s="512" t="inlineStr">
        <is>
          <t>Soft Service</t>
        </is>
      </c>
      <c r="G105" s="512" t="n"/>
      <c r="H105" s="512" t="n"/>
      <c r="I105" s="512" t="inlineStr">
        <is>
          <t>Additional</t>
        </is>
      </c>
      <c r="J105" s="601" t="n">
        <v>46231</v>
      </c>
      <c r="K105" s="512" t="inlineStr">
        <is>
          <t>Wabco</t>
        </is>
      </c>
      <c r="L105" s="34"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4" t="n"/>
      <c r="C106" s="554" t="n"/>
      <c r="D106" s="554" t="n"/>
      <c r="E106" s="474" t="inlineStr">
        <is>
          <t>MD MONTAZAR RAHMAN</t>
        </is>
      </c>
      <c r="F106" s="474" t="inlineStr">
        <is>
          <t>Soft Service</t>
        </is>
      </c>
      <c r="G106" s="474" t="n"/>
      <c r="H106" s="474" t="n">
        <v>2622674097</v>
      </c>
      <c r="I106" s="474" t="inlineStr">
        <is>
          <t>Additional</t>
        </is>
      </c>
      <c r="J106" s="602" t="n">
        <v>46163</v>
      </c>
      <c r="K106" s="474" t="inlineStr">
        <is>
          <t>Mehan</t>
        </is>
      </c>
      <c r="L106" s="34"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512" t="inlineStr">
        <is>
          <t>HOUSEKEEPING TEAM LEADER</t>
        </is>
      </c>
      <c r="B107" s="512" t="n">
        <v>0</v>
      </c>
      <c r="C107" s="512" t="n">
        <v>2</v>
      </c>
      <c r="D107" s="512" t="n">
        <v>0</v>
      </c>
      <c r="E107" s="512" t="inlineStr">
        <is>
          <t>IMRAN SHEIK</t>
        </is>
      </c>
      <c r="F107" s="474" t="inlineStr">
        <is>
          <t>Soft Service</t>
        </is>
      </c>
      <c r="G107" s="512" t="n"/>
      <c r="H107" s="512" t="inlineStr">
        <is>
          <t>AT581585</t>
        </is>
      </c>
      <c r="I107" s="474" t="inlineStr">
        <is>
          <t>Additional</t>
        </is>
      </c>
      <c r="J107" s="601" t="n">
        <v>46268</v>
      </c>
      <c r="K107" s="512" t="n"/>
      <c r="L107" s="34"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3" t="n"/>
      <c r="B108" s="553" t="n"/>
      <c r="C108" s="553" t="n"/>
      <c r="D108" s="553" t="n"/>
      <c r="E108" s="512" t="inlineStr">
        <is>
          <t>AFZAL KHAIRULLAH KHAN</t>
        </is>
      </c>
      <c r="F108" s="512" t="inlineStr">
        <is>
          <t>Soft Service</t>
        </is>
      </c>
      <c r="G108" s="496" t="n"/>
      <c r="H108" s="512" t="inlineStr">
        <is>
          <t>C0492304</t>
        </is>
      </c>
      <c r="I108" s="512" t="inlineStr">
        <is>
          <t>Additional</t>
        </is>
      </c>
      <c r="J108" s="601" t="n">
        <v>46268</v>
      </c>
      <c r="K108" s="115" t="n"/>
      <c r="L108" s="34"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28.5" customHeight="1">
      <c r="A109" s="52" t="inlineStr">
        <is>
          <t>Total Team 
Back-End Staff/Additional</t>
        </is>
      </c>
      <c r="B109" s="53" t="inlineStr">
        <is>
          <t>Contractual Requirement</t>
        </is>
      </c>
      <c r="C109" s="53" t="inlineStr">
        <is>
          <t>Approved</t>
        </is>
      </c>
      <c r="D109" s="53" t="inlineStr">
        <is>
          <t>Vacant Position</t>
        </is>
      </c>
      <c r="E109" s="54" t="inlineStr">
        <is>
          <t>Rejected</t>
        </is>
      </c>
      <c r="F109" s="55" t="inlineStr">
        <is>
          <t xml:space="preserve">Additional </t>
        </is>
      </c>
      <c r="G109" s="55" t="inlineStr">
        <is>
          <t>ID</t>
        </is>
      </c>
      <c r="H109" s="55" t="inlineStr">
        <is>
          <t>Iqama</t>
        </is>
      </c>
      <c r="I109" s="80" t="inlineStr">
        <is>
          <t>Status</t>
        </is>
      </c>
      <c r="J109" s="555" t="n"/>
      <c r="K109" s="58" t="n"/>
      <c r="L109" s="59" t="inlineStr">
        <is>
          <t>Remark/Notes</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122">
        <f>COUNTIF(I84:I106,"Additional")</f>
        <v/>
      </c>
      <c r="B110" s="122">
        <f>SUM(E84:E106)</f>
        <v/>
      </c>
      <c r="C110" s="122">
        <f>COUNTIF(I4:I1048576,"Approved")</f>
        <v/>
      </c>
      <c r="D110" s="122">
        <f>COUNTIF(I4:I1048576,"Vacant")</f>
        <v/>
      </c>
      <c r="E110" s="123">
        <f>COUNTIF(I4:I1048576,"Rejected")</f>
        <v/>
      </c>
      <c r="F110" s="124">
        <f>COUNTIF(I84:I106,"Additional")</f>
        <v/>
      </c>
      <c r="G110" s="124">
        <f>COUNTIF(J84:J106,"-")</f>
        <v/>
      </c>
      <c r="H110" s="124">
        <f>COUNTIF(H4:H1048576,"-")</f>
        <v/>
      </c>
      <c r="I110" s="125" t="n"/>
      <c r="J110" s="566" t="n"/>
      <c r="K110" s="127" t="n"/>
      <c r="L110" s="125"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2.75" customHeight="1">
      <c r="I111" s="8" t="n"/>
      <c r="J111" s="8" t="n"/>
      <c r="K111" s="8" t="n"/>
      <c r="L111" s="8" t="n"/>
      <c r="M111" s="8" t="n"/>
    </row>
    <row r="112" ht="12.75" customHeight="1">
      <c r="H112" s="8" t="n"/>
      <c r="I112" s="8" t="n"/>
      <c r="J112" s="8" t="n"/>
      <c r="K112" s="8" t="n"/>
      <c r="L112" s="8" t="n"/>
      <c r="M112" s="8" t="n"/>
    </row>
    <row r="113" ht="12.75" customHeight="1">
      <c r="H113" s="8" t="n"/>
      <c r="I113" s="8" t="n"/>
      <c r="J113" s="8" t="n"/>
      <c r="K113" s="8" t="n"/>
      <c r="L113" s="8" t="n"/>
      <c r="M113" s="8" t="n"/>
    </row>
    <row r="114" ht="12.75" customHeight="1">
      <c r="H114" s="8" t="n"/>
      <c r="I114" s="8" t="n"/>
      <c r="J114" s="8" t="n"/>
      <c r="K114" s="8" t="n"/>
      <c r="L114" s="8" t="n"/>
      <c r="M114" s="8" t="n"/>
    </row>
    <row r="115" ht="12.75" customHeight="1">
      <c r="H115" s="8" t="n"/>
      <c r="I115" s="8" t="n"/>
      <c r="J115" s="8" t="n"/>
      <c r="K115" s="8" t="n"/>
      <c r="L115" s="8" t="n"/>
      <c r="M115" s="8" t="n"/>
    </row>
    <row r="116" ht="12.75" customHeight="1">
      <c r="H116" s="8" t="n"/>
      <c r="I116" s="8" t="n"/>
      <c r="J116" s="8" t="n"/>
      <c r="K116" s="8" t="n"/>
      <c r="L116" s="8" t="n"/>
      <c r="M116" s="8" t="n"/>
    </row>
    <row r="117" ht="12.75" customHeight="1">
      <c r="H117" s="8" t="n"/>
      <c r="I117" s="8" t="n"/>
      <c r="J117" s="8" t="n"/>
      <c r="K117" s="8" t="n"/>
      <c r="L117" s="8" t="n"/>
      <c r="M117" s="8" t="n"/>
    </row>
    <row r="118" ht="12.75" customHeight="1">
      <c r="H118" s="8" t="n"/>
      <c r="I118" s="8" t="n"/>
      <c r="J118" s="8" t="n"/>
      <c r="K118" s="8" t="n"/>
      <c r="L118" s="8" t="n"/>
      <c r="M118" s="8" t="n"/>
    </row>
    <row r="119" ht="12.75" customHeight="1">
      <c r="H119" s="8" t="n"/>
      <c r="I119" s="8" t="n"/>
      <c r="J119" s="8" t="n"/>
      <c r="K119" s="8" t="n"/>
      <c r="L119" s="8" t="n"/>
      <c r="M119" s="8" t="n"/>
    </row>
    <row r="120" ht="12.75" customHeight="1">
      <c r="H120" s="8" t="n"/>
      <c r="I120" s="8" t="n"/>
      <c r="J120" s="8" t="n"/>
      <c r="K120" s="8" t="n"/>
      <c r="L120" s="8" t="n"/>
      <c r="M120" s="8" t="n"/>
    </row>
    <row r="121" ht="12.75" customHeight="1">
      <c r="H121" s="8" t="n"/>
      <c r="I121" s="8" t="n"/>
      <c r="J121" s="8" t="n"/>
      <c r="K121" s="8" t="n"/>
      <c r="L121" s="8" t="n"/>
      <c r="M121" s="8" t="n"/>
    </row>
    <row r="122" ht="12.75" customHeight="1">
      <c r="H122" s="8" t="n"/>
      <c r="I122" s="8" t="n"/>
      <c r="J122" s="8" t="n"/>
      <c r="K122" s="8" t="n"/>
      <c r="L122" s="8" t="n"/>
      <c r="M122" s="8" t="n"/>
    </row>
    <row r="123" ht="12.75" customHeight="1">
      <c r="H123" s="8" t="n"/>
      <c r="I123" s="8" t="n"/>
      <c r="J123" s="8" t="n"/>
      <c r="K123" s="8" t="n"/>
      <c r="L123" s="8" t="n"/>
      <c r="M123" s="8" t="n"/>
    </row>
    <row r="124" ht="12.75" customHeight="1">
      <c r="H124" s="8" t="n"/>
      <c r="I124" s="8" t="n"/>
      <c r="J124" s="8" t="n"/>
      <c r="K124" s="8" t="n"/>
      <c r="L124" s="8" t="n"/>
      <c r="M124" s="8" t="n"/>
    </row>
    <row r="125" ht="12.75" customHeight="1">
      <c r="H125" s="8" t="n"/>
      <c r="I125" s="8" t="n"/>
      <c r="J125" s="8" t="n"/>
      <c r="K125" s="8" t="n"/>
      <c r="L125" s="8" t="n"/>
      <c r="M125" s="8" t="n"/>
    </row>
    <row r="126" ht="12.75" customHeight="1">
      <c r="H126" s="8" t="n"/>
      <c r="I126" s="8" t="n"/>
      <c r="J126" s="8" t="n"/>
      <c r="K126" s="8" t="n"/>
      <c r="L126" s="8" t="n"/>
      <c r="M126" s="8" t="n"/>
    </row>
    <row r="127" ht="12.75" customHeight="1">
      <c r="H127" s="8" t="n"/>
      <c r="I127" s="8" t="n"/>
      <c r="J127" s="8" t="n"/>
      <c r="K127" s="8" t="n"/>
      <c r="L127" s="8" t="n"/>
      <c r="M127" s="8" t="n"/>
    </row>
    <row r="128" ht="12.75" customHeight="1">
      <c r="H128" s="8" t="n"/>
      <c r="I128" s="8" t="n"/>
      <c r="J128" s="8" t="n"/>
      <c r="K128" s="8" t="n"/>
      <c r="L128" s="8" t="n"/>
      <c r="M128" s="8" t="n"/>
    </row>
    <row r="129" ht="12.75" customHeight="1">
      <c r="H129" s="8" t="n"/>
      <c r="I129" s="8" t="n"/>
      <c r="J129" s="8" t="n"/>
      <c r="K129" s="8" t="n"/>
      <c r="L129" s="8" t="n"/>
      <c r="M129" s="8" t="n"/>
    </row>
    <row r="130" ht="12.75" customHeight="1">
      <c r="H130" s="8" t="n"/>
      <c r="I130" s="8" t="n"/>
      <c r="J130" s="8" t="n"/>
      <c r="K130" s="8" t="n"/>
      <c r="L130" s="8" t="n"/>
      <c r="M130" s="8" t="n"/>
    </row>
    <row r="131" ht="12.75" customHeight="1">
      <c r="H131" s="8" t="n"/>
      <c r="I131" s="8" t="n"/>
      <c r="J131" s="8" t="n"/>
      <c r="K131" s="8" t="n"/>
      <c r="L131" s="8" t="n"/>
      <c r="M131" s="8" t="n"/>
    </row>
    <row r="132" ht="12.75" customHeight="1">
      <c r="H132" s="8" t="n"/>
      <c r="I132" s="8" t="n"/>
      <c r="J132" s="8" t="n"/>
      <c r="K132" s="8" t="n"/>
      <c r="L132" s="8" t="n"/>
      <c r="M132" s="8" t="n"/>
    </row>
    <row r="133" ht="12.75" customHeight="1">
      <c r="H133" s="8" t="n"/>
      <c r="I133" s="8" t="n"/>
      <c r="J133" s="8" t="n"/>
      <c r="K133" s="8" t="n"/>
      <c r="L133" s="8" t="n"/>
      <c r="M133" s="8" t="n"/>
    </row>
    <row r="134" ht="12.75" customHeight="1">
      <c r="H134" s="8" t="n"/>
      <c r="I134" s="8" t="n"/>
      <c r="J134" s="8" t="n"/>
      <c r="K134" s="8" t="n"/>
      <c r="L134" s="8" t="n"/>
      <c r="M134" s="8" t="n"/>
    </row>
    <row r="135" ht="12.75" customHeight="1">
      <c r="H135" s="8" t="n"/>
      <c r="I135" s="8" t="n"/>
      <c r="J135" s="8" t="n"/>
      <c r="K135" s="8" t="n"/>
      <c r="L135" s="8" t="n"/>
      <c r="M135" s="8" t="n"/>
    </row>
    <row r="136" ht="12.75" customHeight="1">
      <c r="H136" s="8" t="n"/>
      <c r="I136" s="8" t="n"/>
      <c r="J136" s="8" t="n"/>
      <c r="K136" s="8" t="n"/>
      <c r="L136" s="8" t="n"/>
      <c r="M136" s="8" t="n"/>
    </row>
    <row r="137" ht="12.75" customHeight="1">
      <c r="H137" s="8" t="n"/>
      <c r="I137" s="8" t="n"/>
      <c r="J137" s="8" t="n"/>
      <c r="K137" s="8" t="n"/>
      <c r="L137" s="8" t="n"/>
      <c r="M137" s="8" t="n"/>
    </row>
    <row r="138" ht="12.75" customHeight="1">
      <c r="H138" s="8" t="n"/>
      <c r="I138" s="8" t="n"/>
      <c r="J138" s="8" t="n"/>
      <c r="K138" s="8" t="n"/>
      <c r="L138" s="8" t="n"/>
      <c r="M138" s="8" t="n"/>
    </row>
    <row r="139" ht="12.75" customHeight="1">
      <c r="H139" s="8" t="n"/>
      <c r="I139" s="8" t="n"/>
      <c r="J139" s="8" t="n"/>
      <c r="K139" s="8" t="n"/>
      <c r="L139" s="8" t="n"/>
      <c r="M139" s="8" t="n"/>
    </row>
    <row r="140" ht="12.75" customHeight="1">
      <c r="H140" s="8" t="n"/>
      <c r="I140" s="8" t="n"/>
      <c r="J140" s="8" t="n"/>
      <c r="K140" s="8" t="n"/>
      <c r="L140" s="8" t="n"/>
      <c r="M140" s="8" t="n"/>
    </row>
    <row r="141" ht="12.75" customHeight="1">
      <c r="H141" s="8" t="n"/>
      <c r="I141" s="8" t="n"/>
      <c r="J141" s="8" t="n"/>
      <c r="K141" s="8" t="n"/>
      <c r="L141" s="8" t="n"/>
      <c r="M141" s="8" t="n"/>
    </row>
    <row r="142" ht="12.75" customHeight="1">
      <c r="H142" s="8" t="n"/>
      <c r="I142" s="8" t="n"/>
      <c r="J142" s="8" t="n"/>
      <c r="K142" s="8" t="n"/>
      <c r="L142" s="8" t="n"/>
      <c r="M142" s="8" t="n"/>
    </row>
    <row r="143" ht="12.75" customHeight="1">
      <c r="H143" s="8" t="n"/>
      <c r="I143" s="8" t="n"/>
      <c r="J143" s="8" t="n"/>
      <c r="K143" s="8" t="n"/>
      <c r="L143" s="8" t="n"/>
      <c r="M143" s="8" t="n"/>
    </row>
    <row r="144" ht="12.75" customHeight="1">
      <c r="H144" s="8" t="n"/>
      <c r="I144" s="8" t="n"/>
      <c r="J144" s="8" t="n"/>
      <c r="K144" s="8" t="n"/>
      <c r="L144" s="8" t="n"/>
      <c r="M144" s="8" t="n"/>
    </row>
    <row r="145" ht="12.75" customHeight="1">
      <c r="H145" s="8" t="n"/>
      <c r="I145" s="8" t="n"/>
      <c r="J145" s="8" t="n"/>
      <c r="K145" s="8" t="n"/>
      <c r="L145" s="8" t="n"/>
      <c r="M145" s="8" t="n"/>
    </row>
    <row r="146" ht="12.75" customHeight="1">
      <c r="H146" s="8" t="n"/>
      <c r="I146" s="8" t="n"/>
      <c r="J146" s="8" t="n"/>
      <c r="K146" s="8" t="n"/>
      <c r="L146" s="8" t="n"/>
      <c r="M146" s="8" t="n"/>
    </row>
    <row r="147" ht="12.75" customHeight="1">
      <c r="H147" s="8" t="n"/>
      <c r="I147" s="8" t="n"/>
      <c r="J147" s="8" t="n"/>
      <c r="K147" s="8" t="n"/>
      <c r="L147" s="8" t="n"/>
      <c r="M147" s="8" t="n"/>
    </row>
    <row r="148" ht="12.75" customHeight="1">
      <c r="H148" s="8" t="n"/>
      <c r="I148" s="8" t="n"/>
      <c r="J148" s="8" t="n"/>
      <c r="K148" s="8" t="n"/>
      <c r="L148" s="8" t="n"/>
      <c r="M148" s="8" t="n"/>
    </row>
    <row r="149" ht="12.75" customHeight="1">
      <c r="H149" s="8" t="n"/>
      <c r="I149" s="8" t="n"/>
      <c r="J149" s="8" t="n"/>
      <c r="K149" s="8" t="n"/>
      <c r="L149" s="8" t="n"/>
      <c r="M149" s="8" t="n"/>
    </row>
    <row r="150" ht="12.75" customHeight="1">
      <c r="H150" s="8" t="n"/>
      <c r="I150" s="8" t="n"/>
      <c r="J150" s="8" t="n"/>
      <c r="K150" s="8" t="n"/>
      <c r="L150" s="8" t="n"/>
      <c r="M150" s="8" t="n"/>
    </row>
    <row r="151" ht="12.75" customHeight="1">
      <c r="H151" s="8" t="n"/>
      <c r="I151" s="8" t="n"/>
      <c r="J151" s="8" t="n"/>
      <c r="K151" s="8" t="n"/>
      <c r="L151" s="8" t="n"/>
      <c r="M151" s="8" t="n"/>
    </row>
    <row r="152" ht="12.75" customHeight="1">
      <c r="H152" s="8" t="n"/>
      <c r="I152" s="8" t="n"/>
      <c r="J152" s="8" t="n"/>
      <c r="K152" s="8" t="n"/>
      <c r="L152" s="8" t="n"/>
      <c r="M152" s="8" t="n"/>
    </row>
    <row r="153" ht="12.75" customHeight="1">
      <c r="H153" s="8" t="n"/>
      <c r="I153" s="8" t="n"/>
      <c r="J153" s="8" t="n"/>
      <c r="K153" s="8" t="n"/>
      <c r="L153" s="8" t="n"/>
      <c r="M153" s="8" t="n"/>
    </row>
    <row r="154" ht="12.75" customHeight="1">
      <c r="H154" s="8" t="n"/>
      <c r="I154" s="8" t="n"/>
      <c r="J154" s="8" t="n"/>
      <c r="K154" s="8" t="n"/>
      <c r="L154" s="8" t="n"/>
      <c r="M154" s="8" t="n"/>
    </row>
    <row r="155" ht="12.75" customHeight="1">
      <c r="H155" s="8" t="n"/>
      <c r="I155" s="8" t="n"/>
      <c r="J155" s="8" t="n"/>
      <c r="K155" s="8" t="n"/>
      <c r="L155" s="8" t="n"/>
      <c r="M155" s="8" t="n"/>
    </row>
    <row r="156" ht="12.75" customHeight="1">
      <c r="H156" s="8" t="n"/>
      <c r="I156" s="8" t="n"/>
      <c r="J156" s="8" t="n"/>
      <c r="K156" s="8" t="n"/>
      <c r="L156" s="8" t="n"/>
      <c r="M156" s="8" t="n"/>
    </row>
    <row r="157" ht="12.75" customHeight="1">
      <c r="H157" s="8" t="n"/>
      <c r="I157" s="8" t="n"/>
      <c r="J157" s="8" t="n"/>
      <c r="K157" s="8" t="n"/>
      <c r="L157" s="8" t="n"/>
      <c r="M157" s="8" t="n"/>
    </row>
    <row r="158" ht="12.75" customHeight="1">
      <c r="H158" s="8" t="n"/>
      <c r="I158" s="8" t="n"/>
      <c r="J158" s="8" t="n"/>
      <c r="K158" s="8" t="n"/>
      <c r="L158" s="8" t="n"/>
      <c r="M158" s="8" t="n"/>
    </row>
    <row r="159" ht="12.75" customHeight="1">
      <c r="H159" s="8" t="n"/>
      <c r="I159" s="8" t="n"/>
      <c r="J159" s="8" t="n"/>
      <c r="K159" s="8" t="n"/>
      <c r="L159" s="8" t="n"/>
      <c r="M159" s="8" t="n"/>
    </row>
    <row r="160" ht="12.75" customHeight="1">
      <c r="H160" s="8" t="n"/>
      <c r="I160" s="8" t="n"/>
      <c r="J160" s="8" t="n"/>
      <c r="K160" s="8" t="n"/>
      <c r="L160" s="8" t="n"/>
      <c r="M160" s="8" t="n"/>
    </row>
    <row r="161" ht="12.75" customHeight="1">
      <c r="H161" s="8" t="n"/>
      <c r="I161" s="8" t="n"/>
      <c r="J161" s="8" t="n"/>
      <c r="K161" s="8" t="n"/>
      <c r="L161" s="8" t="n"/>
      <c r="M161" s="8" t="n"/>
    </row>
    <row r="162" ht="12.75" customHeight="1">
      <c r="H162" s="8" t="n"/>
      <c r="I162" s="8" t="n"/>
      <c r="J162" s="8" t="n"/>
      <c r="K162" s="8" t="n"/>
      <c r="L162" s="8" t="n"/>
      <c r="M162" s="8" t="n"/>
    </row>
    <row r="163" ht="12.75" customHeight="1">
      <c r="H163" s="8" t="n"/>
      <c r="I163" s="8" t="n"/>
      <c r="J163" s="8" t="n"/>
      <c r="K163" s="8" t="n"/>
      <c r="L163" s="8" t="n"/>
      <c r="M163" s="8" t="n"/>
    </row>
    <row r="164" ht="12.75" customHeight="1">
      <c r="H164" s="8" t="n"/>
      <c r="I164" s="8" t="n"/>
      <c r="J164" s="8" t="n"/>
      <c r="K164" s="8" t="n"/>
      <c r="L164" s="8" t="n"/>
      <c r="M164" s="8" t="n"/>
    </row>
    <row r="165" ht="12.75" customHeight="1">
      <c r="H165" s="8" t="n"/>
      <c r="I165" s="8" t="n"/>
      <c r="J165" s="8" t="n"/>
      <c r="K165" s="8" t="n"/>
      <c r="L165" s="8" t="n"/>
      <c r="M165" s="8" t="n"/>
    </row>
    <row r="166" ht="12.75" customHeight="1">
      <c r="H166" s="8" t="n"/>
      <c r="I166" s="8" t="n"/>
      <c r="J166" s="8" t="n"/>
      <c r="K166" s="8" t="n"/>
      <c r="L166" s="8" t="n"/>
      <c r="M166" s="8" t="n"/>
    </row>
    <row r="167" ht="12.75" customHeight="1">
      <c r="H167" s="8" t="n"/>
      <c r="I167" s="8" t="n"/>
      <c r="J167" s="8" t="n"/>
      <c r="K167" s="8" t="n"/>
      <c r="L167" s="8" t="n"/>
      <c r="M167" s="8" t="n"/>
    </row>
    <row r="168" ht="12.75" customHeight="1">
      <c r="H168" s="8" t="n"/>
      <c r="I168" s="8" t="n"/>
      <c r="J168" s="8" t="n"/>
      <c r="K168" s="8" t="n"/>
      <c r="L168" s="8" t="n"/>
      <c r="M168" s="8" t="n"/>
    </row>
    <row r="169" ht="12.75" customHeight="1">
      <c r="H169" s="8" t="n"/>
      <c r="I169" s="8" t="n"/>
      <c r="J169" s="8" t="n"/>
      <c r="K169" s="8" t="n"/>
      <c r="L169" s="8" t="n"/>
      <c r="M169" s="8" t="n"/>
    </row>
    <row r="170" ht="12.75" customHeight="1">
      <c r="H170" s="8" t="n"/>
      <c r="I170" s="8" t="n"/>
      <c r="J170" s="8" t="n"/>
      <c r="K170" s="8" t="n"/>
      <c r="L170" s="8" t="n"/>
      <c r="M170" s="8" t="n"/>
    </row>
    <row r="171" ht="12.75" customHeight="1">
      <c r="H171" s="8" t="n"/>
      <c r="I171" s="8" t="n"/>
      <c r="J171" s="8" t="n"/>
      <c r="K171" s="8" t="n"/>
      <c r="L171" s="8" t="n"/>
      <c r="M171" s="8" t="n"/>
    </row>
    <row r="172" ht="12.75" customHeight="1">
      <c r="H172" s="8" t="n"/>
      <c r="I172" s="8" t="n"/>
      <c r="J172" s="8" t="n"/>
      <c r="K172" s="8" t="n"/>
      <c r="L172" s="8" t="n"/>
      <c r="M172" s="8" t="n"/>
    </row>
    <row r="173" ht="12.75" customHeight="1">
      <c r="H173" s="8" t="n"/>
      <c r="I173" s="8" t="n"/>
      <c r="J173" s="8" t="n"/>
      <c r="K173" s="8" t="n"/>
      <c r="L173" s="8" t="n"/>
      <c r="M173" s="8" t="n"/>
    </row>
    <row r="174" ht="12.75" customHeight="1">
      <c r="H174" s="8" t="n"/>
      <c r="I174" s="8" t="n"/>
      <c r="J174" s="8" t="n"/>
      <c r="K174" s="8" t="n"/>
      <c r="L174" s="8" t="n"/>
      <c r="M174" s="8" t="n"/>
    </row>
    <row r="175" ht="12.75" customHeight="1">
      <c r="H175" s="8" t="n"/>
      <c r="I175" s="8" t="n"/>
      <c r="J175" s="8" t="n"/>
      <c r="K175" s="8" t="n"/>
      <c r="L175" s="8" t="n"/>
      <c r="M175" s="8" t="n"/>
    </row>
    <row r="176" ht="12.75" customHeight="1">
      <c r="I176" s="8" t="n"/>
      <c r="J176" s="8" t="n"/>
      <c r="K176" s="8" t="n"/>
      <c r="L176" s="8" t="n"/>
      <c r="M176" s="8" t="n"/>
    </row>
    <row r="177" ht="12.75" customHeight="1">
      <c r="I177" s="8" t="n"/>
      <c r="J177" s="8" t="n"/>
      <c r="K177" s="8" t="n"/>
      <c r="L177" s="8" t="n"/>
      <c r="M177" s="8" t="n"/>
    </row>
    <row r="178" ht="12.75" customHeight="1">
      <c r="I178" s="8" t="n"/>
      <c r="J178" s="8" t="n"/>
      <c r="K178" s="8" t="n"/>
      <c r="L178" s="8" t="n"/>
      <c r="M178" s="8" t="n"/>
    </row>
    <row r="179" ht="12.75" customHeight="1">
      <c r="I179" s="8" t="n"/>
      <c r="J179" s="8" t="n"/>
      <c r="K179" s="8" t="n"/>
      <c r="L179" s="8" t="n"/>
      <c r="M179" s="8" t="n"/>
    </row>
    <row r="180" ht="12.75" customHeight="1">
      <c r="I180" s="8" t="n"/>
      <c r="J180" s="8" t="n"/>
      <c r="K180" s="8" t="n"/>
      <c r="L180" s="8" t="n"/>
      <c r="M180" s="8" t="n"/>
    </row>
    <row r="181" ht="12.75" customHeight="1">
      <c r="I181" s="8" t="n"/>
      <c r="J181" s="8" t="n"/>
      <c r="K181" s="8" t="n"/>
      <c r="L181" s="8" t="n"/>
      <c r="M181" s="8" t="n"/>
    </row>
    <row r="182" ht="12.75" customHeight="1">
      <c r="I182" s="8" t="n"/>
      <c r="J182" s="8" t="n"/>
      <c r="K182" s="8" t="n"/>
      <c r="L182" s="8" t="n"/>
      <c r="M182" s="8" t="n"/>
    </row>
    <row r="183" ht="12.75" customHeight="1">
      <c r="I183" s="8" t="n"/>
      <c r="J183" s="8" t="n"/>
      <c r="K183" s="8" t="n"/>
      <c r="L183" s="8" t="n"/>
      <c r="M183" s="8" t="n"/>
    </row>
    <row r="184" ht="12.75" customHeight="1">
      <c r="I184" s="8" t="n"/>
      <c r="J184" s="8" t="n"/>
      <c r="K184" s="8" t="n"/>
      <c r="L184" s="8" t="n"/>
      <c r="M184" s="8" t="n"/>
    </row>
    <row r="185" ht="12.75" customHeight="1">
      <c r="I185" s="8" t="n"/>
      <c r="J185" s="8" t="n"/>
      <c r="K185" s="8" t="n"/>
      <c r="L185" s="8" t="n"/>
      <c r="M185" s="8" t="n"/>
    </row>
    <row r="186" ht="12.75" customHeight="1">
      <c r="I186" s="8" t="n"/>
      <c r="J186" s="8" t="n"/>
      <c r="K186" s="8" t="n"/>
      <c r="L186" s="8" t="n"/>
      <c r="M186" s="8" t="n"/>
    </row>
    <row r="187" ht="12.75" customHeight="1">
      <c r="I187" s="8" t="n"/>
      <c r="J187" s="8" t="n"/>
      <c r="K187" s="8" t="n"/>
      <c r="L187" s="8" t="n"/>
      <c r="M187" s="8" t="n"/>
    </row>
    <row r="188" ht="12.75" customHeight="1">
      <c r="I188" s="8" t="n"/>
      <c r="J188" s="8" t="n"/>
      <c r="K188" s="8" t="n"/>
      <c r="L188" s="8" t="n"/>
      <c r="M188" s="8" t="n"/>
    </row>
    <row r="189" ht="12.75" customHeight="1">
      <c r="I189" s="8" t="n"/>
      <c r="J189" s="8" t="n"/>
      <c r="K189" s="8" t="n"/>
      <c r="L189" s="8" t="n"/>
      <c r="M189" s="8" t="n"/>
    </row>
    <row r="190" ht="12.75" customHeight="1">
      <c r="I190" s="8" t="n"/>
      <c r="J190" s="8" t="n"/>
      <c r="K190" s="8" t="n"/>
      <c r="L190" s="8" t="n"/>
      <c r="M190" s="8" t="n"/>
    </row>
    <row r="191" ht="12.75" customHeight="1">
      <c r="I191" s="8" t="n"/>
      <c r="J191" s="8" t="n"/>
      <c r="K191" s="8" t="n"/>
      <c r="L191" s="8" t="n"/>
      <c r="M191" s="8" t="n"/>
    </row>
    <row r="192" ht="12.75" customHeight="1">
      <c r="I192" s="8" t="n"/>
      <c r="J192" s="8" t="n"/>
      <c r="K192" s="8" t="n"/>
      <c r="L192" s="8" t="n"/>
      <c r="M192" s="8" t="n"/>
    </row>
    <row r="193" ht="12.75" customHeight="1">
      <c r="H193" s="7" t="n"/>
      <c r="I193" s="1" t="n"/>
      <c r="J193" s="8" t="n"/>
      <c r="K193" s="8" t="n"/>
      <c r="L193" s="8" t="n"/>
      <c r="M193" s="8" t="n"/>
    </row>
    <row r="194" ht="12.75" customHeight="1">
      <c r="H194" s="7" t="n"/>
      <c r="I194" s="1" t="n"/>
      <c r="J194" s="8" t="n"/>
      <c r="K194" s="8" t="n"/>
      <c r="L194" s="8" t="n"/>
      <c r="M194" s="8" t="n"/>
    </row>
    <row r="195" ht="12.75" customHeight="1">
      <c r="H195" s="7" t="n"/>
      <c r="I195" s="1" t="n"/>
      <c r="J195" s="8" t="n"/>
      <c r="K195" s="8" t="n"/>
      <c r="L195" s="8" t="n"/>
      <c r="M195" s="8" t="n"/>
    </row>
    <row r="196" ht="12.75" customHeight="1">
      <c r="H196" s="7" t="n"/>
      <c r="I196" s="1" t="n"/>
      <c r="J196" s="8" t="n"/>
      <c r="K196" s="8" t="n"/>
      <c r="L196" s="8" t="n"/>
      <c r="M196" s="8" t="n"/>
    </row>
    <row r="197" ht="12.75" customHeight="1">
      <c r="H197" s="7" t="n"/>
      <c r="I197" s="1" t="n"/>
      <c r="J197" s="8" t="n"/>
      <c r="K197" s="8" t="n"/>
      <c r="L197" s="8" t="n"/>
      <c r="M197" s="8" t="n"/>
    </row>
    <row r="198" ht="12.75" customHeight="1">
      <c r="H198" s="7" t="n"/>
      <c r="I198" s="1" t="n"/>
      <c r="J198" s="8" t="n"/>
      <c r="K198" s="8" t="n"/>
      <c r="L198" s="8" t="n"/>
      <c r="M198" s="8" t="n"/>
    </row>
    <row r="199" ht="12.75" customHeight="1">
      <c r="H199" s="7" t="n"/>
      <c r="I199" s="1" t="n"/>
      <c r="J199" s="8" t="n"/>
      <c r="K199" s="8" t="n"/>
      <c r="L199" s="8" t="n"/>
      <c r="M199" s="8" t="n"/>
    </row>
    <row r="200" ht="12.75" customHeight="1">
      <c r="H200" s="7" t="n"/>
      <c r="I200" s="1" t="n"/>
      <c r="J200" s="8" t="n"/>
      <c r="K200" s="8" t="n"/>
      <c r="L200" s="8" t="n"/>
      <c r="M200" s="8" t="n"/>
    </row>
    <row r="201" ht="12.75" customHeight="1">
      <c r="H201" s="7" t="n"/>
      <c r="I201" s="1" t="n"/>
      <c r="J201" s="8" t="n"/>
      <c r="K201" s="8" t="n"/>
      <c r="L201" s="8" t="n"/>
      <c r="M201" s="8" t="n"/>
    </row>
    <row r="202" ht="12.75" customHeight="1">
      <c r="H202" s="7" t="n"/>
      <c r="I202" s="1" t="n"/>
      <c r="J202" s="8" t="n"/>
      <c r="K202" s="8" t="n"/>
      <c r="L202" s="8" t="n"/>
      <c r="M202" s="8" t="n"/>
    </row>
    <row r="203" ht="12.75" customHeight="1">
      <c r="H203" s="7" t="n"/>
      <c r="I203" s="1" t="n"/>
      <c r="J203" s="8" t="n"/>
      <c r="K203" s="8" t="n"/>
      <c r="L203" s="8" t="n"/>
      <c r="M203" s="8" t="n"/>
    </row>
    <row r="204" ht="12.75" customHeight="1">
      <c r="H204" s="7" t="n"/>
      <c r="I204" s="1" t="n"/>
      <c r="J204" s="8" t="n"/>
      <c r="K204" s="8" t="n"/>
      <c r="L204" s="8" t="n"/>
      <c r="M204" s="8" t="n"/>
    </row>
    <row r="205" ht="12.75" customHeight="1">
      <c r="H205" s="7" t="n"/>
      <c r="I205" s="1" t="n"/>
      <c r="J205" s="8" t="n"/>
      <c r="K205" s="8" t="n"/>
      <c r="L205" s="8" t="n"/>
      <c r="M205" s="8" t="n"/>
    </row>
    <row r="206" ht="12.75" customHeight="1">
      <c r="H206" s="7" t="n"/>
      <c r="I206" s="1" t="n"/>
      <c r="J206" s="8" t="n"/>
      <c r="K206" s="8" t="n"/>
      <c r="L206" s="8" t="n"/>
      <c r="M206" s="8" t="n"/>
    </row>
    <row r="207" ht="12.75" customHeight="1">
      <c r="H207" s="7" t="n"/>
      <c r="I207" s="1" t="n"/>
      <c r="J207" s="8" t="n"/>
      <c r="K207" s="8" t="n"/>
      <c r="L207" s="8" t="n"/>
      <c r="M207" s="8" t="n"/>
    </row>
    <row r="208" ht="12.75" customHeight="1">
      <c r="H208" s="7" t="n"/>
      <c r="I208" s="1" t="n"/>
      <c r="J208" s="8" t="n"/>
      <c r="K208" s="8" t="n"/>
      <c r="L208" s="8" t="n"/>
      <c r="M208" s="8" t="n"/>
    </row>
    <row r="209" ht="12.75" customHeight="1">
      <c r="H209" s="7" t="n"/>
      <c r="I209" s="1" t="n"/>
      <c r="J209" s="8" t="n"/>
      <c r="K209" s="8" t="n"/>
      <c r="L209" s="8" t="n"/>
      <c r="M209" s="8" t="n"/>
    </row>
    <row r="210" ht="12.75" customHeight="1">
      <c r="H210" s="7" t="n"/>
      <c r="I210" s="1" t="n"/>
      <c r="J210" s="8" t="n"/>
      <c r="K210" s="8" t="n"/>
      <c r="L210" s="8" t="n"/>
      <c r="M210" s="8" t="n"/>
    </row>
    <row r="211" ht="12.75" customHeight="1">
      <c r="H211" s="7" t="n"/>
      <c r="I211" s="1" t="n"/>
      <c r="J211" s="8" t="n"/>
      <c r="K211" s="8" t="n"/>
      <c r="L211" s="8" t="n"/>
      <c r="M211" s="8" t="n"/>
    </row>
    <row r="212" ht="12.75" customHeight="1">
      <c r="H212" s="7" t="n"/>
      <c r="I212" s="1" t="n"/>
      <c r="J212" s="8" t="n"/>
      <c r="K212" s="8" t="n"/>
      <c r="L212" s="8" t="n"/>
      <c r="M212" s="8" t="n"/>
    </row>
    <row r="213" ht="12.75" customHeight="1">
      <c r="H213" s="7" t="n"/>
      <c r="I213" s="1" t="n"/>
      <c r="J213" s="8" t="n"/>
      <c r="K213" s="8" t="n"/>
      <c r="L213" s="8" t="n"/>
      <c r="M213" s="8" t="n"/>
    </row>
    <row r="214" ht="12.75" customHeight="1">
      <c r="H214" s="7" t="n"/>
      <c r="I214" s="1" t="n"/>
      <c r="J214" s="8" t="n"/>
      <c r="K214" s="8" t="n"/>
      <c r="L214" s="8" t="n"/>
      <c r="M214" s="8" t="n"/>
    </row>
    <row r="215" ht="12.75" customHeight="1">
      <c r="H215" s="7" t="n"/>
      <c r="I215" s="1" t="n"/>
      <c r="J215" s="8" t="n"/>
      <c r="K215" s="8" t="n"/>
      <c r="L215" s="8" t="n"/>
      <c r="M215" s="8" t="n"/>
    </row>
    <row r="216" ht="12.75" customHeight="1">
      <c r="H216" s="7" t="n"/>
      <c r="I216" s="1" t="n"/>
      <c r="J216" s="8" t="n"/>
      <c r="K216" s="8" t="n"/>
      <c r="L216" s="8" t="n"/>
      <c r="M216" s="8" t="n"/>
    </row>
    <row r="217" ht="12.75" customHeight="1">
      <c r="H217" s="7" t="n"/>
      <c r="I217" s="1" t="n"/>
      <c r="J217" s="8" t="n"/>
      <c r="K217" s="8" t="n"/>
      <c r="L217" s="8" t="n"/>
      <c r="M217" s="8" t="n"/>
    </row>
    <row r="218" ht="12.75" customHeight="1">
      <c r="H218" s="7" t="n"/>
      <c r="I218" s="1" t="n"/>
      <c r="J218" s="8" t="n"/>
      <c r="K218" s="8" t="n"/>
      <c r="L218" s="8" t="n"/>
      <c r="M218" s="8" t="n"/>
    </row>
    <row r="219" ht="12.75" customHeight="1">
      <c r="H219" s="7" t="n"/>
      <c r="I219" s="1" t="n"/>
      <c r="J219" s="8" t="n"/>
      <c r="K219" s="8" t="n"/>
      <c r="L219" s="8" t="n"/>
      <c r="M219" s="8" t="n"/>
    </row>
    <row r="220" ht="12.75" customHeight="1">
      <c r="H220" s="7" t="n"/>
      <c r="I220" s="1" t="n"/>
      <c r="J220" s="8" t="n"/>
      <c r="K220" s="8" t="n"/>
      <c r="L220" s="8" t="n"/>
      <c r="M220" s="8" t="n"/>
    </row>
    <row r="221" ht="12.75" customHeight="1">
      <c r="H221" s="7" t="n"/>
      <c r="I221" s="1" t="n"/>
      <c r="J221" s="8" t="n"/>
      <c r="K221" s="8" t="n"/>
      <c r="L221" s="8" t="n"/>
      <c r="M221" s="8" t="n"/>
    </row>
    <row r="222" ht="12.75" customHeight="1">
      <c r="H222" s="7" t="n"/>
      <c r="I222" s="1" t="n"/>
      <c r="J222" s="8" t="n"/>
      <c r="K222" s="8" t="n"/>
      <c r="L222" s="8" t="n"/>
      <c r="M222" s="8" t="n"/>
    </row>
    <row r="223" ht="12.75" customHeight="1">
      <c r="H223" s="7" t="n"/>
      <c r="I223" s="1" t="n"/>
      <c r="J223" s="8" t="n"/>
      <c r="K223" s="8" t="n"/>
      <c r="L223" s="8" t="n"/>
      <c r="M223" s="8" t="n"/>
    </row>
    <row r="224" ht="12.75" customHeight="1">
      <c r="H224" s="7" t="n"/>
      <c r="I224" s="1" t="n"/>
      <c r="J224" s="8" t="n"/>
      <c r="K224" s="8" t="n"/>
      <c r="L224" s="8" t="n"/>
      <c r="M224" s="8" t="n"/>
    </row>
    <row r="225" ht="12.75" customHeight="1">
      <c r="H225" s="7" t="n"/>
      <c r="I225" s="1" t="n"/>
      <c r="J225" s="8" t="n"/>
      <c r="K225" s="8" t="n"/>
      <c r="L225" s="8" t="n"/>
      <c r="M225" s="8" t="n"/>
    </row>
    <row r="226" ht="12.75" customHeight="1">
      <c r="H226" s="7" t="n"/>
      <c r="I226" s="1" t="n"/>
      <c r="J226" s="8" t="n"/>
      <c r="K226" s="8" t="n"/>
      <c r="L226" s="8" t="n"/>
      <c r="M226" s="8" t="n"/>
    </row>
    <row r="227" ht="12.75" customHeight="1">
      <c r="H227" s="7" t="n"/>
      <c r="I227" s="1" t="n"/>
      <c r="J227" s="8" t="n"/>
      <c r="K227" s="8" t="n"/>
      <c r="L227" s="8" t="n"/>
      <c r="M227" s="8" t="n"/>
    </row>
    <row r="228" ht="12.75" customHeight="1">
      <c r="H228" s="7" t="n"/>
      <c r="I228" s="1" t="n"/>
      <c r="J228" s="8" t="n"/>
      <c r="K228" s="8" t="n"/>
      <c r="L228" s="8" t="n"/>
      <c r="M228" s="8" t="n"/>
    </row>
    <row r="229" ht="12.75" customHeight="1">
      <c r="H229" s="7" t="n"/>
      <c r="I229" s="1" t="n"/>
      <c r="J229" s="8" t="n"/>
      <c r="K229" s="8" t="n"/>
      <c r="L229" s="8" t="n"/>
      <c r="M229" s="8" t="n"/>
    </row>
    <row r="230" ht="12.75" customHeight="1">
      <c r="H230" s="7" t="n"/>
      <c r="I230" s="1" t="n"/>
      <c r="J230" s="8" t="n"/>
      <c r="K230" s="8" t="n"/>
      <c r="L230" s="8" t="n"/>
      <c r="M230" s="8" t="n"/>
    </row>
    <row r="231" ht="12.75" customHeight="1">
      <c r="H231" s="7" t="n"/>
      <c r="I231" s="1" t="n"/>
      <c r="J231" s="8" t="n"/>
      <c r="K231" s="8" t="n"/>
      <c r="L231" s="8" t="n"/>
      <c r="M231" s="8" t="n"/>
    </row>
    <row r="232" ht="12.75" customHeight="1">
      <c r="H232" s="7" t="n"/>
      <c r="I232" s="1" t="n"/>
      <c r="J232" s="8" t="n"/>
      <c r="K232" s="8" t="n"/>
      <c r="L232" s="8" t="n"/>
      <c r="M232" s="8" t="n"/>
    </row>
    <row r="233" ht="12.75" customHeight="1">
      <c r="H233" s="7" t="n"/>
      <c r="I233" s="1" t="n"/>
      <c r="J233" s="8" t="n"/>
      <c r="K233" s="8" t="n"/>
      <c r="L233" s="8" t="n"/>
      <c r="M233" s="8" t="n"/>
    </row>
    <row r="234" ht="12.75" customHeight="1">
      <c r="H234" s="7" t="n"/>
      <c r="I234" s="1" t="n"/>
      <c r="J234" s="8" t="n"/>
      <c r="K234" s="8" t="n"/>
      <c r="L234" s="8" t="n"/>
      <c r="M234" s="8" t="n"/>
    </row>
    <row r="235" ht="12.75" customHeight="1">
      <c r="H235" s="7" t="n"/>
      <c r="I235" s="1" t="n"/>
      <c r="J235" s="8" t="n"/>
      <c r="K235" s="8" t="n"/>
      <c r="L235" s="8" t="n"/>
      <c r="M235" s="8" t="n"/>
    </row>
    <row r="236" ht="12.75" customHeight="1">
      <c r="H236" s="7" t="n"/>
      <c r="I236" s="1" t="n"/>
      <c r="J236" s="8" t="n"/>
      <c r="K236" s="8" t="n"/>
      <c r="L236" s="8" t="n"/>
      <c r="M236" s="8" t="n"/>
    </row>
    <row r="237" ht="12.75" customHeight="1">
      <c r="H237" s="7" t="n"/>
      <c r="I237" s="1" t="n"/>
      <c r="J237" s="8" t="n"/>
      <c r="K237" s="8" t="n"/>
      <c r="L237" s="8" t="n"/>
      <c r="M237" s="8" t="n"/>
    </row>
    <row r="238" ht="12.75" customHeight="1">
      <c r="H238" s="7" t="n"/>
      <c r="I238" s="1" t="n"/>
      <c r="J238" s="8" t="n"/>
      <c r="K238" s="8" t="n"/>
      <c r="L238" s="8" t="n"/>
      <c r="M238" s="8" t="n"/>
    </row>
    <row r="239" ht="12.75" customHeight="1">
      <c r="H239" s="7" t="n"/>
      <c r="I239" s="1" t="n"/>
      <c r="J239" s="8" t="n"/>
      <c r="K239" s="8" t="n"/>
      <c r="L239" s="8" t="n"/>
      <c r="M239" s="8" t="n"/>
    </row>
    <row r="240" ht="12.75" customHeight="1">
      <c r="H240" s="7" t="n"/>
      <c r="I240" s="1" t="n"/>
      <c r="J240" s="8" t="n"/>
      <c r="K240" s="8" t="n"/>
      <c r="L240" s="8" t="n"/>
      <c r="M240" s="8" t="n"/>
    </row>
    <row r="241" ht="12.75" customHeight="1">
      <c r="H241" s="7" t="n"/>
      <c r="I241" s="1" t="n"/>
      <c r="J241" s="8" t="n"/>
      <c r="K241" s="8" t="n"/>
      <c r="L241" s="8" t="n"/>
      <c r="M241" s="8" t="n"/>
    </row>
    <row r="242" ht="12.75" customHeight="1">
      <c r="H242" s="7" t="n"/>
      <c r="I242" s="1" t="n"/>
      <c r="J242" s="8" t="n"/>
      <c r="K242" s="8" t="n"/>
      <c r="L242" s="8" t="n"/>
      <c r="M242" s="8" t="n"/>
    </row>
    <row r="243" ht="12.75" customHeight="1">
      <c r="H243" s="7" t="n"/>
      <c r="I243" s="1" t="n"/>
      <c r="J243" s="8" t="n"/>
      <c r="K243" s="8" t="n"/>
      <c r="L243" s="8" t="n"/>
      <c r="M243" s="8" t="n"/>
    </row>
    <row r="244" ht="12.75" customHeight="1">
      <c r="H244" s="7" t="n"/>
      <c r="I244" s="1" t="n"/>
      <c r="J244" s="8" t="n"/>
      <c r="K244" s="8" t="n"/>
      <c r="L244" s="8" t="n"/>
      <c r="M244" s="8" t="n"/>
    </row>
    <row r="245" ht="12.75" customHeight="1">
      <c r="H245" s="7" t="n"/>
      <c r="I245" s="1" t="n"/>
      <c r="J245" s="8" t="n"/>
      <c r="K245" s="8" t="n"/>
      <c r="L245" s="8" t="n"/>
      <c r="M245" s="8" t="n"/>
    </row>
    <row r="246" ht="12.75" customHeight="1">
      <c r="H246" s="7" t="n"/>
      <c r="I246" s="1" t="n"/>
      <c r="J246" s="8" t="n"/>
      <c r="K246" s="8" t="n"/>
      <c r="L246" s="8" t="n"/>
      <c r="M246" s="8" t="n"/>
    </row>
    <row r="247" ht="12.75" customHeight="1">
      <c r="H247" s="7" t="n"/>
      <c r="I247" s="1" t="n"/>
      <c r="J247" s="8" t="n"/>
      <c r="K247" s="8" t="n"/>
      <c r="L247" s="8" t="n"/>
      <c r="M247" s="8" t="n"/>
    </row>
    <row r="248" ht="12.75" customHeight="1">
      <c r="H248" s="7" t="n"/>
      <c r="I248" s="1" t="n"/>
      <c r="J248" s="8" t="n"/>
      <c r="K248" s="8" t="n"/>
      <c r="L248" s="8" t="n"/>
      <c r="M248" s="8" t="n"/>
    </row>
    <row r="249" ht="12.75" customHeight="1">
      <c r="H249" s="7" t="n"/>
      <c r="I249" s="1" t="n"/>
      <c r="J249" s="8" t="n"/>
      <c r="K249" s="8" t="n"/>
      <c r="L249" s="8" t="n"/>
      <c r="M249" s="8" t="n"/>
    </row>
    <row r="250" ht="12.75" customHeight="1">
      <c r="H250" s="7" t="n"/>
      <c r="I250" s="1" t="n"/>
      <c r="J250" s="8" t="n"/>
      <c r="K250" s="8" t="n"/>
      <c r="L250" s="8" t="n"/>
      <c r="M250" s="8" t="n"/>
    </row>
    <row r="251" ht="12.75" customHeight="1">
      <c r="H251" s="7" t="n"/>
      <c r="I251" s="1" t="n"/>
      <c r="J251" s="8" t="n"/>
      <c r="K251" s="8" t="n"/>
      <c r="L251" s="8" t="n"/>
      <c r="M251" s="8" t="n"/>
    </row>
    <row r="252" ht="12.75" customHeight="1">
      <c r="H252" s="7" t="n"/>
      <c r="I252" s="1" t="n"/>
      <c r="J252" s="8" t="n"/>
      <c r="K252" s="8" t="n"/>
      <c r="L252" s="8" t="n"/>
      <c r="M252" s="8" t="n"/>
    </row>
    <row r="253" ht="12.75" customHeight="1">
      <c r="H253" s="7" t="n"/>
      <c r="I253" s="1" t="n"/>
      <c r="J253" s="8" t="n"/>
      <c r="K253" s="8" t="n"/>
      <c r="L253" s="8" t="n"/>
      <c r="M253" s="8" t="n"/>
    </row>
    <row r="254" ht="12.75" customHeight="1">
      <c r="H254" s="7" t="n"/>
      <c r="I254" s="1" t="n"/>
      <c r="J254" s="8" t="n"/>
      <c r="K254" s="8" t="n"/>
      <c r="L254" s="8" t="n"/>
      <c r="M254" s="8" t="n"/>
    </row>
    <row r="255" ht="12.75" customHeight="1">
      <c r="H255" s="7" t="n"/>
      <c r="I255" s="1" t="n"/>
      <c r="J255" s="8" t="n"/>
      <c r="K255" s="8" t="n"/>
      <c r="L255" s="8" t="n"/>
      <c r="M255" s="8" t="n"/>
    </row>
    <row r="256" ht="12.75" customHeight="1">
      <c r="H256" s="7" t="n"/>
      <c r="I256" s="1" t="n"/>
      <c r="J256" s="8" t="n"/>
      <c r="K256" s="8" t="n"/>
      <c r="L256" s="8" t="n"/>
      <c r="M256" s="8" t="n"/>
    </row>
    <row r="257" ht="12.75" customHeight="1">
      <c r="H257" s="7" t="n"/>
      <c r="I257" s="1" t="n"/>
      <c r="J257" s="8" t="n"/>
      <c r="K257" s="8" t="n"/>
      <c r="L257" s="8" t="n"/>
      <c r="M257" s="8" t="n"/>
    </row>
    <row r="258" ht="12.75" customHeight="1">
      <c r="H258" s="7" t="n"/>
      <c r="I258" s="1" t="n"/>
      <c r="J258" s="8" t="n"/>
      <c r="K258" s="8" t="n"/>
      <c r="L258" s="8" t="n"/>
      <c r="M258" s="8" t="n"/>
    </row>
    <row r="259" ht="12.75" customHeight="1">
      <c r="H259" s="7" t="n"/>
      <c r="I259" s="1" t="n"/>
      <c r="J259" s="8" t="n"/>
      <c r="K259" s="8" t="n"/>
      <c r="L259" s="8" t="n"/>
      <c r="M259" s="8" t="n"/>
    </row>
    <row r="260" ht="12.75" customHeight="1">
      <c r="H260" s="7" t="n"/>
      <c r="I260" s="1" t="n"/>
      <c r="J260" s="8" t="n"/>
      <c r="K260" s="8" t="n"/>
      <c r="L260" s="8" t="n"/>
      <c r="M260" s="8" t="n"/>
    </row>
    <row r="261" ht="12.75" customHeight="1">
      <c r="H261" s="7" t="n"/>
      <c r="I261" s="1" t="n"/>
      <c r="J261" s="8" t="n"/>
      <c r="K261" s="8" t="n"/>
      <c r="L261" s="8" t="n"/>
      <c r="M261" s="8" t="n"/>
    </row>
    <row r="262" ht="12.75" customHeight="1">
      <c r="H262" s="7" t="n"/>
      <c r="I262" s="1" t="n"/>
      <c r="J262" s="8" t="n"/>
      <c r="K262" s="8" t="n"/>
      <c r="L262" s="8" t="n"/>
      <c r="M262" s="8" t="n"/>
    </row>
    <row r="263" ht="12.75" customHeight="1">
      <c r="H263" s="7" t="n"/>
      <c r="I263" s="1" t="n"/>
      <c r="J263" s="8" t="n"/>
      <c r="K263" s="8" t="n"/>
      <c r="L263" s="8" t="n"/>
      <c r="M263" s="8" t="n"/>
    </row>
    <row r="264" ht="12.75" customHeight="1">
      <c r="H264" s="7" t="n"/>
      <c r="I264" s="1" t="n"/>
      <c r="J264" s="8" t="n"/>
      <c r="K264" s="8" t="n"/>
      <c r="L264" s="8" t="n"/>
      <c r="M264" s="8" t="n"/>
    </row>
    <row r="265" ht="12.75" customHeight="1">
      <c r="H265" s="7" t="n"/>
      <c r="I265" s="1" t="n"/>
      <c r="J265" s="8" t="n"/>
      <c r="K265" s="8" t="n"/>
      <c r="L265" s="8" t="n"/>
      <c r="M265" s="8" t="n"/>
    </row>
    <row r="266" ht="12.75" customHeight="1">
      <c r="H266" s="7" t="n"/>
      <c r="I266" s="1" t="n"/>
      <c r="J266" s="8" t="n"/>
      <c r="K266" s="8" t="n"/>
      <c r="L266" s="8" t="n"/>
      <c r="M266" s="8" t="n"/>
    </row>
    <row r="267" ht="12.75" customHeight="1">
      <c r="H267" s="7" t="n"/>
      <c r="I267" s="1" t="n"/>
      <c r="J267" s="8" t="n"/>
      <c r="K267" s="8" t="n"/>
      <c r="L267" s="8" t="n"/>
      <c r="M267" s="8" t="n"/>
    </row>
    <row r="268" ht="12.75" customHeight="1">
      <c r="H268" s="7" t="n"/>
      <c r="I268" s="1" t="n"/>
      <c r="J268" s="8" t="n"/>
      <c r="K268" s="8" t="n"/>
      <c r="L268" s="8" t="n"/>
      <c r="M268" s="8" t="n"/>
    </row>
    <row r="269" ht="12.75" customHeight="1">
      <c r="H269" s="7" t="n"/>
      <c r="I269" s="1" t="n"/>
      <c r="J269" s="8" t="n"/>
      <c r="K269" s="8" t="n"/>
      <c r="L269" s="8" t="n"/>
      <c r="M269" s="8" t="n"/>
    </row>
    <row r="270" ht="12.75" customHeight="1">
      <c r="H270" s="7" t="n"/>
      <c r="I270" s="1" t="n"/>
      <c r="J270" s="8" t="n"/>
      <c r="K270" s="8" t="n"/>
      <c r="L270" s="8" t="n"/>
      <c r="M270" s="8" t="n"/>
    </row>
    <row r="271" ht="12.75" customHeight="1">
      <c r="H271" s="7" t="n"/>
      <c r="I271" s="1" t="n"/>
      <c r="J271" s="8" t="n"/>
      <c r="K271" s="8" t="n"/>
      <c r="L271" s="8" t="n"/>
      <c r="M271" s="8" t="n"/>
    </row>
    <row r="272" ht="12.75" customHeight="1">
      <c r="H272" s="7" t="n"/>
      <c r="I272" s="1" t="n"/>
      <c r="J272" s="8" t="n"/>
      <c r="K272" s="8" t="n"/>
      <c r="L272" s="8" t="n"/>
      <c r="M272" s="8" t="n"/>
    </row>
    <row r="273" ht="12.75" customHeight="1">
      <c r="H273" s="7" t="n"/>
      <c r="I273" s="1" t="n"/>
      <c r="J273" s="8" t="n"/>
      <c r="K273" s="8" t="n"/>
      <c r="L273" s="8" t="n"/>
      <c r="M273" s="8" t="n"/>
    </row>
    <row r="274" ht="12.75" customHeight="1">
      <c r="H274" s="7" t="n"/>
      <c r="I274" s="1" t="n"/>
      <c r="J274" s="8" t="n"/>
      <c r="K274" s="8" t="n"/>
      <c r="L274" s="8" t="n"/>
      <c r="M274" s="8" t="n"/>
    </row>
    <row r="275" ht="12.75" customHeight="1">
      <c r="H275" s="7" t="n"/>
      <c r="I275" s="1" t="n"/>
      <c r="J275" s="8" t="n"/>
      <c r="K275" s="8" t="n"/>
      <c r="L275" s="8" t="n"/>
      <c r="M275" s="8" t="n"/>
    </row>
    <row r="276" ht="12.75" customHeight="1">
      <c r="H276" s="7" t="n"/>
      <c r="I276" s="1" t="n"/>
      <c r="J276" s="8" t="n"/>
      <c r="K276" s="8" t="n"/>
      <c r="L276" s="8" t="n"/>
      <c r="M276" s="8" t="n"/>
    </row>
    <row r="277" ht="12.75" customHeight="1">
      <c r="H277" s="7" t="n"/>
      <c r="I277" s="1" t="n"/>
      <c r="J277" s="8" t="n"/>
      <c r="K277" s="8" t="n"/>
      <c r="L277" s="8" t="n"/>
      <c r="M277" s="8" t="n"/>
    </row>
    <row r="278" ht="12.75" customHeight="1">
      <c r="H278" s="7" t="n"/>
      <c r="I278" s="1" t="n"/>
      <c r="J278" s="8" t="n"/>
      <c r="K278" s="8" t="n"/>
      <c r="L278" s="8" t="n"/>
      <c r="M278" s="8" t="n"/>
    </row>
    <row r="279" ht="12.75" customHeight="1">
      <c r="H279" s="7" t="n"/>
      <c r="I279" s="1" t="n"/>
      <c r="J279" s="8" t="n"/>
      <c r="K279" s="8" t="n"/>
      <c r="L279" s="8" t="n"/>
      <c r="M279" s="8" t="n"/>
    </row>
    <row r="280" ht="12.75" customHeight="1">
      <c r="H280" s="7" t="n"/>
      <c r="I280" s="1" t="n"/>
      <c r="J280" s="8" t="n"/>
      <c r="K280" s="8" t="n"/>
      <c r="L280" s="8" t="n"/>
      <c r="M280" s="8" t="n"/>
    </row>
    <row r="281" ht="12.75" customHeight="1">
      <c r="H281" s="7" t="n"/>
      <c r="I281" s="1" t="n"/>
      <c r="J281" s="8" t="n"/>
      <c r="K281" s="8" t="n"/>
      <c r="L281" s="8" t="n"/>
      <c r="M281" s="8" t="n"/>
    </row>
    <row r="282" ht="12.75" customHeight="1">
      <c r="H282" s="7" t="n"/>
      <c r="I282" s="1" t="n"/>
      <c r="J282" s="8" t="n"/>
      <c r="K282" s="8" t="n"/>
      <c r="L282" s="8" t="n"/>
      <c r="M282" s="8" t="n"/>
    </row>
    <row r="283" ht="12.75" customHeight="1">
      <c r="H283" s="6" t="n"/>
      <c r="I283" s="7" t="n"/>
      <c r="J283" s="1" t="n"/>
      <c r="K283" s="8" t="n"/>
      <c r="L283" s="8" t="n"/>
      <c r="M283" s="8" t="n"/>
    </row>
    <row r="284" ht="12.75" customHeight="1">
      <c r="H284" s="6" t="n"/>
      <c r="I284" s="7" t="n"/>
      <c r="J284" s="1" t="n"/>
      <c r="K284" s="8" t="n"/>
      <c r="L284" s="8" t="n"/>
      <c r="M284" s="8" t="n"/>
    </row>
    <row r="285" ht="12.75" customHeight="1">
      <c r="H285" s="6" t="n"/>
      <c r="I285" s="7" t="n"/>
      <c r="J285" s="1" t="n"/>
      <c r="K285" s="8" t="n"/>
      <c r="L285" s="8" t="n"/>
      <c r="M285" s="8" t="n"/>
    </row>
    <row r="286" ht="12.75" customHeight="1">
      <c r="H286" s="6" t="n"/>
      <c r="I286" s="7" t="n"/>
      <c r="J286" s="1" t="n"/>
      <c r="K286" s="8" t="n"/>
      <c r="L286" s="8" t="n"/>
      <c r="M286" s="8" t="n"/>
    </row>
    <row r="287" ht="12.75" customHeight="1">
      <c r="H287" s="6" t="n"/>
      <c r="I287" s="7" t="n"/>
      <c r="J287" s="1" t="n"/>
      <c r="K287" s="8" t="n"/>
      <c r="L287" s="8" t="n"/>
      <c r="M287" s="8" t="n"/>
    </row>
    <row r="288" ht="12.75" customHeight="1">
      <c r="H288" s="6" t="n"/>
      <c r="I288" s="7" t="n"/>
      <c r="J288" s="1" t="n"/>
      <c r="K288" s="8" t="n"/>
      <c r="L288" s="8" t="n"/>
      <c r="M288" s="8" t="n"/>
    </row>
    <row r="289" ht="12.75" customHeight="1">
      <c r="H289" s="6" t="n"/>
      <c r="I289" s="7" t="n"/>
      <c r="J289" s="1" t="n"/>
      <c r="K289" s="8" t="n"/>
      <c r="L289" s="8" t="n"/>
      <c r="M289" s="8" t="n"/>
    </row>
    <row r="290" ht="12.75" customHeight="1">
      <c r="H290" s="6" t="n"/>
      <c r="I290" s="7" t="n"/>
      <c r="J290" s="1" t="n"/>
      <c r="K290" s="8" t="n"/>
      <c r="L290" s="8" t="n"/>
      <c r="M290" s="8" t="n"/>
    </row>
    <row r="291" ht="12.75" customHeight="1">
      <c r="H291" s="6" t="n"/>
      <c r="I291" s="7" t="n"/>
      <c r="J291" s="1" t="n"/>
      <c r="K291" s="8" t="n"/>
      <c r="L291" s="8" t="n"/>
      <c r="M291" s="8" t="n"/>
    </row>
    <row r="292" ht="12.75" customHeight="1">
      <c r="H292" s="6" t="n"/>
      <c r="I292" s="7" t="n"/>
      <c r="J292" s="1" t="n"/>
      <c r="K292" s="8" t="n"/>
      <c r="L292" s="8" t="n"/>
      <c r="M292" s="8" t="n"/>
    </row>
    <row r="293" ht="12.75" customHeight="1">
      <c r="H293" s="6" t="n"/>
      <c r="I293" s="7" t="n"/>
      <c r="J293" s="1" t="n"/>
      <c r="K293" s="8" t="n"/>
      <c r="L293" s="8" t="n"/>
      <c r="M293" s="8" t="n"/>
    </row>
    <row r="294" ht="12.75" customHeight="1">
      <c r="H294" s="6" t="n"/>
      <c r="I294" s="7" t="n"/>
      <c r="J294" s="1" t="n"/>
      <c r="K294" s="8" t="n"/>
      <c r="L294" s="8" t="n"/>
      <c r="M294" s="8" t="n"/>
    </row>
    <row r="295" ht="12.75" customHeight="1">
      <c r="H295" s="6" t="n"/>
      <c r="I295" s="7" t="n"/>
      <c r="J295" s="1" t="n"/>
      <c r="K295" s="8" t="n"/>
      <c r="L295" s="8" t="n"/>
      <c r="M295" s="8" t="n"/>
    </row>
    <row r="296" ht="12.75" customHeight="1">
      <c r="H296" s="6" t="n"/>
      <c r="I296" s="7" t="n"/>
      <c r="J296" s="1" t="n"/>
      <c r="K296" s="8" t="n"/>
      <c r="L296" s="8" t="n"/>
      <c r="M296" s="8" t="n"/>
    </row>
    <row r="297" ht="12.75" customHeight="1">
      <c r="H297" s="6" t="n"/>
      <c r="I297" s="7" t="n"/>
      <c r="J297" s="1" t="n"/>
      <c r="K297" s="8" t="n"/>
      <c r="L297" s="8" t="n"/>
      <c r="M297" s="8" t="n"/>
    </row>
    <row r="298" ht="12.75" customHeight="1">
      <c r="H298" s="6" t="n"/>
      <c r="I298" s="7" t="n"/>
      <c r="J298" s="1" t="n"/>
      <c r="K298" s="8" t="n"/>
      <c r="L298" s="8" t="n"/>
      <c r="M298" s="8" t="n"/>
    </row>
    <row r="299" ht="12.75" customHeight="1">
      <c r="H299" s="6" t="n"/>
      <c r="I299" s="7" t="n"/>
      <c r="J299" s="1" t="n"/>
      <c r="K299" s="8" t="n"/>
      <c r="L299" s="8" t="n"/>
      <c r="M299" s="8" t="n"/>
    </row>
    <row r="300" ht="12.75" customHeight="1">
      <c r="H300" s="6" t="n"/>
      <c r="I300" s="7" t="n"/>
      <c r="J300" s="1" t="n"/>
      <c r="K300" s="8" t="n"/>
      <c r="L300" s="8" t="n"/>
      <c r="M300" s="8" t="n"/>
    </row>
    <row r="301" ht="12.75" customHeight="1">
      <c r="H301" s="6" t="n"/>
      <c r="I301" s="7" t="n"/>
      <c r="J301" s="1" t="n"/>
      <c r="K301" s="8" t="n"/>
      <c r="L301" s="8" t="n"/>
      <c r="M301" s="8" t="n"/>
    </row>
    <row r="302" ht="12.75" customHeight="1">
      <c r="H302" s="6" t="n"/>
      <c r="I302" s="7" t="n"/>
      <c r="J302" s="1" t="n"/>
      <c r="K302" s="8" t="n"/>
      <c r="L302" s="8" t="n"/>
      <c r="M302" s="8" t="n"/>
    </row>
    <row r="303" ht="12.75" customHeight="1">
      <c r="H303" s="6" t="n"/>
      <c r="I303" s="7" t="n"/>
      <c r="J303" s="1" t="n"/>
      <c r="K303" s="8" t="n"/>
      <c r="L303" s="8" t="n"/>
      <c r="M303" s="8" t="n"/>
    </row>
    <row r="304" ht="12.75" customHeight="1">
      <c r="H304" s="6" t="n"/>
      <c r="I304" s="7" t="n"/>
      <c r="J304" s="1" t="n"/>
      <c r="K304" s="8" t="n"/>
      <c r="L304" s="8" t="n"/>
      <c r="M304" s="8" t="n"/>
    </row>
    <row r="305" ht="12.75" customHeight="1">
      <c r="H305" s="6" t="n"/>
      <c r="I305" s="7" t="n"/>
      <c r="J305" s="1" t="n"/>
      <c r="K305" s="8" t="n"/>
      <c r="L305" s="8" t="n"/>
      <c r="M305" s="8" t="n"/>
    </row>
    <row r="306" ht="12.75" customHeight="1">
      <c r="H306" s="6" t="n"/>
      <c r="I306" s="7" t="n"/>
      <c r="J306" s="1" t="n"/>
      <c r="K306" s="8" t="n"/>
      <c r="L306" s="8" t="n"/>
      <c r="M306" s="8" t="n"/>
    </row>
    <row r="307" ht="12.75" customHeight="1">
      <c r="H307" s="6" t="n"/>
      <c r="I307" s="7" t="n"/>
      <c r="J307" s="1" t="n"/>
      <c r="K307" s="8" t="n"/>
      <c r="L307" s="8" t="n"/>
      <c r="M307" s="8" t="n"/>
    </row>
    <row r="308" ht="12.75" customHeight="1">
      <c r="H308" s="6" t="n"/>
      <c r="I308" s="7" t="n"/>
      <c r="J308" s="1" t="n"/>
      <c r="K308" s="8" t="n"/>
      <c r="L308" s="8" t="n"/>
      <c r="M308" s="8" t="n"/>
    </row>
    <row r="309" ht="12.75" customHeight="1">
      <c r="H309" s="6" t="n"/>
      <c r="I309" s="7" t="n"/>
      <c r="J309" s="1" t="n"/>
      <c r="K309" s="8" t="n"/>
      <c r="L309" s="8" t="n"/>
      <c r="M309" s="8" t="n"/>
    </row>
    <row r="310" ht="12.75" customHeight="1">
      <c r="H310" s="6" t="n"/>
      <c r="I310" s="7" t="n"/>
      <c r="J310" s="1" t="n"/>
      <c r="K310" s="8" t="n"/>
      <c r="L310" s="8" t="n"/>
      <c r="M310" s="8" t="n"/>
    </row>
    <row r="311" ht="12.75" customHeight="1">
      <c r="H311" s="6" t="n"/>
      <c r="I311" s="7" t="n"/>
      <c r="J311" s="1" t="n"/>
      <c r="K311" s="8" t="n"/>
      <c r="L311" s="8" t="n"/>
      <c r="M311" s="8" t="n"/>
    </row>
    <row r="312" ht="12.75" customHeight="1">
      <c r="H312" s="6" t="n"/>
      <c r="I312" s="7" t="n"/>
      <c r="J312" s="1" t="n"/>
      <c r="K312" s="8" t="n"/>
      <c r="L312" s="8" t="n"/>
      <c r="M312" s="8" t="n"/>
    </row>
    <row r="313" ht="12.75" customHeight="1">
      <c r="H313" s="6" t="n"/>
      <c r="I313" s="7" t="n"/>
      <c r="J313" s="1" t="n"/>
      <c r="K313" s="8" t="n"/>
      <c r="L313" s="8" t="n"/>
      <c r="M313" s="8" t="n"/>
    </row>
    <row r="314" ht="12.75" customHeight="1">
      <c r="H314" s="6" t="n"/>
      <c r="I314" s="7" t="n"/>
      <c r="J314" s="1" t="n"/>
      <c r="K314" s="8" t="n"/>
      <c r="L314" s="8" t="n"/>
      <c r="M314" s="8" t="n"/>
    </row>
    <row r="315" ht="12.75" customHeight="1">
      <c r="H315" s="6" t="n"/>
      <c r="I315" s="7" t="n"/>
      <c r="J315" s="1" t="n"/>
      <c r="K315" s="8" t="n"/>
      <c r="L315" s="8" t="n"/>
      <c r="M315" s="8" t="n"/>
    </row>
    <row r="316" ht="12.75" customHeight="1">
      <c r="H316" s="6" t="n"/>
      <c r="I316" s="7" t="n"/>
      <c r="J316" s="1" t="n"/>
      <c r="K316" s="8" t="n"/>
      <c r="L316" s="8" t="n"/>
      <c r="M316" s="8" t="n"/>
    </row>
    <row r="317" ht="12.75" customHeight="1">
      <c r="H317" s="6" t="n"/>
      <c r="I317" s="7" t="n"/>
      <c r="J317" s="1" t="n"/>
      <c r="K317" s="8" t="n"/>
      <c r="L317" s="8" t="n"/>
      <c r="M317" s="8" t="n"/>
    </row>
    <row r="318" ht="12.75" customHeight="1">
      <c r="H318" s="6" t="n"/>
      <c r="I318" s="7" t="n"/>
      <c r="J318" s="1" t="n"/>
      <c r="K318" s="8" t="n"/>
      <c r="L318" s="8" t="n"/>
      <c r="M318" s="8" t="n"/>
    </row>
    <row r="319" ht="12.75" customHeight="1">
      <c r="H319" s="6" t="n"/>
      <c r="I319" s="7" t="n"/>
      <c r="J319" s="1" t="n"/>
      <c r="K319" s="8" t="n"/>
      <c r="L319" s="8" t="n"/>
      <c r="M319" s="8" t="n"/>
    </row>
    <row r="320" ht="12.75" customHeight="1">
      <c r="H320" s="6" t="n"/>
      <c r="I320" s="7" t="n"/>
      <c r="J320" s="1" t="n"/>
      <c r="K320" s="8" t="n"/>
      <c r="L320" s="8" t="n"/>
      <c r="M320" s="8" t="n"/>
    </row>
    <row r="321" ht="12.75" customHeight="1">
      <c r="H321" s="6" t="n"/>
      <c r="I321" s="7" t="n"/>
      <c r="J321" s="1" t="n"/>
      <c r="K321" s="8" t="n"/>
      <c r="L321" s="8" t="n"/>
      <c r="M321" s="8" t="n"/>
    </row>
    <row r="322" ht="12.75" customHeight="1">
      <c r="H322" s="6" t="n"/>
      <c r="I322" s="7" t="n"/>
      <c r="J322" s="1" t="n"/>
      <c r="K322" s="8" t="n"/>
      <c r="L322" s="8" t="n"/>
      <c r="M322" s="8" t="n"/>
    </row>
    <row r="323" ht="12.75" customHeight="1">
      <c r="H323" s="6" t="n"/>
      <c r="I323" s="7" t="n"/>
      <c r="J323" s="1" t="n"/>
      <c r="K323" s="8" t="n"/>
      <c r="L323" s="8" t="n"/>
      <c r="M323" s="8" t="n"/>
    </row>
    <row r="324" ht="12.75" customHeight="1">
      <c r="H324" s="6" t="n"/>
      <c r="I324" s="7" t="n"/>
      <c r="J324" s="1" t="n"/>
      <c r="K324" s="8" t="n"/>
      <c r="L324" s="8" t="n"/>
      <c r="M324" s="8" t="n"/>
    </row>
    <row r="325" ht="12.75" customHeight="1">
      <c r="H325" s="6" t="n"/>
      <c r="I325" s="7" t="n"/>
      <c r="J325" s="1" t="n"/>
      <c r="K325" s="8" t="n"/>
      <c r="L325" s="8" t="n"/>
      <c r="M325" s="8" t="n"/>
    </row>
    <row r="326" ht="12.75" customHeight="1">
      <c r="H326" s="6" t="n"/>
      <c r="I326" s="7" t="n"/>
      <c r="J326" s="1" t="n"/>
      <c r="K326" s="8" t="n"/>
      <c r="L326" s="8" t="n"/>
      <c r="M326" s="8" t="n"/>
    </row>
    <row r="327" ht="12.75" customHeight="1">
      <c r="H327" s="6" t="n"/>
      <c r="I327" s="7" t="n"/>
      <c r="J327" s="1" t="n"/>
      <c r="K327" s="8" t="n"/>
      <c r="L327" s="8" t="n"/>
      <c r="M327" s="8" t="n"/>
    </row>
    <row r="328" ht="12.75" customHeight="1">
      <c r="H328" s="6" t="n"/>
      <c r="I328" s="7" t="n"/>
      <c r="J328" s="1" t="n"/>
      <c r="K328" s="8" t="n"/>
      <c r="L328" s="8" t="n"/>
      <c r="M328" s="8" t="n"/>
    </row>
    <row r="329" ht="12.75" customHeight="1">
      <c r="H329" s="6" t="n"/>
      <c r="I329" s="7" t="n"/>
      <c r="J329" s="1" t="n"/>
      <c r="K329" s="8" t="n"/>
      <c r="L329" s="8" t="n"/>
      <c r="M329" s="8" t="n"/>
    </row>
    <row r="330" ht="12.75" customHeight="1">
      <c r="H330" s="6" t="n"/>
      <c r="I330" s="7" t="n"/>
      <c r="J330" s="1" t="n"/>
      <c r="K330" s="8" t="n"/>
      <c r="L330" s="8" t="n"/>
      <c r="M330" s="8" t="n"/>
    </row>
    <row r="331" ht="12.75" customHeight="1">
      <c r="H331" s="6" t="n"/>
      <c r="I331" s="7" t="n"/>
      <c r="J331" s="1" t="n"/>
      <c r="K331" s="8" t="n"/>
      <c r="L331" s="8" t="n"/>
      <c r="M331" s="8" t="n"/>
    </row>
    <row r="332" ht="12.75" customHeight="1">
      <c r="H332" s="6" t="n"/>
      <c r="I332" s="7" t="n"/>
      <c r="J332" s="1" t="n"/>
      <c r="K332" s="8" t="n"/>
      <c r="L332" s="8" t="n"/>
      <c r="M332" s="8" t="n"/>
    </row>
    <row r="333" ht="12.75" customHeight="1">
      <c r="H333" s="6" t="n"/>
      <c r="I333" s="7" t="n"/>
      <c r="J333" s="1" t="n"/>
      <c r="K333" s="8" t="n"/>
      <c r="L333" s="8" t="n"/>
      <c r="M333" s="8" t="n"/>
    </row>
    <row r="334" ht="12.75" customHeight="1">
      <c r="H334" s="6" t="n"/>
      <c r="I334" s="7" t="n"/>
      <c r="J334" s="1" t="n"/>
      <c r="K334" s="8" t="n"/>
      <c r="L334" s="8" t="n"/>
      <c r="M334" s="8" t="n"/>
    </row>
    <row r="335" ht="12.75" customHeight="1">
      <c r="H335" s="6" t="n"/>
      <c r="I335" s="7" t="n"/>
      <c r="J335" s="1" t="n"/>
      <c r="K335" s="8" t="n"/>
      <c r="L335" s="8" t="n"/>
      <c r="M335" s="8" t="n"/>
    </row>
    <row r="336" ht="12.75" customHeight="1">
      <c r="H336" s="6" t="n"/>
      <c r="I336" s="7" t="n"/>
      <c r="J336" s="1" t="n"/>
      <c r="K336" s="8" t="n"/>
      <c r="L336" s="8" t="n"/>
      <c r="M336" s="8" t="n"/>
    </row>
    <row r="337" ht="12.75" customHeight="1">
      <c r="H337" s="6" t="n"/>
      <c r="I337" s="7" t="n"/>
      <c r="J337" s="1" t="n"/>
      <c r="K337" s="8" t="n"/>
      <c r="L337" s="8" t="n"/>
      <c r="M337" s="8" t="n"/>
    </row>
    <row r="338" ht="12.75" customHeight="1">
      <c r="H338" s="6" t="n"/>
      <c r="I338" s="7" t="n"/>
      <c r="J338" s="1" t="n"/>
      <c r="K338" s="8" t="n"/>
      <c r="L338" s="8" t="n"/>
      <c r="M338" s="8" t="n"/>
    </row>
    <row r="339" ht="12.75" customHeight="1">
      <c r="H339" s="6" t="n"/>
      <c r="I339" s="7" t="n"/>
      <c r="J339" s="1" t="n"/>
      <c r="K339" s="8" t="n"/>
      <c r="L339" s="8" t="n"/>
      <c r="M339" s="8" t="n"/>
    </row>
    <row r="340" ht="12.75" customHeight="1">
      <c r="H340" s="6" t="n"/>
      <c r="I340" s="7" t="n"/>
      <c r="J340" s="1" t="n"/>
      <c r="K340" s="8" t="n"/>
      <c r="L340" s="8" t="n"/>
      <c r="M340" s="8" t="n"/>
    </row>
    <row r="341" ht="12.75" customHeight="1">
      <c r="H341" s="6" t="n"/>
      <c r="I341" s="7" t="n"/>
      <c r="J341" s="1" t="n"/>
      <c r="K341" s="8" t="n"/>
      <c r="L341" s="8" t="n"/>
      <c r="M341" s="8" t="n"/>
    </row>
    <row r="342" ht="12.75" customHeight="1">
      <c r="H342" s="6" t="n"/>
      <c r="I342" s="7" t="n"/>
      <c r="J342" s="1" t="n"/>
      <c r="K342" s="8" t="n"/>
      <c r="L342" s="8" t="n"/>
      <c r="M342" s="8" t="n"/>
    </row>
    <row r="343" ht="12.75" customHeight="1">
      <c r="H343" s="6" t="n"/>
      <c r="I343" s="7" t="n"/>
      <c r="J343" s="1" t="n"/>
      <c r="K343" s="8" t="n"/>
      <c r="L343" s="8" t="n"/>
      <c r="M343" s="8" t="n"/>
    </row>
    <row r="344" ht="12.75" customHeight="1">
      <c r="H344" s="6" t="n"/>
      <c r="I344" s="7" t="n"/>
      <c r="J344" s="1" t="n"/>
      <c r="K344" s="8" t="n"/>
      <c r="L344" s="8" t="n"/>
      <c r="M344" s="8" t="n"/>
    </row>
    <row r="345" ht="12.75" customHeight="1">
      <c r="H345" s="6" t="n"/>
      <c r="I345" s="7" t="n"/>
      <c r="J345" s="1" t="n"/>
      <c r="K345" s="8" t="n"/>
      <c r="L345" s="8" t="n"/>
      <c r="M345" s="8" t="n"/>
    </row>
    <row r="346" ht="12.75" customHeight="1">
      <c r="H346" s="6" t="n"/>
      <c r="I346" s="7" t="n"/>
      <c r="J346" s="1" t="n"/>
      <c r="K346" s="8" t="n"/>
      <c r="L346" s="8" t="n"/>
      <c r="M346" s="8" t="n"/>
    </row>
    <row r="347" ht="12.75" customHeight="1">
      <c r="H347" s="6" t="n"/>
      <c r="I347" s="7" t="n"/>
      <c r="J347" s="1" t="n"/>
      <c r="K347" s="8" t="n"/>
      <c r="L347" s="8" t="n"/>
      <c r="M347" s="8" t="n"/>
    </row>
    <row r="348" ht="12.75" customHeight="1">
      <c r="H348" s="6" t="n"/>
      <c r="I348" s="7" t="n"/>
      <c r="J348" s="1" t="n"/>
      <c r="K348" s="8" t="n"/>
      <c r="L348" s="8" t="n"/>
      <c r="M348" s="8" t="n"/>
    </row>
    <row r="349" ht="12.75" customHeight="1">
      <c r="H349" s="6" t="n"/>
      <c r="I349" s="7" t="n"/>
      <c r="J349" s="1" t="n"/>
      <c r="K349" s="8" t="n"/>
      <c r="L349" s="8" t="n"/>
      <c r="M349" s="8" t="n"/>
    </row>
    <row r="350" ht="12.75" customHeight="1">
      <c r="H350" s="6" t="n"/>
      <c r="I350" s="7" t="n"/>
      <c r="J350" s="1" t="n"/>
      <c r="K350" s="8" t="n"/>
      <c r="L350" s="8" t="n"/>
      <c r="M350" s="8" t="n"/>
    </row>
    <row r="351" ht="12.75" customHeight="1">
      <c r="H351" s="6" t="n"/>
      <c r="I351" s="7" t="n"/>
      <c r="J351" s="1" t="n"/>
      <c r="K351" s="8" t="n"/>
      <c r="L351" s="8" t="n"/>
      <c r="M351" s="8" t="n"/>
    </row>
    <row r="352" ht="12.75" customHeight="1">
      <c r="H352" s="6" t="n"/>
      <c r="I352" s="7" t="n"/>
      <c r="J352" s="1" t="n"/>
      <c r="K352" s="8" t="n"/>
      <c r="L352" s="8" t="n"/>
      <c r="M352" s="8" t="n"/>
    </row>
    <row r="353" ht="12.75" customHeight="1">
      <c r="H353" s="6" t="n"/>
      <c r="I353" s="7" t="n"/>
      <c r="J353" s="1" t="n"/>
      <c r="K353" s="8" t="n"/>
      <c r="L353" s="8" t="n"/>
      <c r="M353" s="8" t="n"/>
    </row>
    <row r="354" ht="12.75" customHeight="1">
      <c r="H354" s="6" t="n"/>
      <c r="I354" s="7" t="n"/>
      <c r="J354" s="1" t="n"/>
      <c r="K354" s="8" t="n"/>
      <c r="L354" s="8" t="n"/>
      <c r="M354" s="8" t="n"/>
    </row>
    <row r="355" ht="12.75" customHeight="1">
      <c r="H355" s="6" t="n"/>
      <c r="I355" s="7" t="n"/>
      <c r="J355" s="1" t="n"/>
      <c r="K355" s="8" t="n"/>
      <c r="L355" s="8" t="n"/>
      <c r="M355" s="8" t="n"/>
    </row>
    <row r="356" ht="12.75" customHeight="1">
      <c r="H356" s="6" t="n"/>
      <c r="I356" s="7" t="n"/>
      <c r="J356" s="1" t="n"/>
      <c r="K356" s="8" t="n"/>
      <c r="L356" s="8" t="n"/>
      <c r="M356" s="8" t="n"/>
    </row>
    <row r="357" ht="12.75" customHeight="1">
      <c r="H357" s="6" t="n"/>
      <c r="I357" s="7" t="n"/>
      <c r="J357" s="1" t="n"/>
      <c r="K357" s="8" t="n"/>
      <c r="L357" s="8" t="n"/>
      <c r="M357" s="8" t="n"/>
    </row>
    <row r="358" ht="12.75" customHeight="1">
      <c r="H358" s="6" t="n"/>
      <c r="I358" s="7" t="n"/>
      <c r="J358" s="1" t="n"/>
      <c r="K358" s="8" t="n"/>
      <c r="L358" s="8" t="n"/>
      <c r="M358" s="8" t="n"/>
    </row>
    <row r="359" ht="12.75" customHeight="1">
      <c r="H359" s="6" t="n"/>
      <c r="I359" s="7" t="n"/>
      <c r="J359" s="1" t="n"/>
      <c r="K359" s="8" t="n"/>
      <c r="L359" s="8" t="n"/>
      <c r="M359" s="8" t="n"/>
    </row>
    <row r="360" ht="12.75" customHeight="1">
      <c r="H360" s="6" t="n"/>
      <c r="I360" s="7" t="n"/>
      <c r="J360" s="1" t="n"/>
      <c r="K360" s="8" t="n"/>
      <c r="L360" s="8" t="n"/>
      <c r="M360" s="8" t="n"/>
    </row>
    <row r="361" ht="12.75" customHeight="1">
      <c r="H361" s="6" t="n"/>
      <c r="I361" s="7" t="n"/>
      <c r="J361" s="1" t="n"/>
      <c r="K361" s="8" t="n"/>
      <c r="L361" s="8" t="n"/>
      <c r="M361" s="8" t="n"/>
    </row>
    <row r="362" ht="12.75" customHeight="1">
      <c r="H362" s="6" t="n"/>
      <c r="I362" s="7" t="n"/>
      <c r="J362" s="1" t="n"/>
      <c r="K362" s="8" t="n"/>
      <c r="L362" s="8" t="n"/>
      <c r="M362" s="8" t="n"/>
    </row>
    <row r="363" ht="12.75" customHeight="1">
      <c r="H363" s="6" t="n"/>
      <c r="I363" s="7" t="n"/>
      <c r="J363" s="1" t="n"/>
      <c r="K363" s="8" t="n"/>
      <c r="L363" s="8" t="n"/>
      <c r="M363" s="8" t="n"/>
    </row>
    <row r="364" ht="12.75" customHeight="1">
      <c r="H364" s="6" t="n"/>
      <c r="I364" s="7" t="n"/>
      <c r="J364" s="1" t="n"/>
      <c r="K364" s="8" t="n"/>
      <c r="L364" s="8" t="n"/>
      <c r="M364" s="8" t="n"/>
    </row>
    <row r="365" ht="12.75" customHeight="1">
      <c r="H365" s="6" t="n"/>
      <c r="I365" s="7" t="n"/>
      <c r="J365" s="1" t="n"/>
      <c r="K365" s="8" t="n"/>
      <c r="L365" s="8" t="n"/>
      <c r="M365" s="8" t="n"/>
    </row>
    <row r="366" ht="12.75" customHeight="1">
      <c r="H366" s="6" t="n"/>
      <c r="I366" s="7" t="n"/>
      <c r="J366" s="1" t="n"/>
      <c r="K366" s="8" t="n"/>
      <c r="L366" s="8" t="n"/>
      <c r="M366" s="8" t="n"/>
    </row>
    <row r="367" ht="12.75" customHeight="1">
      <c r="H367" s="6" t="n"/>
      <c r="I367" s="7" t="n"/>
      <c r="J367" s="1" t="n"/>
      <c r="K367" s="8" t="n"/>
      <c r="L367" s="8" t="n"/>
      <c r="M367" s="8" t="n"/>
    </row>
    <row r="368" ht="12.75" customHeight="1">
      <c r="H368" s="6" t="n"/>
      <c r="I368" s="7" t="n"/>
      <c r="J368" s="1" t="n"/>
      <c r="K368" s="8" t="n"/>
      <c r="L368" s="8" t="n"/>
      <c r="M368" s="8" t="n"/>
    </row>
    <row r="369" ht="12.75" customHeight="1">
      <c r="H369" s="6" t="n"/>
      <c r="I369" s="7" t="n"/>
      <c r="J369" s="1" t="n"/>
      <c r="K369" s="8" t="n"/>
      <c r="L369" s="8" t="n"/>
      <c r="M369" s="8" t="n"/>
    </row>
    <row r="370" ht="12.75" customHeight="1">
      <c r="H370" s="6" t="n"/>
      <c r="I370" s="7" t="n"/>
      <c r="J370" s="1" t="n"/>
      <c r="K370" s="8" t="n"/>
      <c r="L370" s="8" t="n"/>
      <c r="M370" s="8" t="n"/>
    </row>
    <row r="371" ht="12.75" customHeight="1">
      <c r="H371" s="6" t="n"/>
      <c r="I371" s="7" t="n"/>
      <c r="J371" s="1" t="n"/>
      <c r="K371" s="8" t="n"/>
      <c r="L371" s="8" t="n"/>
      <c r="M371" s="8" t="n"/>
    </row>
    <row r="372" ht="12.75" customHeight="1">
      <c r="H372" s="6" t="n"/>
      <c r="I372" s="7" t="n"/>
      <c r="J372" s="1" t="n"/>
      <c r="K372" s="8" t="n"/>
      <c r="L372" s="8" t="n"/>
      <c r="M372" s="8" t="n"/>
    </row>
    <row r="373" ht="12.75" customHeight="1">
      <c r="H373" s="6" t="n"/>
      <c r="I373" s="7" t="n"/>
      <c r="J373" s="1" t="n"/>
      <c r="K373" s="8" t="n"/>
      <c r="L373" s="8" t="n"/>
      <c r="M373" s="8" t="n"/>
    </row>
    <row r="374" ht="12.75" customHeight="1">
      <c r="H374" s="6" t="n"/>
      <c r="I374" s="7" t="n"/>
      <c r="J374" s="1" t="n"/>
      <c r="K374" s="8" t="n"/>
      <c r="L374" s="8" t="n"/>
      <c r="M374" s="8" t="n"/>
    </row>
    <row r="375" ht="12.75" customHeight="1">
      <c r="H375" s="6" t="n"/>
      <c r="I375" s="7" t="n"/>
      <c r="J375" s="1" t="n"/>
      <c r="K375" s="8" t="n"/>
      <c r="L375" s="8" t="n"/>
      <c r="M375" s="8" t="n"/>
    </row>
    <row r="376" ht="12.75" customHeight="1">
      <c r="H376" s="6" t="n"/>
      <c r="I376" s="7" t="n"/>
      <c r="J376" s="1" t="n"/>
      <c r="K376" s="8" t="n"/>
      <c r="L376" s="8" t="n"/>
      <c r="M376" s="8" t="n"/>
    </row>
    <row r="377" ht="12.75" customHeight="1">
      <c r="H377" s="6" t="n"/>
      <c r="I377" s="7" t="n"/>
      <c r="J377" s="1" t="n"/>
      <c r="K377" s="8" t="n"/>
      <c r="L377" s="8" t="n"/>
      <c r="M377" s="8" t="n"/>
    </row>
    <row r="378" ht="12.75" customHeight="1">
      <c r="H378" s="6" t="n"/>
      <c r="I378" s="7" t="n"/>
      <c r="J378" s="1" t="n"/>
      <c r="K378" s="8" t="n"/>
      <c r="L378" s="8" t="n"/>
      <c r="M378" s="8" t="n"/>
    </row>
    <row r="379" ht="12.75" customHeight="1">
      <c r="H379" s="6" t="n"/>
      <c r="I379" s="7" t="n"/>
      <c r="J379" s="1" t="n"/>
      <c r="K379" s="8" t="n"/>
      <c r="L379" s="8" t="n"/>
      <c r="M379" s="8" t="n"/>
    </row>
    <row r="380" ht="12.75" customHeight="1">
      <c r="H380" s="6" t="n"/>
      <c r="I380" s="7" t="n"/>
      <c r="J380" s="1" t="n"/>
      <c r="K380" s="8" t="n"/>
      <c r="L380" s="8" t="n"/>
      <c r="M380" s="8" t="n"/>
    </row>
    <row r="381" ht="12.75" customHeight="1">
      <c r="H381" s="6" t="n"/>
      <c r="I381" s="7" t="n"/>
      <c r="J381" s="1" t="n"/>
      <c r="K381" s="8" t="n"/>
      <c r="L381" s="8" t="n"/>
      <c r="M381" s="8" t="n"/>
    </row>
    <row r="382" ht="12.75" customHeight="1">
      <c r="H382" s="6" t="n"/>
      <c r="I382" s="7" t="n"/>
      <c r="J382" s="1" t="n"/>
      <c r="K382" s="8" t="n"/>
      <c r="L382" s="8" t="n"/>
      <c r="M382" s="8" t="n"/>
    </row>
    <row r="383" ht="12.75" customHeight="1">
      <c r="H383" s="6" t="n"/>
      <c r="I383" s="7" t="n"/>
      <c r="J383" s="1" t="n"/>
      <c r="K383" s="8" t="n"/>
      <c r="L383" s="8" t="n"/>
      <c r="M383" s="8" t="n"/>
    </row>
    <row r="384" ht="12.75" customHeight="1">
      <c r="H384" s="6" t="n"/>
      <c r="I384" s="7" t="n"/>
      <c r="J384" s="1" t="n"/>
      <c r="K384" s="8" t="n"/>
      <c r="L384" s="8" t="n"/>
      <c r="M384" s="8" t="n"/>
    </row>
    <row r="385" ht="12.75" customHeight="1">
      <c r="H385" s="6" t="n"/>
      <c r="I385" s="7" t="n"/>
      <c r="J385" s="1" t="n"/>
      <c r="K385" s="8" t="n"/>
      <c r="L385" s="8" t="n"/>
      <c r="M385" s="8" t="n"/>
    </row>
    <row r="386" ht="12.75" customHeight="1">
      <c r="H386" s="6" t="n"/>
      <c r="I386" s="7" t="n"/>
      <c r="J386" s="1" t="n"/>
      <c r="K386" s="8" t="n"/>
      <c r="L386" s="8" t="n"/>
      <c r="M386" s="8" t="n"/>
    </row>
    <row r="387" ht="12.75" customHeight="1">
      <c r="H387" s="6" t="n"/>
      <c r="I387" s="7" t="n"/>
      <c r="J387" s="1" t="n"/>
      <c r="K387" s="8" t="n"/>
      <c r="L387" s="8" t="n"/>
      <c r="M387" s="8" t="n"/>
    </row>
    <row r="388" ht="12.75" customHeight="1">
      <c r="H388" s="6" t="n"/>
      <c r="I388" s="7" t="n"/>
      <c r="J388" s="1" t="n"/>
      <c r="K388" s="8" t="n"/>
      <c r="L388" s="8" t="n"/>
      <c r="M388" s="8" t="n"/>
    </row>
    <row r="389" ht="12.75" customHeight="1">
      <c r="H389" s="6" t="n"/>
      <c r="I389" s="7" t="n"/>
      <c r="J389" s="1" t="n"/>
      <c r="K389" s="8" t="n"/>
      <c r="L389" s="8" t="n"/>
      <c r="M389" s="8" t="n"/>
    </row>
    <row r="390" ht="12.75" customHeight="1">
      <c r="H390" s="6" t="n"/>
      <c r="I390" s="7" t="n"/>
      <c r="J390" s="1" t="n"/>
      <c r="K390" s="8" t="n"/>
      <c r="L390" s="8" t="n"/>
      <c r="M390" s="8" t="n"/>
    </row>
    <row r="391" ht="12.75" customHeight="1">
      <c r="H391" s="6" t="n"/>
      <c r="I391" s="7" t="n"/>
      <c r="J391" s="1" t="n"/>
      <c r="K391" s="8" t="n"/>
      <c r="L391" s="8" t="n"/>
      <c r="M391" s="8" t="n"/>
    </row>
    <row r="392" ht="12.75" customHeight="1">
      <c r="H392" s="6" t="n"/>
      <c r="I392" s="7" t="n"/>
      <c r="J392" s="1" t="n"/>
      <c r="K392" s="8" t="n"/>
      <c r="L392" s="8" t="n"/>
      <c r="M392" s="8" t="n"/>
    </row>
    <row r="393" ht="12.75" customHeight="1">
      <c r="H393" s="6" t="n"/>
      <c r="I393" s="7" t="n"/>
      <c r="J393" s="1" t="n"/>
      <c r="K393" s="8" t="n"/>
      <c r="L393" s="8" t="n"/>
      <c r="M393" s="8" t="n"/>
    </row>
    <row r="394" ht="12.75" customHeight="1">
      <c r="H394" s="6" t="n"/>
      <c r="I394" s="7" t="n"/>
      <c r="J394" s="1" t="n"/>
      <c r="K394" s="8" t="n"/>
      <c r="L394" s="8" t="n"/>
      <c r="M394" s="8" t="n"/>
    </row>
    <row r="395" ht="12.75" customHeight="1">
      <c r="H395" s="6" t="n"/>
      <c r="I395" s="7" t="n"/>
      <c r="J395" s="1" t="n"/>
      <c r="K395" s="8" t="n"/>
      <c r="L395" s="8" t="n"/>
      <c r="M395" s="8" t="n"/>
    </row>
    <row r="396" ht="12.75" customHeight="1">
      <c r="H396" s="6" t="n"/>
      <c r="I396" s="7" t="n"/>
      <c r="J396" s="1" t="n"/>
      <c r="K396" s="8" t="n"/>
      <c r="L396" s="8" t="n"/>
      <c r="M396" s="8" t="n"/>
    </row>
    <row r="397" ht="12.75" customHeight="1">
      <c r="H397" s="6" t="n"/>
      <c r="I397" s="7" t="n"/>
      <c r="J397" s="1" t="n"/>
      <c r="K397" s="8" t="n"/>
      <c r="L397" s="8" t="n"/>
      <c r="M397" s="8" t="n"/>
    </row>
    <row r="398" ht="12.75" customHeight="1">
      <c r="H398" s="6" t="n"/>
      <c r="I398" s="7" t="n"/>
      <c r="J398" s="1" t="n"/>
      <c r="K398" s="8" t="n"/>
      <c r="L398" s="8" t="n"/>
      <c r="M398" s="8" t="n"/>
    </row>
    <row r="399" ht="12.75" customHeight="1">
      <c r="H399" s="6" t="n"/>
      <c r="I399" s="7" t="n"/>
      <c r="J399" s="1" t="n"/>
      <c r="K399" s="8" t="n"/>
      <c r="L399" s="8" t="n"/>
      <c r="M399" s="8" t="n"/>
    </row>
    <row r="400" ht="12.75" customHeight="1">
      <c r="H400" s="6" t="n"/>
      <c r="I400" s="7" t="n"/>
      <c r="J400" s="1" t="n"/>
      <c r="K400" s="8" t="n"/>
      <c r="L400" s="8" t="n"/>
      <c r="M400" s="8" t="n"/>
    </row>
    <row r="401" ht="12.75" customHeight="1">
      <c r="H401" s="6" t="n"/>
      <c r="I401" s="7" t="n"/>
      <c r="J401" s="1" t="n"/>
      <c r="K401" s="8" t="n"/>
      <c r="L401" s="8" t="n"/>
      <c r="M401" s="8" t="n"/>
    </row>
    <row r="402" ht="12.75" customHeight="1">
      <c r="H402" s="6" t="n"/>
      <c r="I402" s="7" t="n"/>
      <c r="J402" s="1" t="n"/>
      <c r="K402" s="8" t="n"/>
      <c r="L402" s="8" t="n"/>
      <c r="M402" s="8" t="n"/>
    </row>
    <row r="403" ht="12.75" customHeight="1">
      <c r="H403" s="6" t="n"/>
      <c r="I403" s="7" t="n"/>
      <c r="J403" s="1" t="n"/>
      <c r="K403" s="8" t="n"/>
      <c r="L403" s="8" t="n"/>
      <c r="M403" s="8" t="n"/>
    </row>
    <row r="404" ht="12.75" customHeight="1">
      <c r="H404" s="6" t="n"/>
      <c r="I404" s="7" t="n"/>
      <c r="J404" s="1" t="n"/>
      <c r="K404" s="8" t="n"/>
      <c r="L404" s="8" t="n"/>
      <c r="M404" s="8" t="n"/>
    </row>
    <row r="405" ht="12.75" customHeight="1">
      <c r="H405" s="6" t="n"/>
      <c r="I405" s="7" t="n"/>
      <c r="J405" s="1" t="n"/>
      <c r="K405" s="8" t="n"/>
      <c r="L405" s="8" t="n"/>
      <c r="M405" s="8" t="n"/>
    </row>
    <row r="406" ht="12.75" customHeight="1">
      <c r="H406" s="6" t="n"/>
      <c r="I406" s="7" t="n"/>
      <c r="J406" s="1" t="n"/>
      <c r="K406" s="8" t="n"/>
      <c r="L406" s="8" t="n"/>
      <c r="M406" s="8" t="n"/>
    </row>
    <row r="407" ht="12.75" customHeight="1">
      <c r="H407" s="6" t="n"/>
      <c r="I407" s="7" t="n"/>
      <c r="J407" s="1" t="n"/>
      <c r="K407" s="8" t="n"/>
      <c r="L407" s="8" t="n"/>
      <c r="M407" s="8" t="n"/>
    </row>
    <row r="408" ht="12.75" customHeight="1">
      <c r="H408" s="6" t="n"/>
      <c r="I408" s="7" t="n"/>
      <c r="J408" s="1" t="n"/>
      <c r="K408" s="8" t="n"/>
      <c r="L408" s="8" t="n"/>
      <c r="M408" s="8" t="n"/>
    </row>
    <row r="409" ht="12.75" customHeight="1">
      <c r="H409" s="6" t="n"/>
      <c r="I409" s="7" t="n"/>
      <c r="J409" s="1" t="n"/>
      <c r="K409" s="8" t="n"/>
      <c r="L409" s="8" t="n"/>
      <c r="M409" s="8" t="n"/>
    </row>
    <row r="410" ht="12.75" customHeight="1">
      <c r="H410" s="6" t="n"/>
      <c r="I410" s="7" t="n"/>
      <c r="J410" s="1" t="n"/>
      <c r="K410" s="8" t="n"/>
      <c r="L410" s="8" t="n"/>
      <c r="M410" s="8" t="n"/>
    </row>
    <row r="411" ht="12.75" customHeight="1">
      <c r="H411" s="6" t="n"/>
      <c r="I411" s="7" t="n"/>
      <c r="J411" s="1" t="n"/>
      <c r="K411" s="8" t="n"/>
      <c r="L411" s="8" t="n"/>
      <c r="M411" s="8" t="n"/>
    </row>
    <row r="412" ht="12.75" customHeight="1">
      <c r="H412" s="6" t="n"/>
      <c r="I412" s="7" t="n"/>
      <c r="J412" s="1" t="n"/>
      <c r="K412" s="8" t="n"/>
      <c r="L412" s="8" t="n"/>
      <c r="M412" s="8" t="n"/>
    </row>
    <row r="413" ht="12.75" customHeight="1">
      <c r="H413" s="6" t="n"/>
      <c r="I413" s="7" t="n"/>
      <c r="J413" s="1" t="n"/>
      <c r="K413" s="8" t="n"/>
      <c r="L413" s="8" t="n"/>
      <c r="M413" s="8" t="n"/>
    </row>
    <row r="414" ht="12.75" customHeight="1">
      <c r="H414" s="6" t="n"/>
      <c r="I414" s="7" t="n"/>
      <c r="J414" s="1" t="n"/>
      <c r="K414" s="8" t="n"/>
      <c r="L414" s="8" t="n"/>
      <c r="M414" s="8" t="n"/>
    </row>
    <row r="415" ht="12.75" customHeight="1">
      <c r="H415" s="6" t="n"/>
      <c r="I415" s="7" t="n"/>
      <c r="J415" s="1" t="n"/>
      <c r="K415" s="8" t="n"/>
      <c r="L415" s="8" t="n"/>
      <c r="M415" s="8" t="n"/>
    </row>
    <row r="416" ht="12.75" customHeight="1">
      <c r="H416" s="6" t="n"/>
      <c r="I416" s="7" t="n"/>
      <c r="J416" s="1" t="n"/>
      <c r="K416" s="8" t="n"/>
      <c r="L416" s="8" t="n"/>
      <c r="M416" s="8" t="n"/>
    </row>
    <row r="417" ht="12.75" customHeight="1">
      <c r="H417" s="6" t="n"/>
      <c r="I417" s="7" t="n"/>
      <c r="J417" s="1" t="n"/>
      <c r="K417" s="8" t="n"/>
      <c r="L417" s="8" t="n"/>
      <c r="M417" s="8" t="n"/>
    </row>
    <row r="418" ht="12.75" customHeight="1">
      <c r="H418" s="6" t="n"/>
      <c r="I418" s="7" t="n"/>
      <c r="J418" s="1" t="n"/>
      <c r="K418" s="8" t="n"/>
      <c r="L418" s="8" t="n"/>
      <c r="M418" s="8" t="n"/>
    </row>
    <row r="419" ht="12.75" customHeight="1">
      <c r="H419" s="6" t="n"/>
      <c r="I419" s="7" t="n"/>
      <c r="J419" s="1" t="n"/>
      <c r="K419" s="8" t="n"/>
      <c r="L419" s="8" t="n"/>
      <c r="M419" s="8" t="n"/>
    </row>
    <row r="420" ht="12.75" customHeight="1">
      <c r="H420" s="6" t="n"/>
      <c r="I420" s="7" t="n"/>
      <c r="J420" s="1" t="n"/>
      <c r="K420" s="8" t="n"/>
      <c r="L420" s="8" t="n"/>
      <c r="M420" s="8" t="n"/>
    </row>
    <row r="421" ht="12.75" customHeight="1">
      <c r="H421" s="6" t="n"/>
      <c r="I421" s="7" t="n"/>
      <c r="J421" s="1" t="n"/>
      <c r="K421" s="8" t="n"/>
      <c r="L421" s="8" t="n"/>
      <c r="M421" s="8" t="n"/>
    </row>
    <row r="422" ht="12.75" customHeight="1">
      <c r="H422" s="6" t="n"/>
      <c r="I422" s="7" t="n"/>
      <c r="J422" s="1" t="n"/>
      <c r="K422" s="8" t="n"/>
      <c r="L422" s="8" t="n"/>
      <c r="M422" s="8" t="n"/>
    </row>
    <row r="423" ht="12.75" customHeight="1">
      <c r="H423" s="6" t="n"/>
      <c r="I423" s="7" t="n"/>
      <c r="J423" s="1" t="n"/>
      <c r="K423" s="8" t="n"/>
      <c r="L423" s="8" t="n"/>
      <c r="M423" s="8" t="n"/>
    </row>
    <row r="424" ht="12.75" customHeight="1">
      <c r="H424" s="6" t="n"/>
      <c r="I424" s="7" t="n"/>
      <c r="J424" s="1" t="n"/>
      <c r="K424" s="8" t="n"/>
      <c r="L424" s="8" t="n"/>
      <c r="M424" s="8" t="n"/>
    </row>
    <row r="425" ht="12.75" customHeight="1">
      <c r="H425" s="6" t="n"/>
      <c r="I425" s="7" t="n"/>
      <c r="J425" s="1" t="n"/>
      <c r="K425" s="8" t="n"/>
      <c r="L425" s="8" t="n"/>
      <c r="M425" s="8" t="n"/>
    </row>
    <row r="426" ht="12.75" customHeight="1">
      <c r="H426" s="6" t="n"/>
      <c r="I426" s="7" t="n"/>
      <c r="J426" s="1" t="n"/>
      <c r="K426" s="8" t="n"/>
      <c r="L426" s="8" t="n"/>
      <c r="M426" s="8" t="n"/>
    </row>
    <row r="427" ht="12.75" customHeight="1">
      <c r="H427" s="6" t="n"/>
      <c r="I427" s="7" t="n"/>
      <c r="J427" s="1" t="n"/>
      <c r="K427" s="8" t="n"/>
      <c r="L427" s="8" t="n"/>
      <c r="M427" s="8" t="n"/>
    </row>
    <row r="428" ht="12.75" customHeight="1">
      <c r="H428" s="6" t="n"/>
      <c r="I428" s="7" t="n"/>
      <c r="J428" s="1" t="n"/>
      <c r="K428" s="8" t="n"/>
      <c r="L428" s="8" t="n"/>
      <c r="M428" s="8" t="n"/>
    </row>
    <row r="429" ht="12.75" customHeight="1">
      <c r="H429" s="6" t="n"/>
      <c r="I429" s="7" t="n"/>
      <c r="J429" s="1" t="n"/>
      <c r="K429" s="8" t="n"/>
      <c r="L429" s="8" t="n"/>
      <c r="M429" s="8" t="n"/>
    </row>
    <row r="430" ht="12.75" customHeight="1">
      <c r="H430" s="6" t="n"/>
      <c r="I430" s="7" t="n"/>
      <c r="J430" s="1" t="n"/>
      <c r="K430" s="8" t="n"/>
      <c r="L430" s="8" t="n"/>
      <c r="M430" s="8" t="n"/>
    </row>
    <row r="431" ht="12.75" customHeight="1">
      <c r="H431" s="6" t="n"/>
      <c r="I431" s="7" t="n"/>
      <c r="J431" s="1" t="n"/>
      <c r="K431" s="8" t="n"/>
      <c r="L431" s="8" t="n"/>
      <c r="M431" s="8" t="n"/>
    </row>
    <row r="432" ht="12.75" customHeight="1">
      <c r="H432" s="6" t="n"/>
      <c r="I432" s="7" t="n"/>
      <c r="J432" s="1" t="n"/>
      <c r="K432" s="8" t="n"/>
      <c r="L432" s="8" t="n"/>
      <c r="M432" s="8" t="n"/>
    </row>
    <row r="433" ht="12.75" customHeight="1">
      <c r="H433" s="6" t="n"/>
      <c r="I433" s="7" t="n"/>
      <c r="J433" s="1" t="n"/>
      <c r="K433" s="8" t="n"/>
      <c r="L433" s="8" t="n"/>
      <c r="M433" s="8" t="n"/>
    </row>
    <row r="434" ht="12.75" customHeight="1">
      <c r="H434" s="6" t="n"/>
      <c r="I434" s="7" t="n"/>
      <c r="J434" s="1" t="n"/>
      <c r="K434" s="8" t="n"/>
      <c r="L434" s="8" t="n"/>
      <c r="M434" s="8" t="n"/>
    </row>
    <row r="435" ht="12.75" customHeight="1">
      <c r="H435" s="6" t="n"/>
      <c r="I435" s="7" t="n"/>
      <c r="J435" s="1" t="n"/>
      <c r="K435" s="8" t="n"/>
      <c r="L435" s="8" t="n"/>
      <c r="M435" s="8" t="n"/>
    </row>
    <row r="436" ht="12.75" customHeight="1">
      <c r="H436" s="6" t="n"/>
      <c r="I436" s="7" t="n"/>
      <c r="J436" s="1" t="n"/>
      <c r="K436" s="8" t="n"/>
      <c r="L436" s="8" t="n"/>
      <c r="M436" s="8" t="n"/>
    </row>
    <row r="437" ht="12.75" customHeight="1">
      <c r="H437" s="6" t="n"/>
      <c r="I437" s="7" t="n"/>
      <c r="J437" s="1" t="n"/>
      <c r="K437" s="8" t="n"/>
      <c r="L437" s="8" t="n"/>
      <c r="M437" s="8" t="n"/>
    </row>
    <row r="438" ht="12.75" customHeight="1">
      <c r="H438" s="6" t="n"/>
      <c r="I438" s="7" t="n"/>
      <c r="J438" s="1" t="n"/>
      <c r="K438" s="8" t="n"/>
      <c r="L438" s="8" t="n"/>
      <c r="M438" s="8" t="n"/>
    </row>
    <row r="439" ht="12.75" customHeight="1">
      <c r="H439" s="6" t="n"/>
      <c r="I439" s="7" t="n"/>
      <c r="J439" s="1" t="n"/>
      <c r="K439" s="8" t="n"/>
      <c r="L439" s="8" t="n"/>
      <c r="M439" s="8" t="n"/>
    </row>
    <row r="440" ht="12.75" customHeight="1">
      <c r="H440" s="6" t="n"/>
      <c r="I440" s="7" t="n"/>
      <c r="J440" s="1" t="n"/>
      <c r="K440" s="8" t="n"/>
      <c r="L440" s="8" t="n"/>
      <c r="M440" s="8" t="n"/>
    </row>
    <row r="441" ht="12.75" customHeight="1">
      <c r="H441" s="6" t="n"/>
      <c r="I441" s="7" t="n"/>
      <c r="J441" s="1" t="n"/>
      <c r="K441" s="8" t="n"/>
      <c r="L441" s="8" t="n"/>
      <c r="M441" s="8" t="n"/>
    </row>
    <row r="442" ht="12.75" customHeight="1">
      <c r="H442" s="6" t="n"/>
      <c r="I442" s="7" t="n"/>
      <c r="J442" s="1" t="n"/>
      <c r="K442" s="8" t="n"/>
      <c r="L442" s="8" t="n"/>
      <c r="M442" s="8" t="n"/>
    </row>
    <row r="443" ht="12.75" customHeight="1">
      <c r="H443" s="6" t="n"/>
      <c r="I443" s="7" t="n"/>
      <c r="J443" s="1" t="n"/>
      <c r="K443" s="8" t="n"/>
      <c r="L443" s="8" t="n"/>
      <c r="M443" s="8" t="n"/>
    </row>
    <row r="444" ht="12.75" customHeight="1">
      <c r="H444" s="6" t="n"/>
      <c r="I444" s="7" t="n"/>
      <c r="J444" s="1" t="n"/>
      <c r="K444" s="8" t="n"/>
      <c r="L444" s="8" t="n"/>
      <c r="M444" s="8" t="n"/>
    </row>
    <row r="445" ht="12.75" customHeight="1">
      <c r="H445" s="6" t="n"/>
      <c r="I445" s="7" t="n"/>
      <c r="J445" s="1" t="n"/>
      <c r="K445" s="8" t="n"/>
      <c r="L445" s="8" t="n"/>
      <c r="M445" s="8" t="n"/>
    </row>
    <row r="446" ht="12.75" customHeight="1">
      <c r="H446" s="6" t="n"/>
      <c r="I446" s="7" t="n"/>
      <c r="J446" s="1" t="n"/>
      <c r="K446" s="8" t="n"/>
      <c r="L446" s="8" t="n"/>
      <c r="M446" s="8" t="n"/>
    </row>
    <row r="447" ht="12.75" customHeight="1">
      <c r="H447" s="6" t="n"/>
      <c r="I447" s="7" t="n"/>
      <c r="J447" s="1" t="n"/>
      <c r="K447" s="8" t="n"/>
      <c r="L447" s="8" t="n"/>
      <c r="M447" s="8" t="n"/>
    </row>
    <row r="448" ht="12.75" customHeight="1">
      <c r="H448" s="6" t="n"/>
      <c r="I448" s="7" t="n"/>
      <c r="J448" s="1" t="n"/>
      <c r="K448" s="8" t="n"/>
      <c r="L448" s="8" t="n"/>
      <c r="M448" s="8" t="n"/>
    </row>
    <row r="449" ht="12.75" customHeight="1">
      <c r="H449" s="6" t="n"/>
      <c r="I449" s="7" t="n"/>
      <c r="J449" s="1" t="n"/>
      <c r="K449" s="8" t="n"/>
      <c r="L449" s="8" t="n"/>
      <c r="M449" s="8" t="n"/>
    </row>
    <row r="450" ht="12.75" customHeight="1">
      <c r="H450" s="6" t="n"/>
      <c r="I450" s="7" t="n"/>
      <c r="J450" s="1" t="n"/>
      <c r="K450" s="8" t="n"/>
      <c r="L450" s="8" t="n"/>
      <c r="M450" s="8" t="n"/>
    </row>
    <row r="451" ht="12.75" customHeight="1">
      <c r="H451" s="6" t="n"/>
      <c r="I451" s="7" t="n"/>
      <c r="J451" s="1" t="n"/>
      <c r="K451" s="8" t="n"/>
      <c r="L451" s="8" t="n"/>
      <c r="M451" s="8" t="n"/>
    </row>
    <row r="452" ht="12.75" customHeight="1">
      <c r="H452" s="6" t="n"/>
      <c r="I452" s="7" t="n"/>
      <c r="J452" s="1" t="n"/>
      <c r="K452" s="8" t="n"/>
      <c r="L452" s="8" t="n"/>
      <c r="M452" s="8" t="n"/>
    </row>
    <row r="453" ht="12.75" customHeight="1">
      <c r="H453" s="6" t="n"/>
      <c r="I453" s="7" t="n"/>
      <c r="J453" s="1" t="n"/>
      <c r="K453" s="8" t="n"/>
      <c r="L453" s="8" t="n"/>
      <c r="M453" s="8" t="n"/>
    </row>
    <row r="454" ht="12.75" customHeight="1">
      <c r="H454" s="6" t="n"/>
      <c r="I454" s="7" t="n"/>
      <c r="J454" s="1" t="n"/>
      <c r="K454" s="8" t="n"/>
      <c r="L454" s="8" t="n"/>
      <c r="M454" s="8" t="n"/>
    </row>
    <row r="455" ht="12.75" customHeight="1">
      <c r="H455" s="6" t="n"/>
      <c r="I455" s="7" t="n"/>
      <c r="J455" s="1" t="n"/>
      <c r="K455" s="8" t="n"/>
      <c r="L455" s="8" t="n"/>
      <c r="M455" s="8" t="n"/>
    </row>
    <row r="456" ht="12.75" customHeight="1">
      <c r="H456" s="6" t="n"/>
      <c r="I456" s="7" t="n"/>
      <c r="J456" s="1" t="n"/>
      <c r="K456" s="8" t="n"/>
      <c r="L456" s="8" t="n"/>
      <c r="M456" s="8" t="n"/>
    </row>
    <row r="457" ht="12.75" customHeight="1">
      <c r="H457" s="6" t="n"/>
      <c r="I457" s="7" t="n"/>
      <c r="J457" s="1" t="n"/>
      <c r="K457" s="8" t="n"/>
      <c r="L457" s="8" t="n"/>
      <c r="M457" s="8" t="n"/>
    </row>
    <row r="458" ht="12.75" customHeight="1">
      <c r="H458" s="6" t="n"/>
      <c r="I458" s="7" t="n"/>
      <c r="J458" s="1" t="n"/>
      <c r="K458" s="8" t="n"/>
      <c r="L458" s="8" t="n"/>
      <c r="M458" s="8" t="n"/>
    </row>
    <row r="459" ht="12.75" customHeight="1">
      <c r="H459" s="6" t="n"/>
      <c r="I459" s="7" t="n"/>
      <c r="J459" s="1" t="n"/>
      <c r="K459" s="8" t="n"/>
      <c r="L459" s="8" t="n"/>
      <c r="M459" s="8" t="n"/>
    </row>
    <row r="460" ht="12.75" customHeight="1">
      <c r="H460" s="6" t="n"/>
      <c r="I460" s="7" t="n"/>
      <c r="J460" s="1" t="n"/>
      <c r="K460" s="8" t="n"/>
      <c r="L460" s="8" t="n"/>
      <c r="M460" s="8" t="n"/>
    </row>
    <row r="461" ht="12.75" customHeight="1">
      <c r="H461" s="6" t="n"/>
      <c r="I461" s="7" t="n"/>
      <c r="J461" s="1" t="n"/>
      <c r="K461" s="8" t="n"/>
      <c r="L461" s="8" t="n"/>
      <c r="M461" s="8" t="n"/>
    </row>
    <row r="462" ht="12.75" customHeight="1">
      <c r="H462" s="6" t="n"/>
      <c r="I462" s="7" t="n"/>
      <c r="J462" s="1" t="n"/>
      <c r="K462" s="8" t="n"/>
      <c r="L462" s="8" t="n"/>
      <c r="M462" s="8" t="n"/>
    </row>
    <row r="463" ht="12.75" customHeight="1">
      <c r="H463" s="6" t="n"/>
      <c r="I463" s="7" t="n"/>
      <c r="J463" s="1" t="n"/>
      <c r="K463" s="8" t="n"/>
      <c r="L463" s="8" t="n"/>
      <c r="M463" s="8" t="n"/>
    </row>
    <row r="464" ht="12.75" customHeight="1">
      <c r="H464" s="6" t="n"/>
      <c r="I464" s="7" t="n"/>
      <c r="J464" s="1" t="n"/>
      <c r="K464" s="8" t="n"/>
      <c r="L464" s="8" t="n"/>
      <c r="M464" s="8" t="n"/>
    </row>
    <row r="465" ht="12.75" customHeight="1">
      <c r="H465" s="6" t="n"/>
      <c r="I465" s="7" t="n"/>
      <c r="J465" s="1" t="n"/>
      <c r="K465" s="8" t="n"/>
      <c r="L465" s="8" t="n"/>
      <c r="M465" s="8" t="n"/>
    </row>
    <row r="466" ht="12.75" customHeight="1">
      <c r="H466" s="6" t="n"/>
      <c r="I466" s="7" t="n"/>
      <c r="J466" s="1" t="n"/>
      <c r="K466" s="8" t="n"/>
      <c r="L466" s="8" t="n"/>
      <c r="M466" s="8" t="n"/>
    </row>
    <row r="467" ht="12.75" customHeight="1">
      <c r="H467" s="6" t="n"/>
      <c r="I467" s="7" t="n"/>
      <c r="J467" s="1" t="n"/>
      <c r="K467" s="8" t="n"/>
      <c r="L467" s="8" t="n"/>
      <c r="M467" s="8" t="n"/>
    </row>
    <row r="468" ht="12.75" customHeight="1">
      <c r="H468" s="6" t="n"/>
      <c r="I468" s="7" t="n"/>
      <c r="J468" s="1" t="n"/>
      <c r="K468" s="8" t="n"/>
      <c r="L468" s="8" t="n"/>
      <c r="M468" s="8" t="n"/>
    </row>
    <row r="469" ht="12.75" customHeight="1">
      <c r="H469" s="6" t="n"/>
      <c r="I469" s="7" t="n"/>
      <c r="J469" s="1" t="n"/>
      <c r="K469" s="8" t="n"/>
      <c r="L469" s="8" t="n"/>
      <c r="M469" s="8" t="n"/>
    </row>
    <row r="470" ht="12.75" customHeight="1">
      <c r="H470" s="6" t="n"/>
      <c r="I470" s="7" t="n"/>
      <c r="J470" s="1" t="n"/>
      <c r="K470" s="8" t="n"/>
      <c r="L470" s="8" t="n"/>
      <c r="M470" s="8" t="n"/>
    </row>
    <row r="471" ht="12.75" customHeight="1">
      <c r="H471" s="6" t="n"/>
      <c r="I471" s="7" t="n"/>
      <c r="J471" s="1" t="n"/>
      <c r="K471" s="8" t="n"/>
      <c r="L471" s="8" t="n"/>
      <c r="M471" s="8" t="n"/>
    </row>
    <row r="472" ht="12.75" customHeight="1">
      <c r="H472" s="6" t="n"/>
      <c r="I472" s="7" t="n"/>
      <c r="J472" s="1" t="n"/>
      <c r="K472" s="8" t="n"/>
      <c r="L472" s="8" t="n"/>
      <c r="M472" s="8" t="n"/>
    </row>
    <row r="473" ht="12.75" customHeight="1">
      <c r="H473" s="6" t="n"/>
      <c r="I473" s="7" t="n"/>
      <c r="J473" s="1" t="n"/>
      <c r="K473" s="8" t="n"/>
      <c r="L473" s="8" t="n"/>
      <c r="M473" s="8" t="n"/>
    </row>
    <row r="474" ht="12.75" customHeight="1">
      <c r="H474" s="6" t="n"/>
      <c r="I474" s="7" t="n"/>
      <c r="J474" s="1" t="n"/>
      <c r="K474" s="8" t="n"/>
      <c r="L474" s="8" t="n"/>
      <c r="M474" s="8" t="n"/>
    </row>
    <row r="475" ht="12.75" customHeight="1">
      <c r="H475" s="6" t="n"/>
      <c r="I475" s="7" t="n"/>
      <c r="J475" s="1" t="n"/>
      <c r="K475" s="8" t="n"/>
      <c r="L475" s="8" t="n"/>
      <c r="M475" s="8" t="n"/>
    </row>
    <row r="476" ht="12.75" customHeight="1">
      <c r="H476" s="6" t="n"/>
      <c r="I476" s="7" t="n"/>
      <c r="J476" s="1" t="n"/>
      <c r="K476" s="8" t="n"/>
      <c r="L476" s="8" t="n"/>
      <c r="M476" s="8" t="n"/>
    </row>
    <row r="477" ht="12.75" customHeight="1">
      <c r="H477" s="6" t="n"/>
      <c r="I477" s="7" t="n"/>
      <c r="J477" s="1" t="n"/>
      <c r="K477" s="8" t="n"/>
      <c r="L477" s="8" t="n"/>
      <c r="M477" s="8" t="n"/>
    </row>
    <row r="478" ht="12.75" customHeight="1">
      <c r="H478" s="6" t="n"/>
      <c r="I478" s="7" t="n"/>
      <c r="J478" s="1" t="n"/>
      <c r="K478" s="8" t="n"/>
      <c r="L478" s="8" t="n"/>
      <c r="M478" s="8" t="n"/>
    </row>
    <row r="479" ht="12.75" customHeight="1">
      <c r="H479" s="6" t="n"/>
      <c r="I479" s="7" t="n"/>
      <c r="J479" s="1" t="n"/>
      <c r="K479" s="8" t="n"/>
      <c r="L479" s="8" t="n"/>
      <c r="M479" s="8" t="n"/>
    </row>
    <row r="480" ht="12.75" customHeight="1">
      <c r="H480" s="6" t="n"/>
      <c r="I480" s="7" t="n"/>
      <c r="J480" s="1" t="n"/>
      <c r="K480" s="8" t="n"/>
      <c r="L480" s="8" t="n"/>
      <c r="M480" s="8" t="n"/>
    </row>
    <row r="481" ht="12.75" customHeight="1">
      <c r="H481" s="6" t="n"/>
      <c r="I481" s="7" t="n"/>
      <c r="J481" s="1" t="n"/>
      <c r="K481" s="8" t="n"/>
      <c r="L481" s="8" t="n"/>
      <c r="M481" s="8" t="n"/>
    </row>
    <row r="482" ht="12.75" customHeight="1">
      <c r="H482" s="6" t="n"/>
      <c r="I482" s="7" t="n"/>
      <c r="J482" s="1" t="n"/>
      <c r="K482" s="8" t="n"/>
      <c r="L482" s="8" t="n"/>
      <c r="M482" s="8" t="n"/>
    </row>
    <row r="483" ht="12.75" customHeight="1">
      <c r="H483" s="6" t="n"/>
      <c r="I483" s="7" t="n"/>
      <c r="J483" s="1" t="n"/>
      <c r="K483" s="8" t="n"/>
      <c r="L483" s="8" t="n"/>
      <c r="M483" s="8" t="n"/>
    </row>
    <row r="484" ht="12.75" customHeight="1">
      <c r="H484" s="6" t="n"/>
      <c r="I484" s="7" t="n"/>
      <c r="J484" s="1" t="n"/>
      <c r="K484" s="8" t="n"/>
      <c r="L484" s="8" t="n"/>
      <c r="M484" s="8" t="n"/>
    </row>
    <row r="485" ht="12.75" customHeight="1">
      <c r="H485" s="6" t="n"/>
      <c r="I485" s="7" t="n"/>
      <c r="J485" s="1" t="n"/>
      <c r="K485" s="8" t="n"/>
      <c r="L485" s="8" t="n"/>
      <c r="M485" s="8" t="n"/>
    </row>
    <row r="486" ht="12.75" customHeight="1">
      <c r="H486" s="6" t="n"/>
      <c r="I486" s="7" t="n"/>
      <c r="J486" s="1" t="n"/>
      <c r="K486" s="8" t="n"/>
      <c r="L486" s="8" t="n"/>
      <c r="M486" s="8" t="n"/>
    </row>
    <row r="487" ht="12.75" customHeight="1">
      <c r="H487" s="6" t="n"/>
      <c r="I487" s="7" t="n"/>
      <c r="J487" s="1" t="n"/>
      <c r="K487" s="8" t="n"/>
      <c r="L487" s="8" t="n"/>
      <c r="M487" s="8" t="n"/>
    </row>
    <row r="488" ht="12.75" customHeight="1">
      <c r="H488" s="6" t="n"/>
      <c r="I488" s="7" t="n"/>
      <c r="J488" s="1" t="n"/>
      <c r="K488" s="8" t="n"/>
      <c r="L488" s="8" t="n"/>
      <c r="M488" s="8" t="n"/>
    </row>
    <row r="489" ht="12.75" customHeight="1">
      <c r="H489" s="6" t="n"/>
      <c r="I489" s="7" t="n"/>
      <c r="J489" s="1" t="n"/>
      <c r="K489" s="8" t="n"/>
      <c r="L489" s="8" t="n"/>
      <c r="M489" s="8" t="n"/>
    </row>
    <row r="490" ht="12.75" customHeight="1">
      <c r="H490" s="6" t="n"/>
      <c r="I490" s="7" t="n"/>
      <c r="J490" s="1" t="n"/>
      <c r="K490" s="8" t="n"/>
      <c r="L490" s="8" t="n"/>
      <c r="M490" s="8" t="n"/>
    </row>
    <row r="491" ht="12.75" customHeight="1">
      <c r="H491" s="6" t="n"/>
      <c r="I491" s="7" t="n"/>
      <c r="J491" s="1" t="n"/>
      <c r="K491" s="8" t="n"/>
      <c r="L491" s="8" t="n"/>
      <c r="M491" s="8" t="n"/>
    </row>
    <row r="492" ht="12.75" customHeight="1">
      <c r="H492" s="6" t="n"/>
      <c r="I492" s="7" t="n"/>
      <c r="J492" s="1" t="n"/>
      <c r="K492" s="8" t="n"/>
      <c r="L492" s="8" t="n"/>
      <c r="M492" s="8" t="n"/>
    </row>
    <row r="493" ht="12.75" customHeight="1">
      <c r="H493" s="6" t="n"/>
      <c r="I493" s="7" t="n"/>
      <c r="J493" s="1" t="n"/>
      <c r="K493" s="8" t="n"/>
      <c r="L493" s="8" t="n"/>
      <c r="M493" s="8" t="n"/>
    </row>
    <row r="494" ht="12.75" customHeight="1">
      <c r="H494" s="6" t="n"/>
      <c r="I494" s="7" t="n"/>
      <c r="J494" s="1" t="n"/>
      <c r="K494" s="8" t="n"/>
      <c r="L494" s="8" t="n"/>
      <c r="M494" s="8" t="n"/>
    </row>
    <row r="495" ht="12.75" customHeight="1">
      <c r="H495" s="6" t="n"/>
      <c r="I495" s="7" t="n"/>
      <c r="J495" s="1" t="n"/>
      <c r="K495" s="8" t="n"/>
      <c r="L495" s="8" t="n"/>
      <c r="M495" s="8" t="n"/>
    </row>
    <row r="496" ht="12.75" customHeight="1">
      <c r="H496" s="6" t="n"/>
      <c r="I496" s="7" t="n"/>
      <c r="J496" s="1" t="n"/>
      <c r="K496" s="8" t="n"/>
      <c r="L496" s="8" t="n"/>
      <c r="M496" s="8" t="n"/>
    </row>
    <row r="497" ht="12.75" customHeight="1">
      <c r="H497" s="6" t="n"/>
      <c r="I497" s="7" t="n"/>
      <c r="J497" s="1" t="n"/>
      <c r="K497" s="8" t="n"/>
      <c r="L497" s="8" t="n"/>
      <c r="M497" s="8" t="n"/>
    </row>
    <row r="498" ht="12.75" customHeight="1">
      <c r="H498" s="6" t="n"/>
      <c r="I498" s="7" t="n"/>
      <c r="J498" s="1" t="n"/>
      <c r="K498" s="8" t="n"/>
      <c r="L498" s="8" t="n"/>
      <c r="M498" s="8" t="n"/>
    </row>
    <row r="499" ht="12.75" customHeight="1">
      <c r="H499" s="6" t="n"/>
      <c r="I499" s="7" t="n"/>
      <c r="J499" s="1" t="n"/>
      <c r="K499" s="8" t="n"/>
      <c r="L499" s="8" t="n"/>
      <c r="M499" s="8" t="n"/>
    </row>
    <row r="500" ht="12.75" customHeight="1">
      <c r="H500" s="6" t="n"/>
      <c r="I500" s="7" t="n"/>
      <c r="J500" s="1" t="n"/>
      <c r="K500" s="8" t="n"/>
      <c r="L500" s="8" t="n"/>
      <c r="M500" s="8" t="n"/>
    </row>
    <row r="501" ht="12.75" customHeight="1">
      <c r="H501" s="6" t="n"/>
      <c r="I501" s="7" t="n"/>
      <c r="J501" s="1" t="n"/>
      <c r="K501" s="8" t="n"/>
      <c r="L501" s="8" t="n"/>
      <c r="M501" s="8" t="n"/>
    </row>
    <row r="502" ht="12.75" customHeight="1">
      <c r="H502" s="6" t="n"/>
      <c r="I502" s="7" t="n"/>
      <c r="J502" s="1" t="n"/>
      <c r="K502" s="8" t="n"/>
      <c r="L502" s="8" t="n"/>
      <c r="M502" s="8" t="n"/>
    </row>
    <row r="503" ht="12.75" customHeight="1">
      <c r="H503" s="7" t="n"/>
      <c r="I503" s="7" t="n"/>
      <c r="J503" s="1" t="n"/>
      <c r="K503" s="8" t="n"/>
      <c r="L503" s="8" t="n"/>
      <c r="M503" s="8" t="n"/>
    </row>
    <row r="504" ht="12.75" customHeight="1">
      <c r="H504" s="7" t="n"/>
      <c r="I504" s="7" t="n"/>
      <c r="J504" s="1" t="n"/>
      <c r="K504" s="8" t="n"/>
      <c r="L504" s="8" t="n"/>
      <c r="M504" s="8" t="n"/>
    </row>
    <row r="505" ht="12.75" customHeight="1">
      <c r="H505" s="7" t="n"/>
      <c r="I505" s="7" t="n"/>
      <c r="J505" s="1" t="n"/>
      <c r="K505" s="8" t="n"/>
      <c r="L505" s="8" t="n"/>
      <c r="M505" s="8" t="n"/>
    </row>
    <row r="506" ht="12.75" customHeight="1">
      <c r="H506" s="7" t="n"/>
      <c r="I506" s="7" t="n"/>
      <c r="J506" s="1" t="n"/>
      <c r="K506" s="8" t="n"/>
      <c r="L506" s="8" t="n"/>
      <c r="M506" s="8" t="n"/>
    </row>
    <row r="507" ht="12.75" customHeight="1">
      <c r="H507" s="7" t="n"/>
      <c r="I507" s="7" t="n"/>
      <c r="J507" s="1" t="n"/>
      <c r="K507" s="8" t="n"/>
      <c r="L507" s="8" t="n"/>
      <c r="M507" s="8" t="n"/>
    </row>
    <row r="508" ht="12.75" customHeight="1">
      <c r="H508" s="7" t="n"/>
      <c r="I508" s="7" t="n"/>
      <c r="J508" s="1" t="n"/>
      <c r="K508" s="8" t="n"/>
      <c r="L508" s="8" t="n"/>
      <c r="M508" s="8" t="n"/>
    </row>
    <row r="509" ht="12.75" customHeight="1">
      <c r="H509" s="7" t="n"/>
      <c r="I509" s="7" t="n"/>
      <c r="J509" s="1" t="n"/>
      <c r="K509" s="8" t="n"/>
      <c r="L509" s="8" t="n"/>
      <c r="M509" s="8" t="n"/>
    </row>
    <row r="510" ht="12.75" customHeight="1">
      <c r="H510" s="7" t="n"/>
      <c r="I510" s="7" t="n"/>
      <c r="J510" s="1" t="n"/>
      <c r="K510" s="8" t="n"/>
      <c r="L510" s="8" t="n"/>
      <c r="M510" s="8" t="n"/>
    </row>
    <row r="511" ht="12.75" customHeight="1">
      <c r="H511" s="7" t="n"/>
      <c r="I511" s="7" t="n"/>
      <c r="J511" s="1" t="n"/>
      <c r="K511" s="8" t="n"/>
      <c r="L511" s="8" t="n"/>
      <c r="M511" s="8" t="n"/>
    </row>
    <row r="512" ht="12.75" customHeight="1">
      <c r="H512" s="7" t="n"/>
      <c r="I512" s="7" t="n"/>
      <c r="J512" s="1" t="n"/>
      <c r="K512" s="8" t="n"/>
      <c r="L512" s="8" t="n"/>
      <c r="M512" s="8" t="n"/>
    </row>
    <row r="513" ht="12.75" customHeight="1">
      <c r="H513" s="7" t="n"/>
      <c r="I513" s="7" t="n"/>
      <c r="J513" s="1" t="n"/>
      <c r="K513" s="8" t="n"/>
      <c r="L513" s="8" t="n"/>
      <c r="M513" s="8" t="n"/>
    </row>
    <row r="514" ht="12.75" customHeight="1">
      <c r="H514" s="7" t="n"/>
      <c r="I514" s="7" t="n"/>
      <c r="J514" s="1" t="n"/>
      <c r="K514" s="8" t="n"/>
      <c r="L514" s="8" t="n"/>
      <c r="M514" s="8" t="n"/>
    </row>
    <row r="515" ht="12.75" customHeight="1">
      <c r="H515" s="7" t="n"/>
      <c r="I515" s="7" t="n"/>
      <c r="J515" s="1" t="n"/>
      <c r="K515" s="8" t="n"/>
      <c r="L515" s="8" t="n"/>
      <c r="M515" s="8" t="n"/>
    </row>
    <row r="516" ht="12.75" customHeight="1">
      <c r="H516" s="7" t="n"/>
      <c r="I516" s="7" t="n"/>
      <c r="J516" s="1" t="n"/>
      <c r="K516" s="8" t="n"/>
      <c r="L516" s="8" t="n"/>
      <c r="M516" s="8" t="n"/>
    </row>
    <row r="517" ht="12.75" customHeight="1">
      <c r="H517" s="7" t="n"/>
      <c r="I517" s="7" t="n"/>
      <c r="J517" s="1" t="n"/>
      <c r="K517" s="8" t="n"/>
      <c r="L517" s="8" t="n"/>
      <c r="M517" s="8" t="n"/>
    </row>
    <row r="518" ht="12.75" customHeight="1">
      <c r="H518" s="7" t="n"/>
      <c r="I518" s="7" t="n"/>
      <c r="J518" s="1" t="n"/>
      <c r="K518" s="8" t="n"/>
      <c r="L518" s="8" t="n"/>
      <c r="M518" s="8" t="n"/>
    </row>
    <row r="519" ht="12.75" customHeight="1">
      <c r="H519" s="7" t="n"/>
      <c r="I519" s="7" t="n"/>
      <c r="J519" s="1" t="n"/>
      <c r="K519" s="8" t="n"/>
      <c r="L519" s="8" t="n"/>
      <c r="M519" s="8" t="n"/>
    </row>
    <row r="520" ht="12.75" customHeight="1">
      <c r="H520" s="7" t="n"/>
      <c r="I520" s="1" t="n"/>
      <c r="J520" s="8" t="n"/>
      <c r="K520" s="8" t="n"/>
      <c r="L520" s="8" t="n"/>
      <c r="M520" s="8" t="n"/>
    </row>
    <row r="521" ht="12.75" customHeight="1">
      <c r="H521" s="7" t="n"/>
      <c r="I521" s="1" t="n"/>
      <c r="J521" s="8" t="n"/>
      <c r="K521" s="8" t="n"/>
      <c r="L521" s="8" t="n"/>
      <c r="M521" s="8" t="n"/>
    </row>
    <row r="522" ht="12.75" customHeight="1">
      <c r="H522" s="7" t="n"/>
      <c r="I522" s="1" t="n"/>
      <c r="J522" s="8" t="n"/>
      <c r="K522" s="8" t="n"/>
      <c r="L522" s="8" t="n"/>
      <c r="M522" s="8" t="n"/>
    </row>
    <row r="523" ht="12.75" customHeight="1">
      <c r="H523" s="6" t="n"/>
      <c r="I523" s="1" t="n"/>
      <c r="J523" s="8" t="n"/>
      <c r="K523" s="8" t="n"/>
      <c r="L523" s="8" t="n"/>
      <c r="M523" s="8" t="n"/>
    </row>
    <row r="524" ht="12.75" customHeight="1">
      <c r="H524" s="6" t="n"/>
      <c r="I524" s="1" t="n"/>
      <c r="J524" s="8" t="n"/>
      <c r="K524" s="8" t="n"/>
      <c r="L524" s="8" t="n"/>
      <c r="M524" s="8" t="n"/>
    </row>
    <row r="525" ht="12.75" customHeight="1">
      <c r="H525" s="6" t="n"/>
      <c r="I525" s="1" t="n"/>
      <c r="J525" s="8" t="n"/>
      <c r="K525" s="8" t="n"/>
      <c r="L525" s="8" t="n"/>
      <c r="M525" s="8" t="n"/>
    </row>
    <row r="526" ht="12.75" customHeight="1">
      <c r="H526" s="6" t="n"/>
      <c r="I526" s="1" t="n"/>
      <c r="J526" s="8" t="n"/>
      <c r="K526" s="8" t="n"/>
      <c r="L526" s="8" t="n"/>
      <c r="M526" s="8" t="n"/>
    </row>
    <row r="527" ht="12.75" customHeight="1">
      <c r="H527" s="6" t="n"/>
      <c r="I527" s="1" t="n"/>
      <c r="J527" s="8" t="n"/>
      <c r="K527" s="8" t="n"/>
      <c r="L527" s="8" t="n"/>
      <c r="M527" s="8" t="n"/>
    </row>
    <row r="528" ht="12.75" customHeight="1">
      <c r="H528" s="6" t="n"/>
      <c r="I528" s="1" t="n"/>
      <c r="J528" s="8" t="n"/>
      <c r="K528" s="8" t="n"/>
      <c r="L528" s="8" t="n"/>
      <c r="M528" s="8" t="n"/>
    </row>
    <row r="529" ht="12.75" customHeight="1">
      <c r="H529" s="6" t="n"/>
      <c r="I529" s="1" t="n"/>
      <c r="J529" s="8" t="n"/>
      <c r="K529" s="8" t="n"/>
      <c r="L529" s="8" t="n"/>
      <c r="M529" s="8" t="n"/>
    </row>
    <row r="530" ht="12.75" customHeight="1">
      <c r="H530" s="6" t="n"/>
      <c r="I530" s="1" t="n"/>
      <c r="J530" s="8" t="n"/>
      <c r="K530" s="8" t="n"/>
      <c r="L530" s="8" t="n"/>
      <c r="M530" s="8" t="n"/>
    </row>
    <row r="531" ht="12.75" customHeight="1">
      <c r="H531" s="6" t="n"/>
      <c r="I531" s="1" t="n"/>
      <c r="J531" s="8" t="n"/>
      <c r="K531" s="8" t="n"/>
      <c r="L531" s="8" t="n"/>
      <c r="M531" s="8" t="n"/>
    </row>
    <row r="532" ht="12.75" customHeight="1">
      <c r="H532" s="6" t="n"/>
      <c r="I532" s="1" t="n"/>
      <c r="J532" s="8" t="n"/>
      <c r="K532" s="8" t="n"/>
      <c r="L532" s="8" t="n"/>
      <c r="M532" s="8" t="n"/>
    </row>
    <row r="533" ht="12.75" customHeight="1">
      <c r="I533" s="1" t="n"/>
      <c r="J533" s="8" t="n"/>
      <c r="K533" s="8" t="n"/>
      <c r="L533" s="8" t="n"/>
      <c r="M533" s="8" t="n"/>
    </row>
    <row r="534" ht="12.75" customHeight="1">
      <c r="I534" s="1" t="n"/>
      <c r="J534" s="8" t="n"/>
      <c r="K534" s="8" t="n"/>
      <c r="L534" s="8" t="n"/>
      <c r="M534" s="8" t="n"/>
    </row>
    <row r="535" ht="12.75" customHeight="1">
      <c r="I535" s="1" t="n"/>
      <c r="J535" s="8" t="n"/>
      <c r="K535" s="8" t="n"/>
      <c r="L535" s="8" t="n"/>
      <c r="M535" s="8" t="n"/>
    </row>
    <row r="536" ht="12.75" customHeight="1">
      <c r="I536" s="1" t="n"/>
      <c r="J536" s="8" t="n"/>
      <c r="K536" s="8" t="n"/>
      <c r="L536" s="8" t="n"/>
      <c r="M536" s="8" t="n"/>
    </row>
    <row r="537" ht="12.75" customHeight="1">
      <c r="I537" s="1" t="n"/>
      <c r="J537" s="8" t="n"/>
      <c r="K537" s="8" t="n"/>
      <c r="L537" s="8" t="n"/>
      <c r="M537" s="8" t="n"/>
    </row>
    <row r="538" ht="12.75" customHeight="1">
      <c r="I538" s="1" t="n"/>
      <c r="J538" s="8" t="n"/>
      <c r="K538" s="8" t="n"/>
      <c r="L538" s="8" t="n"/>
      <c r="M538" s="8" t="n"/>
    </row>
    <row r="539" ht="12.75" customHeight="1">
      <c r="I539" s="1" t="n"/>
      <c r="J539" s="8" t="n"/>
      <c r="K539" s="8" t="n"/>
      <c r="L539" s="8" t="n"/>
      <c r="M539" s="8" t="n"/>
    </row>
    <row r="540" ht="12.75" customHeight="1">
      <c r="I540" s="7" t="n"/>
      <c r="J540" s="1" t="n"/>
      <c r="K540" s="8" t="n"/>
      <c r="L540" s="8" t="n"/>
      <c r="M540" s="8" t="n"/>
    </row>
    <row r="541" ht="12.75" customHeight="1">
      <c r="I541" s="7" t="n"/>
      <c r="J541" s="1" t="n"/>
      <c r="K541" s="8" t="n"/>
      <c r="L541" s="8" t="n"/>
      <c r="M541" s="8" t="n"/>
    </row>
    <row r="542" ht="12.75" customHeight="1">
      <c r="I542" s="7" t="n"/>
      <c r="J542" s="1" t="n"/>
      <c r="K542" s="8" t="n"/>
      <c r="L542" s="8" t="n"/>
      <c r="M542" s="8" t="n"/>
    </row>
    <row r="543" ht="12.75" customHeight="1">
      <c r="I543" s="7" t="n"/>
      <c r="J543" s="1" t="n"/>
      <c r="K543" s="8" t="n"/>
      <c r="L543" s="8" t="n"/>
      <c r="M543" s="8" t="n"/>
    </row>
    <row r="544" ht="12.75" customHeight="1">
      <c r="I544" s="7" t="n"/>
      <c r="J544" s="1" t="n"/>
      <c r="K544" s="8" t="n"/>
      <c r="L544" s="8" t="n"/>
      <c r="M544" s="8" t="n"/>
    </row>
    <row r="545" ht="12.75" customHeight="1">
      <c r="I545" s="7" t="n"/>
      <c r="J545" s="1" t="n"/>
      <c r="K545" s="8" t="n"/>
      <c r="L545" s="8" t="n"/>
      <c r="M545" s="8" t="n"/>
    </row>
    <row r="546" ht="12.75" customHeight="1">
      <c r="I546" s="7" t="n"/>
      <c r="J546" s="1" t="n"/>
      <c r="K546" s="8" t="n"/>
      <c r="L546" s="8" t="n"/>
      <c r="M546" s="8" t="n"/>
    </row>
    <row r="547" ht="12.75" customHeight="1">
      <c r="I547" s="7" t="n"/>
      <c r="J547" s="1" t="n"/>
      <c r="K547" s="8" t="n"/>
      <c r="L547" s="8" t="n"/>
      <c r="M547" s="8" t="n"/>
    </row>
    <row r="548" ht="12.75" customHeight="1">
      <c r="I548" s="7" t="n"/>
      <c r="J548" s="1" t="n"/>
      <c r="K548" s="8" t="n"/>
      <c r="L548" s="8" t="n"/>
      <c r="M548" s="8" t="n"/>
    </row>
    <row r="549" ht="12.75" customHeight="1">
      <c r="I549" s="7" t="n"/>
      <c r="J549" s="1" t="n"/>
      <c r="K549" s="8" t="n"/>
      <c r="L549" s="8" t="n"/>
      <c r="M549" s="8" t="n"/>
    </row>
    <row r="550" ht="12.75" customHeight="1">
      <c r="I550" s="6" t="n"/>
      <c r="J550" s="7" t="n"/>
      <c r="K550" s="1" t="n"/>
      <c r="L550" s="8" t="n"/>
      <c r="M550" s="8" t="n"/>
    </row>
    <row r="551" ht="12.75" customHeight="1">
      <c r="I551" s="6" t="n"/>
      <c r="J551" s="7" t="n"/>
      <c r="K551" s="1" t="n"/>
      <c r="L551" s="8" t="n"/>
      <c r="M551" s="8" t="n"/>
    </row>
    <row r="552" ht="12.75" customHeight="1">
      <c r="I552" s="6" t="n"/>
      <c r="J552" s="7" t="n"/>
      <c r="K552" s="1" t="n"/>
      <c r="L552" s="8" t="n"/>
      <c r="M552" s="8" t="n"/>
    </row>
    <row r="553" ht="12.75" customHeight="1">
      <c r="I553" s="6" t="n"/>
      <c r="J553" s="7" t="n"/>
      <c r="K553" s="1" t="n"/>
      <c r="L553" s="8" t="n"/>
      <c r="M553" s="8" t="n"/>
    </row>
    <row r="554" ht="12.75" customHeight="1">
      <c r="I554" s="6" t="n"/>
      <c r="J554" s="7" t="n"/>
      <c r="K554" s="1" t="n"/>
      <c r="L554" s="8" t="n"/>
      <c r="M554" s="8" t="n"/>
    </row>
    <row r="555" ht="12.75" customHeight="1">
      <c r="I555" s="6" t="n"/>
      <c r="J555" s="7" t="n"/>
      <c r="K555" s="1" t="n"/>
      <c r="L555" s="8" t="n"/>
      <c r="M555" s="8" t="n"/>
    </row>
    <row r="556" ht="12.75" customHeight="1">
      <c r="I556" s="6" t="n"/>
      <c r="J556" s="7" t="n"/>
      <c r="K556" s="1" t="n"/>
      <c r="L556" s="8" t="n"/>
      <c r="M556" s="8" t="n"/>
    </row>
    <row r="557" ht="12.75" customHeight="1">
      <c r="I557" s="6" t="n"/>
      <c r="J557" s="7" t="n"/>
      <c r="K557" s="1" t="n"/>
      <c r="L557" s="8" t="n"/>
      <c r="M557" s="8" t="n"/>
    </row>
    <row r="558" ht="12.75" customHeight="1">
      <c r="I558" s="6" t="n"/>
      <c r="J558" s="7" t="n"/>
      <c r="K558" s="1" t="n"/>
      <c r="L558" s="8" t="n"/>
      <c r="M558" s="8" t="n"/>
    </row>
    <row r="559" ht="12.75" customHeight="1">
      <c r="I559" s="6" t="n"/>
      <c r="J559" s="7" t="n"/>
      <c r="K559" s="1" t="n"/>
      <c r="L559" s="8" t="n"/>
      <c r="M559" s="8" t="n"/>
    </row>
    <row r="560" ht="12.75" customHeight="1">
      <c r="I560" s="6" t="n"/>
      <c r="J560" s="7" t="n"/>
      <c r="K560" s="1" t="n"/>
      <c r="L560" s="8" t="n"/>
      <c r="M560" s="8" t="n"/>
    </row>
    <row r="561" ht="12.75" customHeight="1">
      <c r="I561" s="6" t="n"/>
      <c r="J561" s="7" t="n"/>
      <c r="K561" s="1" t="n"/>
      <c r="L561" s="8" t="n"/>
      <c r="M561" s="8" t="n"/>
    </row>
    <row r="562" ht="12.75" customHeight="1">
      <c r="I562" s="545" t="n"/>
      <c r="J562" s="6" t="n"/>
      <c r="K562" s="7" t="n"/>
      <c r="L562" s="1" t="n"/>
      <c r="M562" s="8" t="n"/>
    </row>
    <row r="563" ht="12.75" customHeight="1">
      <c r="M563" s="8" t="n"/>
    </row>
    <row r="564" ht="12.75" customHeight="1">
      <c r="M564" s="8" t="n"/>
    </row>
    <row r="565" ht="12.75" customHeight="1">
      <c r="M565" s="8" t="n"/>
    </row>
    <row r="566" ht="12.75" customHeight="1">
      <c r="M566" s="8" t="n"/>
    </row>
  </sheetData>
  <mergeCells count="68">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68:D79"/>
    <mergeCell ref="D55:D57"/>
    <mergeCell ref="A68:A79"/>
    <mergeCell ref="B58:B59"/>
    <mergeCell ref="D102:D106"/>
    <mergeCell ref="B14:B15"/>
    <mergeCell ref="B45:B47"/>
    <mergeCell ref="A12:A13"/>
    <mergeCell ref="O5:P5"/>
    <mergeCell ref="C12:C13"/>
    <mergeCell ref="C68:C79"/>
    <mergeCell ref="A99:A100"/>
    <mergeCell ref="B107:B108"/>
    <mergeCell ref="C99:C100"/>
    <mergeCell ref="C89:C98"/>
    <mergeCell ref="D107:D108"/>
    <mergeCell ref="D12:D13"/>
    <mergeCell ref="B25:B27"/>
    <mergeCell ref="A102:A106"/>
    <mergeCell ref="B28:B29"/>
    <mergeCell ref="C107:C108"/>
    <mergeCell ref="C102:C106"/>
    <mergeCell ref="D28:D29"/>
    <mergeCell ref="A14:A15"/>
    <mergeCell ref="D62:D63"/>
    <mergeCell ref="A45:A47"/>
    <mergeCell ref="C45:C47"/>
    <mergeCell ref="A16:A24"/>
    <mergeCell ref="B99:B100"/>
    <mergeCell ref="D58:D59"/>
    <mergeCell ref="B16:B24"/>
    <mergeCell ref="B102:B106"/>
    <mergeCell ref="A62:A63"/>
    <mergeCell ref="A89:A98"/>
    <mergeCell ref="C62:C63"/>
    <mergeCell ref="D14:D15"/>
    <mergeCell ref="O8:P8"/>
    <mergeCell ref="D45:D47"/>
    <mergeCell ref="B30:B44"/>
    <mergeCell ref="D30:D44"/>
    <mergeCell ref="C25:C27"/>
    <mergeCell ref="A28:A29"/>
    <mergeCell ref="C28:C29"/>
    <mergeCell ref="A25:A27"/>
    <mergeCell ref="A1:L1"/>
    <mergeCell ref="C14:C15"/>
    <mergeCell ref="A55:A57"/>
    <mergeCell ref="C55:C57"/>
    <mergeCell ref="A107:A108"/>
    <mergeCell ref="A58:A59"/>
    <mergeCell ref="C58:C59"/>
    <mergeCell ref="C16:C24"/>
    <mergeCell ref="B89:B98"/>
  </mergeCells>
  <conditionalFormatting sqref="D1:D11 D48:D54 D60:D61 D64:D67 D109:D1048576">
    <cfRule type="cellIs" priority="289" operator="lessThan" dxfId="0">
      <formula>0</formula>
    </cfRule>
  </conditionalFormatting>
  <conditionalFormatting sqref="D80:D88 D101">
    <cfRule type="cellIs" priority="30"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25" zoomScale="90" zoomScaleNormal="90" workbookViewId="0">
      <selection activeCell="A33" sqref="A33:XFD33"/>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603" t="inlineStr">
        <is>
          <t>WV 5&amp;6 - Operations Manpower</t>
        </is>
      </c>
      <c r="B1" s="522" t="n"/>
      <c r="C1" s="522" t="n"/>
      <c r="D1" s="522" t="n"/>
      <c r="E1" s="522" t="n"/>
      <c r="F1" s="522" t="n"/>
      <c r="G1" s="522" t="n"/>
      <c r="H1" s="523" t="n"/>
    </row>
    <row r="2" ht="30" customHeight="1">
      <c r="A2" s="317" t="inlineStr">
        <is>
          <t>Sl No.</t>
        </is>
      </c>
      <c r="B2" s="317" t="inlineStr">
        <is>
          <t>Service Description</t>
        </is>
      </c>
      <c r="C2" s="317" t="inlineStr">
        <is>
          <t>Quantity</t>
        </is>
      </c>
      <c r="D2" s="317" t="inlineStr">
        <is>
          <t xml:space="preserve">Onsite </t>
        </is>
      </c>
      <c r="E2" s="317" t="inlineStr">
        <is>
          <t xml:space="preserve">Pending </t>
        </is>
      </c>
      <c r="F2" s="318" t="inlineStr">
        <is>
          <t xml:space="preserve">Releiver </t>
        </is>
      </c>
      <c r="G2" s="319" t="inlineStr">
        <is>
          <t>Site Remark</t>
        </is>
      </c>
      <c r="H2" s="319" t="inlineStr">
        <is>
          <t>HO Operation Remark</t>
        </is>
      </c>
    </row>
    <row r="3" ht="30" customHeight="1">
      <c r="A3" s="320" t="inlineStr">
        <is>
          <t>A</t>
        </is>
      </c>
      <c r="B3" s="321" t="inlineStr">
        <is>
          <t>Camp Management</t>
        </is>
      </c>
      <c r="C3" s="320">
        <f>SUM(C4:C8)</f>
        <v/>
      </c>
      <c r="D3" s="320">
        <f>SUM(D4:D8)</f>
        <v/>
      </c>
      <c r="E3" s="320">
        <f>SUM(E4:E8)</f>
        <v/>
      </c>
      <c r="F3" s="322" t="n"/>
      <c r="G3" s="322" t="n"/>
      <c r="H3" s="322" t="n"/>
    </row>
    <row r="4" ht="30" customHeight="1">
      <c r="A4" s="323" t="n">
        <v>1</v>
      </c>
      <c r="B4" s="324" t="inlineStr">
        <is>
          <t>Project Manager</t>
        </is>
      </c>
      <c r="C4" s="323" t="n">
        <v>1</v>
      </c>
      <c r="D4" s="323" t="n">
        <v>0</v>
      </c>
      <c r="E4" s="323">
        <f>C4-D4</f>
        <v/>
      </c>
      <c r="F4" s="325" t="n"/>
      <c r="G4" s="326" t="n"/>
      <c r="H4" s="326" t="n"/>
    </row>
    <row r="5" ht="30" customHeight="1">
      <c r="A5" s="323" t="n">
        <v>2</v>
      </c>
      <c r="B5" s="324" t="inlineStr">
        <is>
          <t>Accommodation Admin</t>
        </is>
      </c>
      <c r="C5" s="323" t="n">
        <v>1</v>
      </c>
      <c r="D5" s="323" t="n">
        <v>0</v>
      </c>
      <c r="E5" s="323">
        <f>C5-D5</f>
        <v/>
      </c>
      <c r="F5" s="325" t="n"/>
      <c r="G5" s="327" t="inlineStr">
        <is>
          <t>MRF To be raised</t>
        </is>
      </c>
      <c r="H5" s="327" t="n"/>
    </row>
    <row r="6" ht="30" customHeight="1">
      <c r="A6" s="323" t="n">
        <v>3</v>
      </c>
      <c r="B6" s="324" t="inlineStr">
        <is>
          <t>Warehouse Incharge</t>
        </is>
      </c>
      <c r="C6" s="323" t="n">
        <v>1</v>
      </c>
      <c r="D6" s="323" t="n">
        <v>1</v>
      </c>
      <c r="E6" s="323">
        <f>C6-D6</f>
        <v/>
      </c>
      <c r="F6" s="325" t="n"/>
      <c r="G6" s="327" t="n"/>
      <c r="H6" s="327" t="n"/>
    </row>
    <row r="7" ht="30" customHeight="1">
      <c r="A7" s="323" t="n">
        <v>4</v>
      </c>
      <c r="B7" s="324" t="inlineStr">
        <is>
          <t>CAFM Operator/Admin</t>
        </is>
      </c>
      <c r="C7" s="323" t="n">
        <v>1</v>
      </c>
      <c r="D7" s="323" t="n">
        <v>1</v>
      </c>
      <c r="E7" s="323">
        <f>C7-D7</f>
        <v/>
      </c>
      <c r="F7" s="325" t="n"/>
      <c r="G7" s="326" t="n"/>
      <c r="H7" s="326" t="n"/>
    </row>
    <row r="8" ht="30" customHeight="1">
      <c r="A8" s="323" t="n">
        <v>5</v>
      </c>
      <c r="B8" s="324" t="inlineStr">
        <is>
          <t>Document Controller</t>
        </is>
      </c>
      <c r="C8" s="323" t="n">
        <v>1</v>
      </c>
      <c r="D8" s="323" t="n">
        <v>1</v>
      </c>
      <c r="E8" s="323">
        <f>C8-D8</f>
        <v/>
      </c>
      <c r="F8" s="325" t="n"/>
      <c r="G8" s="326" t="n"/>
      <c r="H8" s="326" t="n"/>
    </row>
    <row r="9" ht="30" customHeight="1">
      <c r="A9" s="320" t="inlineStr">
        <is>
          <t>B</t>
        </is>
      </c>
      <c r="B9" s="321" t="inlineStr">
        <is>
          <t>Soft Services</t>
        </is>
      </c>
      <c r="C9" s="320">
        <f>SUM(C10:C18)</f>
        <v/>
      </c>
      <c r="D9" s="320">
        <f>SUM(D10:D18)</f>
        <v/>
      </c>
      <c r="E9" s="320">
        <f>SUM(E10:E18)</f>
        <v/>
      </c>
      <c r="F9" s="322" t="n"/>
      <c r="G9" s="322" t="n"/>
      <c r="H9" s="322" t="n"/>
    </row>
    <row r="10" ht="30" customHeight="1">
      <c r="A10" s="323" t="n">
        <v>1</v>
      </c>
      <c r="B10" s="324" t="inlineStr">
        <is>
          <t>Soft Service Manager</t>
        </is>
      </c>
      <c r="C10" s="323" t="n">
        <v>1</v>
      </c>
      <c r="D10" s="323" t="n">
        <v>1</v>
      </c>
      <c r="E10" s="323">
        <f>C10-D10</f>
        <v/>
      </c>
      <c r="F10" s="325" t="n"/>
      <c r="G10" s="327" t="n"/>
      <c r="H10" s="328" t="n"/>
    </row>
    <row r="11" ht="30" customHeight="1">
      <c r="A11" s="323" t="n">
        <v>2</v>
      </c>
      <c r="B11" s="329" t="inlineStr">
        <is>
          <t>Housekeeping Supervisor</t>
        </is>
      </c>
      <c r="C11" s="325" t="n">
        <v>2</v>
      </c>
      <c r="D11" s="323" t="n">
        <v>1</v>
      </c>
      <c r="E11" s="323">
        <f>C11-D11</f>
        <v/>
      </c>
      <c r="F11" s="325" t="n"/>
      <c r="G11" s="327" t="inlineStr">
        <is>
          <t>MRF To be raised</t>
        </is>
      </c>
      <c r="H11" s="327" t="n"/>
    </row>
    <row r="12" ht="30" customHeight="1">
      <c r="A12" s="323" t="n">
        <v>3</v>
      </c>
      <c r="B12" s="329" t="inlineStr">
        <is>
          <t>Landscape Supervisor</t>
        </is>
      </c>
      <c r="C12" s="325" t="n">
        <v>2</v>
      </c>
      <c r="D12" s="323" t="n">
        <v>2</v>
      </c>
      <c r="E12" s="323">
        <f>C12-D12</f>
        <v/>
      </c>
      <c r="F12" s="325" t="n"/>
      <c r="G12" s="327" t="n"/>
      <c r="H12" s="327" t="n"/>
    </row>
    <row r="13" ht="30" customHeight="1">
      <c r="A13" s="323" t="n">
        <v>4</v>
      </c>
      <c r="B13" s="329" t="inlineStr">
        <is>
          <t>Housekeepers - Male</t>
        </is>
      </c>
      <c r="C13" s="325" t="n">
        <v>9</v>
      </c>
      <c r="D13" s="323" t="n">
        <v>9</v>
      </c>
      <c r="E13" s="323">
        <f>C13-D13</f>
        <v/>
      </c>
      <c r="F13" s="325" t="n"/>
      <c r="G13" s="326" t="n"/>
      <c r="H13" s="326" t="n"/>
    </row>
    <row r="14" ht="30" customHeight="1">
      <c r="A14" s="323" t="n">
        <v>5</v>
      </c>
      <c r="B14" s="329" t="inlineStr">
        <is>
          <t>External Cleaners</t>
        </is>
      </c>
      <c r="C14" s="325" t="n">
        <v>3</v>
      </c>
      <c r="D14" s="323" t="n">
        <v>3</v>
      </c>
      <c r="E14" s="323">
        <f>C14-D14</f>
        <v/>
      </c>
      <c r="F14" s="325" t="n"/>
      <c r="G14" s="326" t="n"/>
      <c r="H14" s="326" t="n"/>
    </row>
    <row r="15" ht="30" customHeight="1">
      <c r="A15" s="323" t="n">
        <v>6</v>
      </c>
      <c r="B15" s="329" t="inlineStr">
        <is>
          <t>Litter Picker</t>
        </is>
      </c>
      <c r="C15" s="325" t="n">
        <v>2</v>
      </c>
      <c r="D15" s="323" t="n">
        <v>2</v>
      </c>
      <c r="E15" s="323">
        <f>C15-D15</f>
        <v/>
      </c>
      <c r="F15" s="325" t="n"/>
      <c r="G15" s="326" t="n"/>
      <c r="H15" s="326" t="n"/>
    </row>
    <row r="16" ht="30" customHeight="1">
      <c r="A16" s="323" t="n">
        <v>7</v>
      </c>
      <c r="B16" s="329" t="inlineStr">
        <is>
          <t>Gardener</t>
        </is>
      </c>
      <c r="C16" s="325" t="n">
        <v>15</v>
      </c>
      <c r="D16" s="323" t="n">
        <v>15</v>
      </c>
      <c r="E16" s="323">
        <f>C16-D16</f>
        <v/>
      </c>
      <c r="F16" s="325" t="n"/>
      <c r="G16" s="327" t="n"/>
      <c r="H16" s="327" t="n"/>
    </row>
    <row r="17" ht="30" customHeight="1">
      <c r="A17" s="323" t="n">
        <v>8</v>
      </c>
      <c r="B17" s="329" t="inlineStr">
        <is>
          <t>Laundry Operator</t>
        </is>
      </c>
      <c r="C17" s="325" t="n">
        <v>3</v>
      </c>
      <c r="D17" s="323" t="n">
        <v>0</v>
      </c>
      <c r="E17" s="323">
        <f>C17-D17</f>
        <v/>
      </c>
      <c r="F17" s="325" t="n"/>
      <c r="G17" s="327" t="inlineStr">
        <is>
          <t>MRF To be raised</t>
        </is>
      </c>
      <c r="H17" s="327" t="inlineStr">
        <is>
          <t>The laundry is not in operational</t>
        </is>
      </c>
    </row>
    <row r="18" ht="30" customHeight="1">
      <c r="A18" s="323" t="n">
        <v>9</v>
      </c>
      <c r="B18" s="329" t="inlineStr">
        <is>
          <t>Pest Control Technician</t>
        </is>
      </c>
      <c r="C18" s="325" t="n">
        <v>1</v>
      </c>
      <c r="D18" s="323" t="n">
        <v>1</v>
      </c>
      <c r="E18" s="323">
        <f>C18-D18</f>
        <v/>
      </c>
      <c r="F18" s="325" t="n"/>
      <c r="G18" s="327" t="n"/>
      <c r="H18" s="327" t="n"/>
    </row>
    <row r="19" ht="30" customHeight="1">
      <c r="A19" s="320" t="inlineStr">
        <is>
          <t>C</t>
        </is>
      </c>
      <c r="B19" s="321" t="inlineStr">
        <is>
          <t>Hard Services</t>
        </is>
      </c>
      <c r="C19" s="322">
        <f>SUM(C20:C33)</f>
        <v/>
      </c>
      <c r="D19" s="322">
        <f>SUM(D20:D33)</f>
        <v/>
      </c>
      <c r="E19" s="322">
        <f>SUM(E20:E33)</f>
        <v/>
      </c>
      <c r="F19" s="322" t="n"/>
      <c r="G19" s="322" t="n"/>
      <c r="H19" s="322" t="n"/>
    </row>
    <row r="20" ht="30" customHeight="1">
      <c r="A20" s="323" t="n">
        <v>1</v>
      </c>
      <c r="B20" s="324" t="inlineStr">
        <is>
          <t>HS Manager</t>
        </is>
      </c>
      <c r="C20" s="325" t="n">
        <v>1</v>
      </c>
      <c r="D20" s="323" t="n">
        <v>1</v>
      </c>
      <c r="E20" s="323">
        <f>C20-D20</f>
        <v/>
      </c>
      <c r="F20" s="325" t="n"/>
      <c r="G20" s="326" t="n"/>
      <c r="H20" s="326" t="n"/>
    </row>
    <row r="21" ht="30" customHeight="1">
      <c r="A21" s="323" t="n">
        <v>2</v>
      </c>
      <c r="B21" s="329" t="inlineStr">
        <is>
          <t>Facilities Engineer</t>
        </is>
      </c>
      <c r="C21" s="325" t="n">
        <v>1</v>
      </c>
      <c r="D21" s="323" t="n">
        <v>1</v>
      </c>
      <c r="E21" s="323">
        <f>C21-D21</f>
        <v/>
      </c>
      <c r="F21" s="325" t="n"/>
      <c r="G21" s="326" t="n"/>
      <c r="H21" s="326" t="n"/>
    </row>
    <row r="22" ht="30" customHeight="1">
      <c r="A22" s="323" t="n">
        <v>3</v>
      </c>
      <c r="B22" s="329" t="inlineStr">
        <is>
          <t>FLS Specialist</t>
        </is>
      </c>
      <c r="C22" s="325" t="n">
        <v>1</v>
      </c>
      <c r="D22" s="323" t="n">
        <v>1</v>
      </c>
      <c r="E22" s="323">
        <f>C22-D22</f>
        <v/>
      </c>
      <c r="F22" s="325" t="n"/>
      <c r="G22" s="326" t="n"/>
      <c r="H22" s="326" t="n"/>
    </row>
    <row r="23" ht="30" customHeight="1">
      <c r="A23" s="323" t="n">
        <v>4</v>
      </c>
      <c r="B23" s="329" t="inlineStr">
        <is>
          <t>Electrical Supervisor</t>
        </is>
      </c>
      <c r="C23" s="323" t="n">
        <v>1</v>
      </c>
      <c r="D23" s="323" t="n">
        <v>1</v>
      </c>
      <c r="E23" s="323">
        <f>C23-D23</f>
        <v/>
      </c>
      <c r="F23" s="325" t="n"/>
      <c r="G23" s="326" t="n"/>
      <c r="H23" s="326" t="n"/>
    </row>
    <row r="24" ht="30" customHeight="1">
      <c r="A24" s="323" t="n">
        <v>5</v>
      </c>
      <c r="B24" s="329" t="inlineStr">
        <is>
          <t>MEP Supervisor</t>
        </is>
      </c>
      <c r="C24" s="323" t="n">
        <v>1</v>
      </c>
      <c r="D24" s="323" t="n">
        <v>1</v>
      </c>
      <c r="E24" s="323">
        <f>C24-D24</f>
        <v/>
      </c>
      <c r="F24" s="325" t="n"/>
      <c r="G24" s="326" t="n"/>
      <c r="H24" s="326" t="n"/>
    </row>
    <row r="25" ht="30" customFormat="1" customHeight="1" s="155">
      <c r="A25" s="323" t="n">
        <v>6</v>
      </c>
      <c r="B25" s="324" t="inlineStr">
        <is>
          <t>Civil Supervisor</t>
        </is>
      </c>
      <c r="C25" s="323" t="n">
        <v>1</v>
      </c>
      <c r="D25" s="323" t="n">
        <v>1</v>
      </c>
      <c r="E25" s="323">
        <f>C25-D25</f>
        <v/>
      </c>
      <c r="F25" s="325" t="n"/>
      <c r="G25" s="327" t="n"/>
      <c r="H25" s="327" t="n"/>
    </row>
    <row r="26" ht="30" customHeight="1">
      <c r="A26" s="323" t="n">
        <v>7</v>
      </c>
      <c r="B26" s="329" t="inlineStr">
        <is>
          <t>HVAC Technician</t>
        </is>
      </c>
      <c r="C26" s="330" t="n">
        <v>3</v>
      </c>
      <c r="D26" s="323" t="n">
        <v>2</v>
      </c>
      <c r="E26" s="323">
        <f>C26-D26</f>
        <v/>
      </c>
      <c r="F26" s="325" t="n"/>
      <c r="G26" s="327" t="inlineStr">
        <is>
          <t>MRF To be raised</t>
        </is>
      </c>
      <c r="H26" s="327" t="n"/>
    </row>
    <row r="27" ht="30" customHeight="1">
      <c r="A27" s="323" t="n">
        <v>8</v>
      </c>
      <c r="B27" s="329" t="inlineStr">
        <is>
          <t>Electrician</t>
        </is>
      </c>
      <c r="C27" s="323" t="n">
        <v>2</v>
      </c>
      <c r="D27" s="323" t="n">
        <v>2</v>
      </c>
      <c r="E27" s="323">
        <f>C27-D27</f>
        <v/>
      </c>
      <c r="F27" s="325" t="n"/>
      <c r="G27" s="326" t="n"/>
      <c r="H27" s="328" t="n"/>
    </row>
    <row r="28" ht="30" customHeight="1">
      <c r="A28" s="323" t="n">
        <v>9</v>
      </c>
      <c r="B28" s="329" t="inlineStr">
        <is>
          <t>Multi Skilled Technician</t>
        </is>
      </c>
      <c r="C28" s="323" t="n">
        <v>1</v>
      </c>
      <c r="D28" s="323" t="n">
        <v>1</v>
      </c>
      <c r="E28" s="323">
        <f>C28-D28</f>
        <v/>
      </c>
      <c r="F28" s="325" t="n"/>
      <c r="G28" s="327" t="n"/>
      <c r="H28" s="327" t="n"/>
    </row>
    <row r="29" ht="30" customHeight="1">
      <c r="A29" s="323" t="n">
        <v>10</v>
      </c>
      <c r="B29" s="329" t="inlineStr">
        <is>
          <t>IT Technician</t>
        </is>
      </c>
      <c r="C29" s="323" t="n">
        <v>1</v>
      </c>
      <c r="D29" s="323" t="n">
        <v>1</v>
      </c>
      <c r="E29" s="323">
        <f>C29-D29</f>
        <v/>
      </c>
      <c r="F29" s="325" t="n"/>
      <c r="G29" s="328" t="n"/>
      <c r="H29" s="328" t="n"/>
    </row>
    <row r="30" ht="30" customHeight="1">
      <c r="A30" s="323" t="n">
        <v>11</v>
      </c>
      <c r="B30" s="329" t="inlineStr">
        <is>
          <t>Mechanical Technician</t>
        </is>
      </c>
      <c r="C30" s="323" t="n">
        <v>2</v>
      </c>
      <c r="D30" s="323" t="n">
        <v>0</v>
      </c>
      <c r="E30" s="323">
        <f>C30-D30</f>
        <v/>
      </c>
      <c r="F30" s="325" t="n"/>
      <c r="G30" s="327" t="inlineStr">
        <is>
          <t>MRF To be raised</t>
        </is>
      </c>
      <c r="H30" s="327" t="n"/>
    </row>
    <row r="31" ht="30" customHeight="1">
      <c r="A31" s="323" t="n">
        <v>12</v>
      </c>
      <c r="B31" s="329" t="inlineStr">
        <is>
          <t>Civil Technician</t>
        </is>
      </c>
      <c r="C31" s="323" t="n">
        <v>1</v>
      </c>
      <c r="D31" s="323" t="n">
        <v>1</v>
      </c>
      <c r="E31" s="323">
        <f>C31-D31</f>
        <v/>
      </c>
      <c r="F31" s="325" t="n"/>
      <c r="G31" s="327" t="n"/>
      <c r="H31" s="327" t="n"/>
    </row>
    <row r="32" ht="30" customFormat="1" customHeight="1" s="334">
      <c r="A32" s="331" t="n">
        <v>13</v>
      </c>
      <c r="B32" s="332" t="inlineStr">
        <is>
          <t>Swimming Pool Technician</t>
        </is>
      </c>
      <c r="C32" s="331" t="n">
        <v>1</v>
      </c>
      <c r="D32" s="331" t="n">
        <v>1</v>
      </c>
      <c r="E32" s="331">
        <f>C32-D32</f>
        <v/>
      </c>
      <c r="F32" s="333" t="n"/>
      <c r="G32" s="331" t="n"/>
      <c r="H32" s="331" t="n"/>
    </row>
    <row r="33" ht="30" customHeight="1">
      <c r="A33" s="323" t="n">
        <v>14</v>
      </c>
      <c r="B33" s="329" t="inlineStr">
        <is>
          <t>FLS Technician</t>
        </is>
      </c>
      <c r="C33" s="323" t="n">
        <v>1</v>
      </c>
      <c r="D33" s="323" t="n">
        <v>1</v>
      </c>
      <c r="E33" s="323">
        <f>C33-D33</f>
        <v/>
      </c>
      <c r="F33" s="325" t="n"/>
      <c r="G33" s="326" t="n"/>
      <c r="H33" s="326" t="n"/>
    </row>
    <row r="34" ht="30" customHeight="1">
      <c r="A34" s="320" t="inlineStr">
        <is>
          <t>D</t>
        </is>
      </c>
      <c r="B34" s="321" t="inlineStr">
        <is>
          <t>Security</t>
        </is>
      </c>
      <c r="C34" s="320" t="n">
        <v>13</v>
      </c>
      <c r="D34" s="322" t="n">
        <v>12</v>
      </c>
      <c r="E34" s="320" t="n">
        <v>1</v>
      </c>
      <c r="F34" s="322" t="n"/>
      <c r="G34" s="322" t="n"/>
      <c r="H34" s="322" t="n"/>
    </row>
    <row r="35" ht="30" customHeight="1">
      <c r="A35" s="323" t="n">
        <v>1</v>
      </c>
      <c r="B35" s="324" t="inlineStr">
        <is>
          <t>Security Supervisor</t>
        </is>
      </c>
      <c r="C35" s="323" t="n">
        <v>1</v>
      </c>
      <c r="D35" s="323" t="n">
        <v>1</v>
      </c>
      <c r="E35" s="323">
        <f>C35-D35</f>
        <v/>
      </c>
      <c r="F35" s="325" t="n"/>
      <c r="G35" s="326" t="n"/>
      <c r="H35" s="328" t="n"/>
    </row>
    <row r="36" ht="30" customHeight="1">
      <c r="A36" s="323" t="n">
        <v>2</v>
      </c>
      <c r="B36" s="324" t="inlineStr">
        <is>
          <t>Security Guard</t>
        </is>
      </c>
      <c r="C36" s="323" t="n">
        <v>12</v>
      </c>
      <c r="D36" s="323" t="n">
        <v>11</v>
      </c>
      <c r="E36" s="323">
        <f>C36-D36</f>
        <v/>
      </c>
      <c r="F36" s="325" t="n"/>
      <c r="G36" s="326" t="n"/>
      <c r="H36" s="327" t="n"/>
    </row>
    <row r="37" ht="30" customHeight="1">
      <c r="A37" s="320" t="inlineStr">
        <is>
          <t>E</t>
        </is>
      </c>
      <c r="B37" s="335" t="inlineStr">
        <is>
          <t>HSE</t>
        </is>
      </c>
      <c r="C37" s="320">
        <f>SUM(C38)</f>
        <v/>
      </c>
      <c r="D37" s="320">
        <f>SUM(D38)</f>
        <v/>
      </c>
      <c r="E37" s="320">
        <f>SUM(E38)</f>
        <v/>
      </c>
      <c r="F37" s="322" t="n"/>
      <c r="G37" s="322" t="n"/>
      <c r="H37" s="322" t="n"/>
    </row>
    <row r="38" ht="30" customHeight="1">
      <c r="A38" s="323" t="n">
        <v>1</v>
      </c>
      <c r="B38" s="324" t="inlineStr">
        <is>
          <t>Safety Officer</t>
        </is>
      </c>
      <c r="C38" s="323" t="n">
        <v>1</v>
      </c>
      <c r="D38" s="323" t="n">
        <v>1</v>
      </c>
      <c r="E38" s="323">
        <f>C38-D38</f>
        <v/>
      </c>
      <c r="F38" s="325" t="n"/>
      <c r="G38" s="326" t="n"/>
      <c r="H38" s="326" t="n"/>
    </row>
    <row r="39" ht="30" customHeight="1">
      <c r="B39" s="336" t="inlineStr">
        <is>
          <t>Total Manpower</t>
        </is>
      </c>
      <c r="C39" s="337">
        <f>SUM(C3+C9+C19+C34+C37)</f>
        <v/>
      </c>
      <c r="D39" s="337">
        <f>SUM(D3+D9+D19+D34+D37)</f>
        <v/>
      </c>
      <c r="E39" s="337">
        <f>SUM(E3+E9+E19+E34+E37)</f>
        <v/>
      </c>
      <c r="F39" s="337"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O34"/>
  <sheetViews>
    <sheetView workbookViewId="0">
      <selection activeCell="N29" sqref="N29"/>
    </sheetView>
  </sheetViews>
  <sheetFormatPr baseColWidth="8" defaultColWidth="9.375" defaultRowHeight="12.75"/>
  <cols>
    <col width="5.625" bestFit="1" customWidth="1" style="1" min="1" max="1"/>
    <col width="18.125" customWidth="1" style="2" min="2" max="2"/>
    <col width="13.25" bestFit="1" customWidth="1" style="2" min="3" max="3"/>
    <col width="19.125" bestFit="1" customWidth="1" style="3" min="4" max="4"/>
    <col width="25.875" bestFit="1" customWidth="1" style="4" min="5" max="5"/>
    <col width="15" bestFit="1" customWidth="1" style="1" min="6" max="6"/>
    <col width="8" bestFit="1" customWidth="1" style="1" min="7" max="7"/>
    <col width="17.375" bestFit="1" customWidth="1" style="1" min="8" max="8"/>
    <col width="12.25" bestFit="1" customWidth="1" style="2" min="9" max="9"/>
    <col width="8.375" bestFit="1" customWidth="1" style="545" min="10" max="10"/>
    <col width="9.375" customWidth="1" style="6" min="11" max="11"/>
    <col width="9.375" customWidth="1" style="7" min="12" max="12"/>
    <col width="6.75" customWidth="1" style="1" min="13" max="13"/>
    <col width="30.625" customWidth="1" style="8" min="14" max="14"/>
    <col width="9.625" customWidth="1" style="8" min="15" max="15"/>
    <col width="9.375" customWidth="1" style="8" min="16" max="16384"/>
  </cols>
  <sheetData>
    <row r="1" ht="21.75" customHeight="1" thickBot="1">
      <c r="A1" s="485" t="inlineStr">
        <is>
          <t>Manpower for Public Golf Club</t>
        </is>
      </c>
      <c r="B1" s="604" t="n"/>
      <c r="C1" s="604" t="n"/>
      <c r="D1" s="604" t="n"/>
      <c r="E1" s="604" t="n"/>
      <c r="F1" s="604" t="n"/>
      <c r="G1" s="604" t="n"/>
      <c r="H1" s="604" t="n"/>
      <c r="I1" s="604" t="n"/>
      <c r="J1" s="604" t="n"/>
      <c r="K1" s="348" t="n"/>
      <c r="L1" s="348" t="n"/>
      <c r="M1" s="348" t="n"/>
      <c r="N1" s="348" t="n"/>
      <c r="O1" s="348" t="n"/>
    </row>
    <row r="2" ht="16.5" customHeight="1" thickBot="1">
      <c r="A2" s="349" t="inlineStr">
        <is>
          <t>Sr No</t>
        </is>
      </c>
      <c r="B2" s="350" t="inlineStr">
        <is>
          <t xml:space="preserve">Employee Name </t>
        </is>
      </c>
      <c r="C2" s="350" t="inlineStr">
        <is>
          <t>Department</t>
        </is>
      </c>
      <c r="D2" s="350" t="inlineStr">
        <is>
          <t xml:space="preserve">Position </t>
        </is>
      </c>
      <c r="E2" s="350" t="inlineStr">
        <is>
          <t>Iqama Number/ Passport No</t>
        </is>
      </c>
      <c r="F2" s="350" t="inlineStr">
        <is>
          <t>Iqama/ Passport</t>
        </is>
      </c>
      <c r="G2" s="350" t="inlineStr">
        <is>
          <t>Qid Pass</t>
        </is>
      </c>
      <c r="H2" s="350" t="inlineStr">
        <is>
          <t xml:space="preserve">Induction Training </t>
        </is>
      </c>
      <c r="I2" s="350" t="inlineStr">
        <is>
          <t xml:space="preserve">Safety Shoes </t>
        </is>
      </c>
      <c r="J2" s="350" t="inlineStr">
        <is>
          <t xml:space="preserve">Uniform </t>
        </is>
      </c>
      <c r="K2" s="348" t="n"/>
      <c r="L2" s="348" t="n"/>
      <c r="M2" s="605" t="inlineStr">
        <is>
          <t>PGC MANPOWER</t>
        </is>
      </c>
      <c r="N2" s="522" t="n"/>
      <c r="O2" s="523" t="n"/>
    </row>
    <row r="3" ht="15" customHeight="1">
      <c r="A3" s="351" t="n">
        <v>1</v>
      </c>
      <c r="B3" s="352" t="inlineStr">
        <is>
          <t xml:space="preserve">Danish Rasheed </t>
        </is>
      </c>
      <c r="C3" s="352" t="inlineStr">
        <is>
          <t xml:space="preserve">Management </t>
        </is>
      </c>
      <c r="D3" s="352" t="inlineStr">
        <is>
          <t>Project Lead</t>
        </is>
      </c>
      <c r="E3" s="352" t="n">
        <v>2595856010</v>
      </c>
      <c r="F3" s="352" t="inlineStr">
        <is>
          <t xml:space="preserve">Availvable </t>
        </is>
      </c>
      <c r="G3" s="353" t="inlineStr">
        <is>
          <t>YES</t>
        </is>
      </c>
      <c r="H3" s="353" t="inlineStr">
        <is>
          <t>Yes</t>
        </is>
      </c>
      <c r="I3" s="353" t="inlineStr">
        <is>
          <t>NA</t>
        </is>
      </c>
      <c r="J3" s="353" t="inlineStr">
        <is>
          <t>NA</t>
        </is>
      </c>
      <c r="K3" s="348" t="n"/>
      <c r="L3" s="348" t="n"/>
      <c r="M3" s="354" t="n">
        <v>1</v>
      </c>
      <c r="N3" s="355" t="inlineStr">
        <is>
          <t>Project Lead</t>
        </is>
      </c>
      <c r="O3" s="356" t="n">
        <v>1</v>
      </c>
    </row>
    <row r="4" ht="15" customHeight="1">
      <c r="A4" s="351" t="n">
        <v>2</v>
      </c>
      <c r="B4" s="352" t="inlineStr">
        <is>
          <t>SOHRAB ANWAR</t>
        </is>
      </c>
      <c r="C4" s="352" t="inlineStr">
        <is>
          <t>HSE</t>
        </is>
      </c>
      <c r="D4" s="352" t="inlineStr">
        <is>
          <t>QHSE Officer</t>
        </is>
      </c>
      <c r="E4" s="352" t="n">
        <v>2623606700</v>
      </c>
      <c r="F4" s="352" t="inlineStr">
        <is>
          <t xml:space="preserve">Availvable </t>
        </is>
      </c>
      <c r="G4" s="353" t="n"/>
      <c r="H4" s="353" t="n"/>
      <c r="I4" s="353" t="n"/>
      <c r="J4" s="353" t="n"/>
      <c r="K4" s="348" t="n"/>
      <c r="L4" s="348" t="n"/>
      <c r="M4" s="354" t="n">
        <v>2</v>
      </c>
      <c r="N4" s="355" t="inlineStr">
        <is>
          <t>QHSE Officer</t>
        </is>
      </c>
      <c r="O4" s="356" t="n">
        <v>1</v>
      </c>
    </row>
    <row r="5" ht="15" customHeight="1">
      <c r="A5" s="351" t="n">
        <v>3</v>
      </c>
      <c r="B5" s="353" t="inlineStr">
        <is>
          <t>Shakeeb Ahmed</t>
        </is>
      </c>
      <c r="C5" s="353" t="inlineStr">
        <is>
          <t>SS</t>
        </is>
      </c>
      <c r="D5" s="357" t="inlineStr">
        <is>
          <t xml:space="preserve">Cleaning Supervisor </t>
        </is>
      </c>
      <c r="E5" s="353" t="inlineStr">
        <is>
          <t>SM1170962</t>
        </is>
      </c>
      <c r="F5" s="352" t="inlineStr">
        <is>
          <t xml:space="preserve">Availvable </t>
        </is>
      </c>
      <c r="G5" s="353" t="inlineStr">
        <is>
          <t>Yes</t>
        </is>
      </c>
      <c r="H5" s="353" t="inlineStr">
        <is>
          <t>Yes</t>
        </is>
      </c>
      <c r="I5" s="353" t="inlineStr">
        <is>
          <t>Yes</t>
        </is>
      </c>
      <c r="J5" s="353" t="inlineStr">
        <is>
          <t>NO</t>
        </is>
      </c>
      <c r="K5" s="348" t="n"/>
      <c r="L5" s="348" t="n"/>
      <c r="M5" s="354" t="n">
        <v>2</v>
      </c>
      <c r="N5" s="355" t="inlineStr">
        <is>
          <t>Cleaning Supervisors</t>
        </is>
      </c>
      <c r="O5" s="356" t="n">
        <v>2</v>
      </c>
    </row>
    <row r="6" ht="15" customHeight="1">
      <c r="A6" s="351" t="n">
        <v>4</v>
      </c>
      <c r="B6" s="357" t="inlineStr">
        <is>
          <t xml:space="preserve">Sohel Rana </t>
        </is>
      </c>
      <c r="C6" s="357" t="inlineStr">
        <is>
          <t>SS</t>
        </is>
      </c>
      <c r="D6" s="357" t="inlineStr">
        <is>
          <t xml:space="preserve">Cleaning Supervisor </t>
        </is>
      </c>
      <c r="E6" s="357" t="inlineStr">
        <is>
          <t>EA0113872</t>
        </is>
      </c>
      <c r="F6" s="358" t="inlineStr">
        <is>
          <t xml:space="preserve">Availvable </t>
        </is>
      </c>
      <c r="G6" s="352" t="inlineStr">
        <is>
          <t>No</t>
        </is>
      </c>
      <c r="H6" s="353" t="n"/>
      <c r="I6" s="353" t="n"/>
      <c r="J6" s="353" t="n"/>
      <c r="K6" s="348" t="n"/>
      <c r="L6" s="348" t="n"/>
      <c r="M6" s="354" t="n">
        <v>3</v>
      </c>
      <c r="N6" s="355" t="inlineStr">
        <is>
          <t>Cleaner - Male</t>
        </is>
      </c>
      <c r="O6" s="356" t="n">
        <v>4</v>
      </c>
    </row>
    <row r="7" ht="15" customHeight="1">
      <c r="A7" s="351" t="n">
        <v>5</v>
      </c>
      <c r="B7" s="353" t="inlineStr">
        <is>
          <t>MD Shohel</t>
        </is>
      </c>
      <c r="C7" s="353" t="inlineStr">
        <is>
          <t>SS</t>
        </is>
      </c>
      <c r="D7" s="353" t="inlineStr">
        <is>
          <t xml:space="preserve">Male Cleaner </t>
        </is>
      </c>
      <c r="E7" s="353" t="inlineStr">
        <is>
          <t>A17224134</t>
        </is>
      </c>
      <c r="F7" s="352" t="inlineStr">
        <is>
          <t xml:space="preserve">Availvable </t>
        </is>
      </c>
      <c r="G7" s="353" t="inlineStr">
        <is>
          <t>Yes</t>
        </is>
      </c>
      <c r="H7" s="353" t="inlineStr">
        <is>
          <t>Yes</t>
        </is>
      </c>
      <c r="I7" s="359" t="inlineStr">
        <is>
          <t>No</t>
        </is>
      </c>
      <c r="J7" s="353" t="inlineStr">
        <is>
          <t>NO</t>
        </is>
      </c>
      <c r="K7" s="348" t="n"/>
      <c r="L7" s="348" t="n"/>
      <c r="M7" s="354" t="n">
        <v>3</v>
      </c>
      <c r="N7" s="355" t="inlineStr">
        <is>
          <t>Cleaner - Female</t>
        </is>
      </c>
      <c r="O7" s="356" t="n">
        <v>4</v>
      </c>
    </row>
    <row r="8" ht="15" customHeight="1">
      <c r="A8" s="351" t="n">
        <v>6</v>
      </c>
      <c r="B8" s="353" t="inlineStr">
        <is>
          <t>Anichur Rahman</t>
        </is>
      </c>
      <c r="C8" s="353" t="inlineStr">
        <is>
          <t>SS</t>
        </is>
      </c>
      <c r="D8" s="353" t="inlineStr">
        <is>
          <t xml:space="preserve">Male Cleaner </t>
        </is>
      </c>
      <c r="E8" s="353" t="inlineStr">
        <is>
          <t>A07937039</t>
        </is>
      </c>
      <c r="F8" s="352" t="inlineStr">
        <is>
          <t xml:space="preserve">Availvable </t>
        </is>
      </c>
      <c r="G8" s="353" t="inlineStr">
        <is>
          <t>Yes</t>
        </is>
      </c>
      <c r="H8" s="353" t="inlineStr">
        <is>
          <t>Yes</t>
        </is>
      </c>
      <c r="I8" s="353" t="inlineStr">
        <is>
          <t>Yes</t>
        </is>
      </c>
      <c r="J8" s="353" t="inlineStr">
        <is>
          <t>NO</t>
        </is>
      </c>
      <c r="K8" s="348" t="n"/>
      <c r="L8" s="348" t="n"/>
      <c r="M8" s="354" t="n">
        <v>4</v>
      </c>
      <c r="N8" s="360" t="inlineStr">
        <is>
          <t>Waste Collector</t>
        </is>
      </c>
      <c r="O8" s="356" t="n">
        <v>2</v>
      </c>
    </row>
    <row r="9" ht="15" customHeight="1">
      <c r="A9" s="351" t="n">
        <v>7</v>
      </c>
      <c r="B9" s="353" t="inlineStr">
        <is>
          <t>MD Rayhan</t>
        </is>
      </c>
      <c r="C9" s="353" t="inlineStr">
        <is>
          <t>SS</t>
        </is>
      </c>
      <c r="D9" s="353" t="inlineStr">
        <is>
          <t xml:space="preserve">Male Cleaner </t>
        </is>
      </c>
      <c r="E9" s="353" t="n">
        <v>2621898358</v>
      </c>
      <c r="F9" s="352" t="inlineStr">
        <is>
          <t xml:space="preserve">Availvable </t>
        </is>
      </c>
      <c r="G9" s="353" t="inlineStr">
        <is>
          <t>Yes</t>
        </is>
      </c>
      <c r="H9" s="353" t="inlineStr">
        <is>
          <t>Yes</t>
        </is>
      </c>
      <c r="I9" s="353" t="inlineStr">
        <is>
          <t>Yes</t>
        </is>
      </c>
      <c r="J9" s="353" t="n"/>
      <c r="K9" s="348" t="n"/>
      <c r="L9" s="348" t="n"/>
      <c r="M9" s="354" t="n">
        <v>4</v>
      </c>
      <c r="N9" s="360" t="inlineStr">
        <is>
          <t>Pest Control Supervior</t>
        </is>
      </c>
      <c r="O9" s="356" t="n">
        <v>1</v>
      </c>
    </row>
    <row r="10" ht="15" customHeight="1">
      <c r="A10" s="351" t="n">
        <v>8</v>
      </c>
      <c r="B10" s="353" t="inlineStr">
        <is>
          <t>Shake Naeem</t>
        </is>
      </c>
      <c r="C10" s="353" t="inlineStr">
        <is>
          <t>SS</t>
        </is>
      </c>
      <c r="D10" s="353" t="inlineStr">
        <is>
          <t xml:space="preserve">Male Cleaner </t>
        </is>
      </c>
      <c r="E10" s="353" t="n">
        <v>2621897921</v>
      </c>
      <c r="F10" s="352" t="inlineStr">
        <is>
          <t xml:space="preserve">Availvable </t>
        </is>
      </c>
      <c r="G10" s="353" t="inlineStr">
        <is>
          <t>Yes</t>
        </is>
      </c>
      <c r="H10" s="353" t="inlineStr">
        <is>
          <t>Yes</t>
        </is>
      </c>
      <c r="I10" s="353" t="inlineStr">
        <is>
          <t>Yes</t>
        </is>
      </c>
      <c r="J10" s="353" t="n"/>
      <c r="K10" s="348" t="n"/>
      <c r="L10" s="348" t="n"/>
      <c r="M10" s="354" t="n">
        <v>5</v>
      </c>
      <c r="N10" s="360" t="inlineStr">
        <is>
          <t>Pest Control Technicians</t>
        </is>
      </c>
      <c r="O10" s="356" t="n">
        <v>2</v>
      </c>
    </row>
    <row r="11" ht="15" customHeight="1">
      <c r="A11" s="351" t="n">
        <v>9</v>
      </c>
      <c r="B11" s="367" t="n"/>
      <c r="C11" s="367" t="n"/>
      <c r="D11" s="368" t="inlineStr">
        <is>
          <t xml:space="preserve">Female Cleaner </t>
        </is>
      </c>
      <c r="E11" s="367" t="n"/>
      <c r="F11" s="367" t="n"/>
      <c r="G11" s="367" t="n"/>
      <c r="H11" s="367" t="n"/>
      <c r="I11" s="353" t="n"/>
      <c r="J11" s="353" t="n"/>
      <c r="K11" s="348" t="n"/>
      <c r="L11" s="348" t="n"/>
      <c r="M11" s="354" t="n">
        <v>5</v>
      </c>
      <c r="N11" s="360" t="inlineStr">
        <is>
          <t>Supervisor MEP</t>
        </is>
      </c>
      <c r="O11" s="356" t="n">
        <v>1</v>
      </c>
    </row>
    <row r="12" ht="15" customHeight="1">
      <c r="A12" s="351" t="n">
        <v>10</v>
      </c>
      <c r="B12" s="367" t="n"/>
      <c r="C12" s="367" t="n"/>
      <c r="D12" s="368" t="inlineStr">
        <is>
          <t xml:space="preserve">Female Cleaner </t>
        </is>
      </c>
      <c r="E12" s="367" t="n"/>
      <c r="F12" s="367" t="n"/>
      <c r="G12" s="367" t="n"/>
      <c r="H12" s="367" t="n"/>
      <c r="I12" s="353" t="n"/>
      <c r="J12" s="353" t="n"/>
      <c r="K12" s="348" t="n"/>
      <c r="L12" s="348" t="n"/>
      <c r="M12" s="354" t="n">
        <v>6</v>
      </c>
      <c r="N12" s="360" t="inlineStr">
        <is>
          <t>Utility/Gen</t>
        </is>
      </c>
      <c r="O12" s="356" t="n">
        <v>2</v>
      </c>
    </row>
    <row r="13" ht="15" customHeight="1">
      <c r="A13" s="351" t="n">
        <v>11</v>
      </c>
      <c r="B13" s="367" t="n"/>
      <c r="C13" s="367" t="n"/>
      <c r="D13" s="368" t="inlineStr">
        <is>
          <t xml:space="preserve">Female Cleaner </t>
        </is>
      </c>
      <c r="E13" s="367" t="n"/>
      <c r="F13" s="367" t="n"/>
      <c r="G13" s="367" t="n"/>
      <c r="H13" s="367" t="n"/>
      <c r="I13" s="353" t="n"/>
      <c r="J13" s="353" t="n"/>
      <c r="K13" s="348" t="n"/>
      <c r="L13" s="348" t="n"/>
      <c r="M13" s="354" t="n">
        <v>6</v>
      </c>
      <c r="N13" s="360" t="inlineStr">
        <is>
          <t>Multi-Skilled Technicians</t>
        </is>
      </c>
      <c r="O13" s="356" t="n">
        <v>2</v>
      </c>
    </row>
    <row r="14" ht="15" customHeight="1">
      <c r="A14" s="351" t="n">
        <v>12</v>
      </c>
      <c r="B14" s="367" t="n"/>
      <c r="C14" s="367" t="n"/>
      <c r="D14" s="368" t="inlineStr">
        <is>
          <t xml:space="preserve">Female Cleaner </t>
        </is>
      </c>
      <c r="E14" s="367" t="n"/>
      <c r="F14" s="367" t="n"/>
      <c r="G14" s="367" t="n"/>
      <c r="H14" s="367" t="n"/>
      <c r="I14" s="353" t="n"/>
      <c r="J14" s="353" t="n"/>
      <c r="K14" s="348" t="n"/>
      <c r="L14" s="348" t="n"/>
      <c r="M14" s="354" t="n">
        <v>7</v>
      </c>
      <c r="N14" s="360" t="inlineStr">
        <is>
          <t>Ac Technicians</t>
        </is>
      </c>
      <c r="O14" s="356" t="n">
        <v>2</v>
      </c>
    </row>
    <row r="15" ht="15" customHeight="1">
      <c r="A15" s="351" t="n">
        <v>13</v>
      </c>
      <c r="B15" s="353" t="inlineStr">
        <is>
          <t>MD Ripon</t>
        </is>
      </c>
      <c r="C15" s="353" t="inlineStr">
        <is>
          <t>SS</t>
        </is>
      </c>
      <c r="D15" s="353" t="inlineStr">
        <is>
          <t>Waste Collector</t>
        </is>
      </c>
      <c r="E15" s="353" t="n">
        <v>2643256049</v>
      </c>
      <c r="F15" s="352" t="inlineStr">
        <is>
          <t xml:space="preserve">Availvable </t>
        </is>
      </c>
      <c r="G15" s="353" t="inlineStr">
        <is>
          <t>YES</t>
        </is>
      </c>
      <c r="H15" s="353" t="inlineStr">
        <is>
          <t>-</t>
        </is>
      </c>
      <c r="I15" s="353" t="inlineStr">
        <is>
          <t>Yes</t>
        </is>
      </c>
      <c r="J15" s="353" t="inlineStr">
        <is>
          <t>-</t>
        </is>
      </c>
      <c r="K15" s="348" t="n"/>
      <c r="L15" s="348" t="n"/>
      <c r="M15" s="354" t="n">
        <v>7</v>
      </c>
      <c r="N15" s="360" t="inlineStr">
        <is>
          <t>Plumber</t>
        </is>
      </c>
      <c r="O15" s="356" t="n">
        <v>1</v>
      </c>
    </row>
    <row r="16" ht="15" customHeight="1">
      <c r="A16" s="351" t="n">
        <v>14</v>
      </c>
      <c r="B16" s="353" t="inlineStr">
        <is>
          <t>Sohag Mia</t>
        </is>
      </c>
      <c r="C16" s="353" t="inlineStr">
        <is>
          <t>SS</t>
        </is>
      </c>
      <c r="D16" s="353" t="inlineStr">
        <is>
          <t>Waste Collector</t>
        </is>
      </c>
      <c r="E16" s="353" t="inlineStr">
        <is>
          <t>EL0913621</t>
        </is>
      </c>
      <c r="F16" s="352" t="inlineStr">
        <is>
          <t xml:space="preserve">Availvable </t>
        </is>
      </c>
      <c r="G16" s="353" t="inlineStr">
        <is>
          <t>YES</t>
        </is>
      </c>
      <c r="H16" s="353" t="inlineStr">
        <is>
          <t>-</t>
        </is>
      </c>
      <c r="I16" s="353" t="inlineStr">
        <is>
          <t>Yes</t>
        </is>
      </c>
      <c r="J16" s="353" t="inlineStr">
        <is>
          <t>-</t>
        </is>
      </c>
      <c r="K16" s="348" t="n"/>
      <c r="L16" s="348" t="n"/>
      <c r="M16" s="354" t="n">
        <v>8</v>
      </c>
      <c r="N16" s="360" t="inlineStr">
        <is>
          <t>Trade Helper</t>
        </is>
      </c>
      <c r="O16" s="356" t="n">
        <v>1</v>
      </c>
    </row>
    <row r="17" ht="15" customHeight="1">
      <c r="A17" s="351" t="n">
        <v>15</v>
      </c>
      <c r="B17" s="353" t="inlineStr">
        <is>
          <t>MD SHABBIR ALAM</t>
        </is>
      </c>
      <c r="C17" s="353" t="inlineStr">
        <is>
          <t>SS</t>
        </is>
      </c>
      <c r="D17" s="355" t="inlineStr">
        <is>
          <t xml:space="preserve">Pest Control Supervisor </t>
        </is>
      </c>
      <c r="E17" s="353" t="inlineStr">
        <is>
          <t>Z7443136</t>
        </is>
      </c>
      <c r="F17" s="353" t="inlineStr">
        <is>
          <t xml:space="preserve">Availvable </t>
        </is>
      </c>
      <c r="G17" s="353" t="n"/>
      <c r="H17" s="353" t="n"/>
      <c r="I17" s="353" t="n"/>
      <c r="J17" s="353" t="n"/>
      <c r="K17" s="348" t="n"/>
      <c r="L17" s="348" t="n"/>
      <c r="M17" s="354" t="n">
        <v>8</v>
      </c>
      <c r="N17" s="360" t="inlineStr">
        <is>
          <t>Electrician</t>
        </is>
      </c>
      <c r="O17" s="356" t="n">
        <v>1</v>
      </c>
    </row>
    <row r="18" ht="15" customHeight="1">
      <c r="A18" s="351" t="n">
        <v>16</v>
      </c>
      <c r="B18" s="367" t="n"/>
      <c r="C18" s="367" t="n"/>
      <c r="D18" s="368" t="inlineStr">
        <is>
          <t xml:space="preserve">Pest Control Tech </t>
        </is>
      </c>
      <c r="E18" s="367" t="n"/>
      <c r="F18" s="367" t="n"/>
      <c r="G18" s="367" t="n"/>
      <c r="H18" s="367" t="n"/>
      <c r="I18" s="353" t="n"/>
      <c r="J18" s="353" t="n"/>
      <c r="K18" s="348" t="n"/>
      <c r="L18" s="348" t="n"/>
      <c r="M18" s="354" t="n">
        <v>9</v>
      </c>
      <c r="N18" s="360" t="inlineStr">
        <is>
          <t>Painter/Handyman (civil)</t>
        </is>
      </c>
      <c r="O18" s="356" t="n">
        <v>1</v>
      </c>
    </row>
    <row r="19" ht="15" customHeight="1">
      <c r="A19" s="351" t="n">
        <v>17</v>
      </c>
      <c r="B19" s="367" t="n"/>
      <c r="C19" s="367" t="n"/>
      <c r="D19" s="368" t="inlineStr">
        <is>
          <t xml:space="preserve">Pest Control Tech </t>
        </is>
      </c>
      <c r="E19" s="367" t="n"/>
      <c r="F19" s="369" t="n"/>
      <c r="G19" s="369" t="n"/>
      <c r="H19" s="369" t="n"/>
      <c r="I19" s="353" t="n"/>
      <c r="J19" s="353" t="n"/>
      <c r="K19" s="348" t="n"/>
      <c r="L19" s="348" t="n"/>
      <c r="M19" s="354" t="n">
        <v>9</v>
      </c>
      <c r="N19" s="360" t="inlineStr">
        <is>
          <t>Admin</t>
        </is>
      </c>
      <c r="O19" s="356" t="n">
        <v>1</v>
      </c>
    </row>
    <row r="20" ht="15.75" customHeight="1" thickBot="1">
      <c r="A20" s="351" t="n">
        <v>18</v>
      </c>
      <c r="B20" s="353" t="inlineStr">
        <is>
          <t>MD Aamer Sohail</t>
        </is>
      </c>
      <c r="C20" s="353" t="inlineStr">
        <is>
          <t>HS</t>
        </is>
      </c>
      <c r="D20" s="353" t="inlineStr">
        <is>
          <t xml:space="preserve">MEP Supervisor </t>
        </is>
      </c>
      <c r="E20" s="353" t="inlineStr">
        <is>
          <t>AU762960</t>
        </is>
      </c>
      <c r="F20" s="352" t="inlineStr">
        <is>
          <t xml:space="preserve">Availvable </t>
        </is>
      </c>
      <c r="G20" s="353" t="inlineStr">
        <is>
          <t>Yes</t>
        </is>
      </c>
      <c r="H20" s="353" t="n"/>
      <c r="I20" s="353" t="n"/>
      <c r="J20" s="353" t="n"/>
      <c r="K20" s="348" t="n"/>
      <c r="L20" s="348" t="n"/>
      <c r="M20" s="362" t="n">
        <v>10</v>
      </c>
      <c r="N20" s="363" t="inlineStr">
        <is>
          <t>Drivers</t>
        </is>
      </c>
      <c r="O20" s="364" t="n">
        <v>1</v>
      </c>
    </row>
    <row r="21" ht="17.25" customHeight="1" thickBot="1">
      <c r="A21" s="351" t="n">
        <v>19</v>
      </c>
      <c r="B21" s="352" t="inlineStr">
        <is>
          <t xml:space="preserve">Gulshanaver Khan </t>
        </is>
      </c>
      <c r="C21" s="352" t="inlineStr">
        <is>
          <t>HS</t>
        </is>
      </c>
      <c r="D21" s="352" t="inlineStr">
        <is>
          <t>Utitily/ Gen</t>
        </is>
      </c>
      <c r="E21" s="352" t="n">
        <v>2580201909</v>
      </c>
      <c r="F21" s="352" t="inlineStr">
        <is>
          <t xml:space="preserve">Availvable </t>
        </is>
      </c>
      <c r="G21" s="353" t="inlineStr">
        <is>
          <t>Yes</t>
        </is>
      </c>
      <c r="H21" s="353" t="inlineStr">
        <is>
          <t>Yes</t>
        </is>
      </c>
      <c r="I21" s="353" t="inlineStr">
        <is>
          <t>Yes</t>
        </is>
      </c>
      <c r="J21" s="353" t="inlineStr">
        <is>
          <t>NO</t>
        </is>
      </c>
      <c r="K21" s="348" t="n"/>
      <c r="L21" s="348" t="n"/>
      <c r="M21" s="489" t="inlineStr">
        <is>
          <t>TOTAL</t>
        </is>
      </c>
      <c r="N21" s="522" t="n"/>
      <c r="O21" s="365" t="n">
        <v>30</v>
      </c>
    </row>
    <row r="22" ht="16.5" customHeight="1">
      <c r="A22" s="351" t="n">
        <v>20</v>
      </c>
      <c r="B22" s="352" t="inlineStr">
        <is>
          <t xml:space="preserve">Faiz Ahmed </t>
        </is>
      </c>
      <c r="C22" s="352" t="inlineStr">
        <is>
          <t>HS</t>
        </is>
      </c>
      <c r="D22" s="352" t="inlineStr">
        <is>
          <t>Utitily/ Gen</t>
        </is>
      </c>
      <c r="E22" s="352" t="n">
        <v>2481795074</v>
      </c>
      <c r="F22" s="352" t="inlineStr">
        <is>
          <t xml:space="preserve">Availvable </t>
        </is>
      </c>
      <c r="G22" s="352" t="inlineStr">
        <is>
          <t>Yes</t>
        </is>
      </c>
      <c r="H22" s="353" t="inlineStr">
        <is>
          <t>Yes</t>
        </is>
      </c>
      <c r="I22" s="353" t="inlineStr">
        <is>
          <t>Yes</t>
        </is>
      </c>
      <c r="J22" s="353" t="inlineStr">
        <is>
          <t>NO</t>
        </is>
      </c>
      <c r="K22" s="348" t="n"/>
      <c r="L22" s="348" t="n"/>
      <c r="M22" s="372" t="n"/>
      <c r="N22" s="372" t="n"/>
      <c r="O22" s="373" t="n"/>
    </row>
    <row r="23" ht="15" customHeight="1">
      <c r="A23" s="351" t="n">
        <v>21</v>
      </c>
      <c r="B23" s="352" t="inlineStr">
        <is>
          <t>Raja Babu</t>
        </is>
      </c>
      <c r="C23" s="352" t="inlineStr">
        <is>
          <t>HS</t>
        </is>
      </c>
      <c r="D23" s="352" t="inlineStr">
        <is>
          <t>MEP Tech</t>
        </is>
      </c>
      <c r="E23" s="352" t="inlineStr">
        <is>
          <t>C8793123</t>
        </is>
      </c>
      <c r="F23" s="352" t="inlineStr">
        <is>
          <t xml:space="preserve">Availvable </t>
        </is>
      </c>
      <c r="G23" s="353" t="inlineStr">
        <is>
          <t>Yes</t>
        </is>
      </c>
      <c r="H23" s="353" t="inlineStr">
        <is>
          <t>Yes</t>
        </is>
      </c>
      <c r="I23" s="359" t="inlineStr">
        <is>
          <t>No</t>
        </is>
      </c>
      <c r="J23" s="353" t="inlineStr">
        <is>
          <t>NO</t>
        </is>
      </c>
      <c r="K23" s="348" t="n"/>
      <c r="L23" s="348" t="n"/>
      <c r="M23" s="348" t="n"/>
      <c r="N23" s="348" t="n"/>
      <c r="O23" s="348" t="n"/>
    </row>
    <row r="24" ht="15" customHeight="1">
      <c r="A24" s="351" t="n">
        <v>22</v>
      </c>
      <c r="B24" s="352" t="inlineStr">
        <is>
          <t>Shohrab Sheikh</t>
        </is>
      </c>
      <c r="C24" s="352" t="inlineStr">
        <is>
          <t>HS</t>
        </is>
      </c>
      <c r="D24" s="352" t="inlineStr">
        <is>
          <t>MEP Tech</t>
        </is>
      </c>
      <c r="E24" s="352" t="inlineStr">
        <is>
          <t>W0663354</t>
        </is>
      </c>
      <c r="F24" s="352" t="inlineStr">
        <is>
          <t xml:space="preserve">Availvable </t>
        </is>
      </c>
      <c r="G24" s="353" t="inlineStr">
        <is>
          <t>Yes</t>
        </is>
      </c>
      <c r="H24" s="353" t="inlineStr">
        <is>
          <t>Yes</t>
        </is>
      </c>
      <c r="I24" s="353" t="inlineStr">
        <is>
          <t>Yes</t>
        </is>
      </c>
      <c r="J24" s="361" t="inlineStr">
        <is>
          <t>Yes</t>
        </is>
      </c>
      <c r="K24" s="348" t="n"/>
      <c r="L24" s="348" t="n"/>
    </row>
    <row r="25" ht="15" customHeight="1">
      <c r="A25" s="351" t="n">
        <v>23</v>
      </c>
      <c r="B25" s="353" t="inlineStr">
        <is>
          <t>Sheharej</t>
        </is>
      </c>
      <c r="C25" s="353" t="inlineStr">
        <is>
          <t>HS</t>
        </is>
      </c>
      <c r="D25" s="353" t="inlineStr">
        <is>
          <t>AC Tech</t>
        </is>
      </c>
      <c r="E25" s="353" t="inlineStr">
        <is>
          <t>AJ603740</t>
        </is>
      </c>
      <c r="F25" s="352" t="inlineStr">
        <is>
          <t xml:space="preserve">Availvable </t>
        </is>
      </c>
      <c r="G25" s="353" t="inlineStr">
        <is>
          <t>Yes</t>
        </is>
      </c>
      <c r="H25" s="353" t="inlineStr">
        <is>
          <t>Yes</t>
        </is>
      </c>
      <c r="I25" s="353" t="inlineStr">
        <is>
          <t>Yes</t>
        </is>
      </c>
      <c r="J25" s="353" t="inlineStr">
        <is>
          <t>NO</t>
        </is>
      </c>
      <c r="K25" s="348" t="n"/>
      <c r="L25" s="348" t="n"/>
    </row>
    <row r="26" ht="15" customHeight="1">
      <c r="A26" s="351" t="n">
        <v>24</v>
      </c>
      <c r="B26" s="353" t="inlineStr">
        <is>
          <t>Abu Talib</t>
        </is>
      </c>
      <c r="C26" s="353" t="inlineStr">
        <is>
          <t>HS</t>
        </is>
      </c>
      <c r="D26" s="353" t="inlineStr">
        <is>
          <t>AC Tech</t>
        </is>
      </c>
      <c r="E26" s="353" t="inlineStr">
        <is>
          <t>C0707808</t>
        </is>
      </c>
      <c r="F26" s="352" t="inlineStr">
        <is>
          <t xml:space="preserve">Availvable </t>
        </is>
      </c>
      <c r="G26" s="353" t="inlineStr">
        <is>
          <t>Yes</t>
        </is>
      </c>
      <c r="H26" s="353" t="inlineStr">
        <is>
          <t>Yes</t>
        </is>
      </c>
      <c r="I26" s="353" t="inlineStr">
        <is>
          <t>Yes</t>
        </is>
      </c>
      <c r="J26" s="353" t="inlineStr">
        <is>
          <t>NO</t>
        </is>
      </c>
      <c r="K26" s="348" t="n"/>
      <c r="L26" s="348" t="n"/>
    </row>
    <row r="27" ht="15" customHeight="1">
      <c r="A27" s="351" t="n">
        <v>25</v>
      </c>
      <c r="B27" s="353" t="inlineStr">
        <is>
          <t>MD Shahin Mia</t>
        </is>
      </c>
      <c r="C27" s="353" t="inlineStr">
        <is>
          <t>HS</t>
        </is>
      </c>
      <c r="D27" s="353" t="inlineStr">
        <is>
          <t>Plumber</t>
        </is>
      </c>
      <c r="E27" s="353" t="n">
        <v>2633409277</v>
      </c>
      <c r="F27" s="352" t="inlineStr">
        <is>
          <t xml:space="preserve">Availvable </t>
        </is>
      </c>
      <c r="G27" s="353" t="inlineStr">
        <is>
          <t>No</t>
        </is>
      </c>
      <c r="H27" s="353" t="inlineStr">
        <is>
          <t>-</t>
        </is>
      </c>
      <c r="I27" s="353" t="inlineStr">
        <is>
          <t>Yes</t>
        </is>
      </c>
      <c r="J27" s="353" t="inlineStr">
        <is>
          <t>-</t>
        </is>
      </c>
      <c r="K27" s="348" t="n"/>
      <c r="L27" s="348" t="n"/>
    </row>
    <row r="28" ht="15" customHeight="1">
      <c r="A28" s="351" t="n">
        <v>26</v>
      </c>
      <c r="B28" s="352" t="inlineStr">
        <is>
          <t>Sanjoy Chandra</t>
        </is>
      </c>
      <c r="C28" s="352" t="inlineStr">
        <is>
          <t>HS</t>
        </is>
      </c>
      <c r="D28" s="352" t="inlineStr">
        <is>
          <t>Trade Helper</t>
        </is>
      </c>
      <c r="E28" s="352" t="inlineStr">
        <is>
          <t>A20814273</t>
        </is>
      </c>
      <c r="F28" s="352" t="inlineStr">
        <is>
          <t xml:space="preserve">Availvable </t>
        </is>
      </c>
      <c r="G28" s="353" t="inlineStr">
        <is>
          <t>Yes</t>
        </is>
      </c>
      <c r="H28" s="353" t="inlineStr">
        <is>
          <t>Yes</t>
        </is>
      </c>
      <c r="I28" s="359" t="inlineStr">
        <is>
          <t>No</t>
        </is>
      </c>
      <c r="J28" s="353" t="inlineStr">
        <is>
          <t>NO</t>
        </is>
      </c>
      <c r="K28" s="348" t="n"/>
      <c r="L28" s="348" t="n"/>
    </row>
    <row r="29" ht="15" customHeight="1">
      <c r="A29" s="351" t="n">
        <v>27</v>
      </c>
      <c r="B29" s="352" t="inlineStr">
        <is>
          <t xml:space="preserve">Aamir Majeed </t>
        </is>
      </c>
      <c r="C29" s="352" t="inlineStr">
        <is>
          <t>HS</t>
        </is>
      </c>
      <c r="D29" s="352" t="inlineStr">
        <is>
          <t xml:space="preserve">Electrician </t>
        </is>
      </c>
      <c r="E29" s="352" t="n">
        <v>2641678640</v>
      </c>
      <c r="F29" s="352" t="inlineStr">
        <is>
          <t xml:space="preserve">Availvable </t>
        </is>
      </c>
      <c r="G29" s="353" t="inlineStr">
        <is>
          <t>YES</t>
        </is>
      </c>
      <c r="H29" s="353" t="inlineStr">
        <is>
          <t>Yes</t>
        </is>
      </c>
      <c r="I29" s="353" t="inlineStr">
        <is>
          <t>Yes</t>
        </is>
      </c>
      <c r="J29" s="353" t="inlineStr">
        <is>
          <t>NO</t>
        </is>
      </c>
      <c r="K29" s="348" t="n"/>
      <c r="L29" s="348" t="n"/>
    </row>
    <row r="30" ht="15" customHeight="1">
      <c r="A30" s="351" t="n">
        <v>28</v>
      </c>
      <c r="B30" s="352" t="inlineStr">
        <is>
          <t xml:space="preserve">MD Minhaz </t>
        </is>
      </c>
      <c r="C30" s="352" t="inlineStr">
        <is>
          <t>HS</t>
        </is>
      </c>
      <c r="D30" s="352" t="inlineStr">
        <is>
          <t>Civil ( Painter)</t>
        </is>
      </c>
      <c r="E30" s="352" t="inlineStr">
        <is>
          <t>A04000761</t>
        </is>
      </c>
      <c r="F30" s="352" t="inlineStr">
        <is>
          <t xml:space="preserve">Availvable </t>
        </is>
      </c>
      <c r="G30" s="352" t="inlineStr">
        <is>
          <t>Yes</t>
        </is>
      </c>
      <c r="H30" s="353" t="inlineStr">
        <is>
          <t>Yes</t>
        </is>
      </c>
      <c r="I30" s="353" t="inlineStr">
        <is>
          <t>Yes</t>
        </is>
      </c>
      <c r="J30" s="353" t="inlineStr">
        <is>
          <t>NO</t>
        </is>
      </c>
      <c r="K30" s="348" t="n"/>
      <c r="L30" s="348" t="n"/>
    </row>
    <row r="31" ht="15" customHeight="1">
      <c r="A31" s="351" t="n">
        <v>29</v>
      </c>
      <c r="B31" s="352" t="inlineStr">
        <is>
          <t>ARSALAN AMIR</t>
        </is>
      </c>
      <c r="C31" s="352" t="inlineStr">
        <is>
          <t xml:space="preserve">Management </t>
        </is>
      </c>
      <c r="D31" s="352" t="inlineStr">
        <is>
          <t>Admin</t>
        </is>
      </c>
      <c r="E31" s="352" t="inlineStr">
        <is>
          <t>AL961275</t>
        </is>
      </c>
      <c r="F31" s="352" t="inlineStr">
        <is>
          <t xml:space="preserve">Availvable </t>
        </is>
      </c>
      <c r="G31" s="353" t="inlineStr">
        <is>
          <t>Yes</t>
        </is>
      </c>
      <c r="H31" s="353" t="inlineStr">
        <is>
          <t>Yes</t>
        </is>
      </c>
      <c r="I31" s="353" t="n"/>
      <c r="J31" s="353" t="n"/>
      <c r="K31" s="348" t="n"/>
      <c r="L31" s="348" t="n"/>
    </row>
    <row r="32" ht="15" customHeight="1">
      <c r="A32" s="351" t="n">
        <v>30</v>
      </c>
      <c r="B32" s="367" t="n"/>
      <c r="C32" s="367" t="n"/>
      <c r="D32" s="368" t="inlineStr">
        <is>
          <t xml:space="preserve">Driver </t>
        </is>
      </c>
      <c r="E32" s="367" t="n"/>
      <c r="F32" s="370" t="n"/>
      <c r="G32" s="370" t="n"/>
      <c r="H32" s="370" t="n"/>
      <c r="I32" s="371" t="n"/>
      <c r="J32" s="371" t="n"/>
      <c r="K32" s="348" t="n"/>
      <c r="L32" s="348" t="n"/>
    </row>
    <row r="33" ht="15" customHeight="1">
      <c r="A33" s="366" t="n">
        <v>31</v>
      </c>
      <c r="B33" s="366" t="inlineStr">
        <is>
          <t>Munawar Ali Shah</t>
        </is>
      </c>
      <c r="C33" s="366" t="inlineStr">
        <is>
          <t>HS</t>
        </is>
      </c>
      <c r="D33" s="366" t="inlineStr">
        <is>
          <t xml:space="preserve">Facility Engineer </t>
        </is>
      </c>
      <c r="E33" s="366" t="inlineStr">
        <is>
          <t>EF5163071</t>
        </is>
      </c>
      <c r="F33" s="366" t="inlineStr">
        <is>
          <t xml:space="preserve">Availvable </t>
        </is>
      </c>
      <c r="G33" s="366" t="inlineStr">
        <is>
          <t>Yes</t>
        </is>
      </c>
      <c r="H33" s="366" t="inlineStr">
        <is>
          <t>Yes</t>
        </is>
      </c>
      <c r="I33" s="366" t="inlineStr">
        <is>
          <t>Yes</t>
        </is>
      </c>
      <c r="J33" s="366" t="inlineStr">
        <is>
          <t>NO</t>
        </is>
      </c>
      <c r="K33" s="348" t="n"/>
      <c r="L33" s="348" t="n"/>
    </row>
    <row r="34" ht="15" customHeight="1">
      <c r="A34" s="491" t="n"/>
      <c r="B34" s="606" t="n"/>
      <c r="C34" s="348" t="n"/>
      <c r="D34" s="348" t="n"/>
      <c r="E34" s="348" t="n"/>
      <c r="F34" s="348" t="n"/>
      <c r="G34" s="348" t="n"/>
      <c r="H34" s="348" t="n"/>
      <c r="I34" s="348" t="n"/>
      <c r="J34" s="348" t="n"/>
      <c r="K34" s="348" t="n"/>
      <c r="L34" s="348" t="n"/>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605" t="inlineStr">
        <is>
          <t>PGC MANPOWER</t>
        </is>
      </c>
      <c r="C2" s="522" t="n"/>
      <c r="D2" s="523" t="n"/>
    </row>
    <row r="3" ht="15" customHeight="1">
      <c r="B3" s="354" t="n">
        <v>1</v>
      </c>
      <c r="C3" s="355" t="inlineStr">
        <is>
          <t>Project Lead</t>
        </is>
      </c>
      <c r="D3" s="356" t="n">
        <v>1</v>
      </c>
    </row>
    <row r="4" ht="15" customHeight="1">
      <c r="B4" s="354" t="n">
        <v>2</v>
      </c>
      <c r="C4" s="355" t="inlineStr">
        <is>
          <t>QHSE Officer</t>
        </is>
      </c>
      <c r="D4" s="356" t="n">
        <v>1</v>
      </c>
    </row>
    <row r="5" ht="15" customHeight="1">
      <c r="B5" s="354" t="n">
        <v>2</v>
      </c>
      <c r="C5" s="355" t="inlineStr">
        <is>
          <t>Cleaning Supervisors</t>
        </is>
      </c>
      <c r="D5" s="356" t="n">
        <v>2</v>
      </c>
    </row>
    <row r="6" ht="15" customHeight="1">
      <c r="B6" s="354" t="n">
        <v>3</v>
      </c>
      <c r="C6" s="355" t="inlineStr">
        <is>
          <t>Cleaner - Male</t>
        </is>
      </c>
      <c r="D6" s="356" t="n">
        <v>4</v>
      </c>
    </row>
    <row r="7" ht="15" customHeight="1">
      <c r="B7" s="354" t="n">
        <v>3</v>
      </c>
      <c r="C7" s="355" t="inlineStr">
        <is>
          <t>Cleaner - Female</t>
        </is>
      </c>
      <c r="D7" s="356" t="n">
        <v>4</v>
      </c>
    </row>
    <row r="8" ht="15" customHeight="1">
      <c r="B8" s="354" t="n">
        <v>4</v>
      </c>
      <c r="C8" s="360" t="inlineStr">
        <is>
          <t>Waste Collector</t>
        </is>
      </c>
      <c r="D8" s="356" t="n">
        <v>2</v>
      </c>
    </row>
    <row r="9" ht="15" customHeight="1">
      <c r="B9" s="354" t="n">
        <v>4</v>
      </c>
      <c r="C9" s="360" t="inlineStr">
        <is>
          <t>Pest Control Supervior</t>
        </is>
      </c>
      <c r="D9" s="356" t="n">
        <v>1</v>
      </c>
    </row>
    <row r="10" ht="15" customHeight="1">
      <c r="B10" s="354" t="n">
        <v>5</v>
      </c>
      <c r="C10" s="360" t="inlineStr">
        <is>
          <t>Pest Control Technicians</t>
        </is>
      </c>
      <c r="D10" s="356" t="n">
        <v>2</v>
      </c>
    </row>
    <row r="11" ht="15" customHeight="1">
      <c r="B11" s="354" t="n">
        <v>5</v>
      </c>
      <c r="C11" s="360" t="inlineStr">
        <is>
          <t>Supervisor MEP</t>
        </is>
      </c>
      <c r="D11" s="356" t="n">
        <v>1</v>
      </c>
    </row>
    <row r="12" ht="15" customHeight="1">
      <c r="B12" s="354" t="n">
        <v>6</v>
      </c>
      <c r="C12" s="360" t="inlineStr">
        <is>
          <t>Utility/Gen</t>
        </is>
      </c>
      <c r="D12" s="356" t="n">
        <v>2</v>
      </c>
    </row>
    <row r="13" ht="15" customHeight="1">
      <c r="B13" s="354" t="n">
        <v>6</v>
      </c>
      <c r="C13" s="360" t="inlineStr">
        <is>
          <t>Multi-Skilled Technicians</t>
        </is>
      </c>
      <c r="D13" s="356" t="n">
        <v>2</v>
      </c>
    </row>
    <row r="14" ht="15" customHeight="1">
      <c r="B14" s="354" t="n">
        <v>7</v>
      </c>
      <c r="C14" s="360" t="inlineStr">
        <is>
          <t>Ac Technicians</t>
        </is>
      </c>
      <c r="D14" s="356" t="n">
        <v>2</v>
      </c>
    </row>
    <row r="15" ht="15" customHeight="1">
      <c r="B15" s="354" t="n">
        <v>7</v>
      </c>
      <c r="C15" s="360" t="inlineStr">
        <is>
          <t>Plumber</t>
        </is>
      </c>
      <c r="D15" s="356" t="n">
        <v>1</v>
      </c>
    </row>
    <row r="16" ht="15" customHeight="1">
      <c r="B16" s="354" t="n">
        <v>8</v>
      </c>
      <c r="C16" s="360" t="inlineStr">
        <is>
          <t>Trade Helper</t>
        </is>
      </c>
      <c r="D16" s="356" t="n">
        <v>1</v>
      </c>
    </row>
    <row r="17" ht="15" customHeight="1">
      <c r="B17" s="354" t="n">
        <v>8</v>
      </c>
      <c r="C17" s="360" t="inlineStr">
        <is>
          <t>Electrician</t>
        </is>
      </c>
      <c r="D17" s="356" t="n">
        <v>1</v>
      </c>
    </row>
    <row r="18" ht="15" customHeight="1">
      <c r="B18" s="354" t="n">
        <v>9</v>
      </c>
      <c r="C18" s="360" t="inlineStr">
        <is>
          <t>Painter/Handyman (civil)</t>
        </is>
      </c>
      <c r="D18" s="356" t="n">
        <v>1</v>
      </c>
    </row>
    <row r="19" ht="15" customHeight="1">
      <c r="B19" s="354" t="n">
        <v>9</v>
      </c>
      <c r="C19" s="360" t="inlineStr">
        <is>
          <t>Admin</t>
        </is>
      </c>
      <c r="D19" s="356" t="n">
        <v>1</v>
      </c>
    </row>
    <row r="20" ht="15.75" customHeight="1" thickBot="1">
      <c r="B20" s="362" t="n">
        <v>10</v>
      </c>
      <c r="C20" s="363" t="inlineStr">
        <is>
          <t>Drivers</t>
        </is>
      </c>
      <c r="D20" s="364" t="n">
        <v>1</v>
      </c>
    </row>
    <row r="21" ht="17.25" customHeight="1" thickBot="1">
      <c r="B21" s="489" t="inlineStr">
        <is>
          <t>TOTAL</t>
        </is>
      </c>
      <c r="C21" s="522" t="n"/>
      <c r="D21" s="365"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306" min="3" max="3"/>
    <col width="0.375" customWidth="1" min="4" max="4"/>
    <col width="17.375" customWidth="1" min="5" max="5"/>
  </cols>
  <sheetData>
    <row r="6" ht="15" customHeight="1">
      <c r="C6" s="307" t="inlineStr">
        <is>
          <t>Position</t>
        </is>
      </c>
      <c r="D6" s="308" t="n"/>
      <c r="E6" s="309" t="inlineStr">
        <is>
          <t>Decipline</t>
        </is>
      </c>
    </row>
    <row r="7" ht="15" customHeight="1">
      <c r="C7" s="310" t="inlineStr">
        <is>
          <t>Regional Manager</t>
        </is>
      </c>
      <c r="D7" s="308" t="n"/>
      <c r="E7" s="311" t="n"/>
    </row>
    <row r="8" ht="15" customHeight="1">
      <c r="C8" s="310" t="inlineStr">
        <is>
          <t>On-Site Operation Manager</t>
        </is>
      </c>
      <c r="D8" s="308" t="n"/>
      <c r="E8" s="311" t="n"/>
    </row>
    <row r="9" ht="15" customHeight="1">
      <c r="C9" s="310" t="inlineStr">
        <is>
          <t>Project Manager</t>
        </is>
      </c>
      <c r="D9" s="308" t="n"/>
      <c r="E9" s="311" t="n"/>
    </row>
    <row r="10" ht="15" customHeight="1">
      <c r="C10" s="310" t="inlineStr">
        <is>
          <t>Hard Service Manager</t>
        </is>
      </c>
      <c r="D10" s="308" t="n"/>
      <c r="E10" s="311" t="n"/>
    </row>
    <row r="11" ht="15" customHeight="1">
      <c r="C11" s="310" t="inlineStr">
        <is>
          <t>Soft Service Manager</t>
        </is>
      </c>
      <c r="D11" s="308" t="n"/>
      <c r="E11" s="311" t="n"/>
    </row>
    <row r="12" ht="15" customHeight="1">
      <c r="C12" s="312" t="n"/>
      <c r="D12" s="308" t="n"/>
      <c r="E12" s="311" t="n"/>
    </row>
    <row r="13" ht="15" customHeight="1">
      <c r="C13" s="312" t="n"/>
      <c r="D13" s="308" t="n"/>
      <c r="E13" s="311" t="n"/>
    </row>
    <row r="14" ht="15" customHeight="1">
      <c r="C14" s="312" t="n"/>
      <c r="D14" s="308" t="n"/>
      <c r="E14" s="311" t="n"/>
    </row>
    <row r="15" ht="15" customHeight="1">
      <c r="C15" s="312" t="n"/>
      <c r="D15" s="308" t="n"/>
      <c r="E15" s="311" t="n"/>
    </row>
    <row r="16" ht="15" customHeight="1">
      <c r="C16" s="312" t="n"/>
      <c r="D16" s="308" t="n"/>
      <c r="E16" s="311" t="n"/>
    </row>
    <row r="17" ht="15" customHeight="1">
      <c r="C17" s="312" t="n"/>
      <c r="D17" s="308" t="n"/>
      <c r="E17" s="311" t="n"/>
    </row>
    <row r="18" ht="15" customHeight="1">
      <c r="C18" s="312" t="n"/>
      <c r="D18" s="308" t="n"/>
      <c r="E18" s="311" t="n"/>
    </row>
    <row r="19" ht="15" customHeight="1">
      <c r="C19" s="312" t="n"/>
      <c r="D19" s="308" t="n"/>
      <c r="E19" s="311" t="n"/>
    </row>
    <row r="20" ht="15" customHeight="1">
      <c r="C20" s="312" t="n"/>
      <c r="D20" s="308" t="n"/>
      <c r="E20" s="311" t="n"/>
    </row>
    <row r="21" ht="15" customHeight="1">
      <c r="C21" s="312" t="n"/>
      <c r="D21" s="308" t="n"/>
      <c r="E21" s="311" t="n"/>
    </row>
    <row r="22" ht="15" customHeight="1">
      <c r="C22" s="312" t="n"/>
      <c r="D22" s="308" t="n"/>
      <c r="E22" s="311" t="n"/>
    </row>
    <row r="23" ht="15" customHeight="1">
      <c r="C23" s="312" t="n"/>
      <c r="D23" s="308" t="n"/>
      <c r="E23" s="308" t="n"/>
    </row>
    <row r="24" ht="15" customHeight="1">
      <c r="C24" s="312" t="n"/>
      <c r="D24" s="308" t="n"/>
      <c r="E24" s="308" t="n"/>
    </row>
    <row r="25" ht="15" customHeight="1">
      <c r="C25" s="312" t="n"/>
      <c r="D25" s="308" t="n"/>
      <c r="E25" s="308" t="n"/>
    </row>
    <row r="26" ht="15" customHeight="1">
      <c r="C26" s="312" t="n"/>
      <c r="D26" s="308" t="n"/>
      <c r="E26" s="308" t="n"/>
    </row>
    <row r="27" ht="15" customHeight="1">
      <c r="C27" s="312" t="n"/>
      <c r="D27" s="308" t="n"/>
      <c r="E27" s="308" t="n"/>
    </row>
    <row r="28" ht="15" customHeight="1">
      <c r="C28" s="312" t="n"/>
      <c r="D28" s="308" t="n"/>
      <c r="E28" s="308" t="n"/>
    </row>
    <row r="29" ht="15" customHeight="1">
      <c r="C29" s="312" t="n"/>
      <c r="D29" s="308" t="n"/>
      <c r="E29" s="308" t="n"/>
    </row>
    <row r="30" ht="15" customHeight="1">
      <c r="C30" s="312" t="n"/>
      <c r="D30" s="308" t="n"/>
      <c r="E30" s="308" t="n"/>
    </row>
    <row r="31" ht="15" customHeight="1">
      <c r="C31" s="312" t="n"/>
      <c r="D31" s="308" t="n"/>
      <c r="E31" s="308" t="n"/>
    </row>
    <row r="32" ht="15" customHeight="1">
      <c r="C32" s="312" t="n"/>
      <c r="D32" s="308" t="n"/>
      <c r="E32" s="308" t="n"/>
    </row>
    <row r="33" ht="15" customHeight="1">
      <c r="C33" s="312" t="n"/>
      <c r="D33" s="308" t="n"/>
      <c r="E33" s="308" t="n"/>
    </row>
    <row r="34" ht="15" customHeight="1">
      <c r="C34" s="312" t="n"/>
      <c r="D34" s="308" t="n"/>
      <c r="E34" s="308" t="n"/>
    </row>
    <row r="35" ht="15" customHeight="1">
      <c r="C35" s="312" t="n"/>
      <c r="D35" s="308" t="n"/>
      <c r="E35" s="308" t="n"/>
    </row>
    <row r="36" ht="15" customHeight="1">
      <c r="C36" s="312" t="n"/>
      <c r="D36" s="308" t="n"/>
      <c r="E36" s="308" t="n"/>
    </row>
    <row r="37" ht="15" customHeight="1">
      <c r="C37" s="312" t="n"/>
      <c r="D37" s="308" t="n"/>
      <c r="E37" s="308" t="n"/>
    </row>
    <row r="38" ht="15" customHeight="1">
      <c r="C38" s="312" t="n"/>
      <c r="D38" s="308" t="n"/>
      <c r="E38" s="308" t="n"/>
    </row>
    <row r="39" ht="15" customHeight="1">
      <c r="C39" s="312" t="n"/>
      <c r="D39" s="308" t="n"/>
      <c r="E39" s="308" t="n"/>
    </row>
    <row r="40" ht="15" customHeight="1">
      <c r="C40" s="312" t="n"/>
      <c r="D40" s="308" t="n"/>
      <c r="E40" s="308" t="n"/>
    </row>
    <row r="41" ht="15" customHeight="1">
      <c r="C41" s="312" t="n"/>
      <c r="D41" s="308" t="n"/>
      <c r="E41" s="308" t="n"/>
    </row>
    <row r="42" ht="15" customHeight="1">
      <c r="C42" s="312" t="n"/>
      <c r="D42" s="308" t="n"/>
      <c r="E42" s="308" t="n"/>
    </row>
    <row r="43" ht="15" customHeight="1">
      <c r="C43" s="312" t="n"/>
      <c r="D43" s="308" t="n"/>
      <c r="E43" s="308" t="n"/>
    </row>
    <row r="44" ht="15" customHeight="1">
      <c r="C44" s="312" t="n"/>
      <c r="D44" s="308" t="n"/>
      <c r="E44" s="308" t="n"/>
    </row>
    <row r="45" ht="15" customHeight="1">
      <c r="C45" s="312" t="n"/>
      <c r="D45" s="308" t="n"/>
      <c r="E45" s="308"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Mohammad Meraj Nazar</dc:creator>
  <dc:title>Approved Manpower</dc:title>
  <dc:language>en-US</dc:language>
  <dcterms:created xsi:type="dcterms:W3CDTF">2026-05-29T23:24:34Z</dcterms:created>
  <dcterms:modified xsi:type="dcterms:W3CDTF">2026-09-05T13:01:55Z</dcterms:modified>
  <cp:lastModifiedBy>Syadehtesham Askari [QIDDIYA]</cp:lastModifiedBy>
  <cp:category>Contractual VS Actual</cp:category>
  <cp:revision>0</cp:revision>
  <cp:keywords>Qiddiya City</cp:keywords>
  <cp:lastPrinted>2026-06-30T05:52:30Z</cp:lastPrinted>
</cp:coreProperties>
</file>
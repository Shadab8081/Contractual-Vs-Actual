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00" firstSheet="3" activeTab="7" autoFilterDateGrouping="1"/>
  </bookViews>
  <sheets>
    <sheet name="TOTAL- LP , UP, 5&amp;6 &amp; PGC" sheetId="1" state="visible" r:id="rId1"/>
    <sheet name="QIC_ Actual_LP" sheetId="2" state="visible" r:id="rId2"/>
    <sheet name="QIC_Contractual_ LP" sheetId="3" state="visible" r:id="rId3"/>
    <sheet name="QIC_ Actual_UP" sheetId="4" state="visible" r:id="rId4"/>
    <sheet name="QIC_Contractual_ UP" sheetId="5" state="visible" r:id="rId5"/>
    <sheet name="QIC_ Actual_5&amp;6" sheetId="6" state="visible" r:id="rId6"/>
    <sheet name="QIC_Contractual_ 5&amp;6" sheetId="7" state="visible" r:id="rId7"/>
    <sheet name="QIC_ Actual_PGC" sheetId="8" state="visible" r:id="rId8"/>
    <sheet name="QIC_Contractual_ PGC" sheetId="9" state="visible" r:id="rId9"/>
    <sheet name="Key Notes- Do not delete" sheetId="10" state="hidden" r:id="rId10"/>
  </sheets>
  <externalReferences>
    <externalReference r:id="rId11"/>
  </externalReferences>
  <definedNames>
    <definedName name="\0">#REF!</definedName>
    <definedName name="\00">#REF!</definedName>
    <definedName name="\44333">#REF!</definedName>
    <definedName name="\A">#REF!</definedName>
    <definedName name="\add9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PP">#REF!</definedName>
    <definedName name="\Q">#REF!</definedName>
    <definedName name="\S">#REF!</definedName>
    <definedName name="\V">#REF!</definedName>
    <definedName name="\X">#REF!</definedName>
    <definedName name="\z">#REF!</definedName>
    <definedName name="\zpr">#REF!</definedName>
    <definedName name="_?0">#REF!</definedName>
    <definedName name="_?1">#REF!</definedName>
    <definedName name="_?10">#REF!</definedName>
    <definedName name="_?100">#REF!</definedName>
    <definedName name="_?101">#REF!</definedName>
    <definedName name="_?12">#REF!</definedName>
    <definedName name="_?120">#REF!</definedName>
    <definedName name="_?13">#REF!</definedName>
    <definedName name="_?130">#REF!</definedName>
    <definedName name="_?132">#REF!</definedName>
    <definedName name="_?14">#REF!</definedName>
    <definedName name="_?140">#REF!</definedName>
    <definedName name="_?15">#REF!</definedName>
    <definedName name="_?151">#REF!</definedName>
    <definedName name="_?16">#REF!</definedName>
    <definedName name="_?160">#REF!</definedName>
    <definedName name="_?161">#REF!</definedName>
    <definedName name="_?162">#REF!</definedName>
    <definedName name="_?165">#REF!</definedName>
    <definedName name="_?17">#REF!</definedName>
    <definedName name="_?18">#REF!</definedName>
    <definedName name="_?19">#REF!</definedName>
    <definedName name="_?190">#REF!</definedName>
    <definedName name="_?192">#REF!</definedName>
    <definedName name="_?193">#REF!</definedName>
    <definedName name="_?194">#REF!</definedName>
    <definedName name="_?196">#REF!</definedName>
    <definedName name="_?197">#REF!</definedName>
    <definedName name="_?198">#REF!</definedName>
    <definedName name="_?199">#REF!</definedName>
    <definedName name="_?20">#REF!</definedName>
    <definedName name="_?200">#REF!</definedName>
    <definedName name="_?201">#REF!</definedName>
    <definedName name="_?203">#REF!</definedName>
    <definedName name="_?204">#REF!</definedName>
    <definedName name="_?205">#REF!</definedName>
    <definedName name="_?206">#REF!</definedName>
    <definedName name="_?207">#REF!</definedName>
    <definedName name="_?208">#REF!</definedName>
    <definedName name="_?209">#REF!</definedName>
    <definedName name="_?21">#REF!</definedName>
    <definedName name="_?210">#REF!</definedName>
    <definedName name="_?211">#REF!</definedName>
    <definedName name="_?22">#REF!</definedName>
    <definedName name="_?23">#REF!</definedName>
    <definedName name="_?24">#REF!</definedName>
    <definedName name="_?25">#REF!</definedName>
    <definedName name="_?26">#REF!</definedName>
    <definedName name="_?27">#REF!</definedName>
    <definedName name="_?28">#REF!</definedName>
    <definedName name="_?29">#REF!</definedName>
    <definedName name="_?3">#REF!</definedName>
    <definedName name="_?30">#REF!</definedName>
    <definedName name="_?31">#REF!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4">#REF!</definedName>
    <definedName name="_?40">#REF!</definedName>
    <definedName name="_?41">#REF!</definedName>
    <definedName name="_?42">#REF!</definedName>
    <definedName name="_?43">#REF!</definedName>
    <definedName name="_?44">#REF!</definedName>
    <definedName name="_?45">#REF!</definedName>
    <definedName name="_?46">#REF!</definedName>
    <definedName name="_?47">#REF!</definedName>
    <definedName name="_?48">#REF!</definedName>
    <definedName name="_?49">#REF!</definedName>
    <definedName name="_?5">#REF!</definedName>
    <definedName name="_?50">#REF!</definedName>
    <definedName name="_?506">#REF!</definedName>
    <definedName name="_?6">#REF!</definedName>
    <definedName name="_?60">#REF!</definedName>
    <definedName name="_?61">#REF!</definedName>
    <definedName name="_?62">#REF!</definedName>
    <definedName name="_?63">#REF!</definedName>
    <definedName name="_?64">#REF!</definedName>
    <definedName name="_?65">#REF!</definedName>
    <definedName name="_?66">#REF!</definedName>
    <definedName name="_?7">#REF!</definedName>
    <definedName name="_?8">#REF!</definedName>
    <definedName name="_?80">#REF!</definedName>
    <definedName name="_?81">#REF!</definedName>
    <definedName name="_?82">#REF!</definedName>
    <definedName name="_?9">#REF!</definedName>
    <definedName name="_?90">#REF!</definedName>
    <definedName name="_?91">#REF!</definedName>
    <definedName name="_________SHT2">TMH*ulcost</definedName>
    <definedName name="_______CON1">#REF!</definedName>
    <definedName name="_______CON2">#REF!</definedName>
    <definedName name="_______ph1">#REF!</definedName>
    <definedName name="______CON1">#REF!</definedName>
    <definedName name="______CON2">#REF!</definedName>
    <definedName name="______ph1">#REF!</definedName>
    <definedName name="______xlnm.Print_Area_15">#REF!</definedName>
    <definedName name="______xlnm.Print_Titles_15">#REF!</definedName>
    <definedName name="_____CON1">#REF!</definedName>
    <definedName name="_____CON2">#REF!</definedName>
    <definedName name="_____jay1">#REF!</definedName>
    <definedName name="_____ph1">#REF!</definedName>
    <definedName name="_____xlnm.Print_Area_15">#REF!</definedName>
    <definedName name="_____xlnm.Print_Titles_1">#REF!</definedName>
    <definedName name="_____xlnm.Print_Titles_15">#REF!</definedName>
    <definedName name="____as1" hidden="1">{#N/A,#N/A,FALSE,"SumD";#N/A,#N/A,FALSE,"ElecD";#N/A,#N/A,FALSE,"MechD";#N/A,#N/A,FALSE,"GeotD";#N/A,#N/A,FALSE,"PrcsD";#N/A,#N/A,FALSE,"TunnD";#N/A,#N/A,FALSE,"CivlD";#N/A,#N/A,FALSE,"NtwkD";#N/A,#N/A,FALSE,"EstgD";#N/A,#N/A,FALSE,"PEngD"}</definedName>
    <definedName name="____CON1">#REF!</definedName>
    <definedName name="____CON2">#REF!</definedName>
    <definedName name="____J170094">#REF!</definedName>
    <definedName name="____jay1">#REF!</definedName>
    <definedName name="____ph1">#REF!</definedName>
    <definedName name="___ab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B19000">#REF!</definedName>
    <definedName name="___B19999">#REF!</definedName>
    <definedName name="___B20000">#REF!</definedName>
    <definedName name="___CON1">#REF!</definedName>
    <definedName name="___CON2">#REF!</definedName>
    <definedName name="___dep2">#REF!</definedName>
    <definedName name="___dep3">#REF!</definedName>
    <definedName name="___e20000">#REF!</definedName>
    <definedName name="___ebh07">#REF!</definedName>
    <definedName name="___edt02">#REF!</definedName>
    <definedName name="___emr08">#REF!</definedName>
    <definedName name="___etd10">#REF!</definedName>
    <definedName name="___etr08">#REF!</definedName>
    <definedName name="___evr10">#REF!</definedName>
    <definedName name="___ewt55">#REF!</definedName>
    <definedName name="___ext2">#REF!</definedName>
    <definedName name="___ext3">#REF!</definedName>
    <definedName name="___F1">#REF!</definedName>
    <definedName name="___F3">#REF!</definedName>
    <definedName name="___FF3">#REF!</definedName>
    <definedName name="___J170094">#REF!</definedName>
    <definedName name="___len2">#REF!</definedName>
    <definedName name="___len3">#REF!</definedName>
    <definedName name="___m1">#REF!</definedName>
    <definedName name="___mac03">#REF!</definedName>
    <definedName name="___mac10">#REF!</definedName>
    <definedName name="___mbh07">#REF!</definedName>
    <definedName name="___mdt02">#REF!</definedName>
    <definedName name="___mdt15">#REF!</definedName>
    <definedName name="___mgn05">#REF!</definedName>
    <definedName name="___mgp45">#REF!</definedName>
    <definedName name="___mlm10">#REF!</definedName>
    <definedName name="___mlt17">#REF!</definedName>
    <definedName name="___mmd36">#REF!</definedName>
    <definedName name="___mmr08">#REF!</definedName>
    <definedName name="___mmr10">#REF!</definedName>
    <definedName name="___mmx02">#REF!</definedName>
    <definedName name="___mtc30">#REF!</definedName>
    <definedName name="___mtd10">#REF!</definedName>
    <definedName name="___mtr08">#REF!</definedName>
    <definedName name="___mvr10">#REF!</definedName>
    <definedName name="___mwt55">#REF!</definedName>
    <definedName name="___No1">#REF!</definedName>
    <definedName name="___No2">#REF!</definedName>
    <definedName name="___No3">#REF!</definedName>
    <definedName name="___pc1">#REF!</definedName>
    <definedName name="___pc2">#REF!</definedName>
    <definedName name="___pc3">#REF!</definedName>
    <definedName name="___ph1">#REF!</definedName>
    <definedName name="___tbc2">#REF!</definedName>
    <definedName name="___tbc3">#REF!</definedName>
    <definedName name="___wid2">#REF!</definedName>
    <definedName name="___wid3">#REF!</definedName>
    <definedName name="___xlnm.Print_Area_15">#REF!</definedName>
    <definedName name="___xlnm.Print_Titles_1">#REF!</definedName>
    <definedName name="___xlnm.Print_Titles_15">#REF!</definedName>
    <definedName name="__1__123Graph_ACHART_1" hidden="1">#REF!</definedName>
    <definedName name="__123Graph_A" hidden="1">#REF!</definedName>
    <definedName name="__123Graph_ACHART1" hidden="1">#REF!</definedName>
    <definedName name="__123Graph_ACURRENT" hidden="1">#REF!</definedName>
    <definedName name="__123Graph_ACURVE" hidden="1">#REF!</definedName>
    <definedName name="__123Graph_APAY" hidden="1">#REF!</definedName>
    <definedName name="__123Graph_B" hidden="1">#REF!</definedName>
    <definedName name="__123Graph_BPERFORMANCE" hidden="1">#REF!</definedName>
    <definedName name="__123Graph_D" hidden="1">#REF!</definedName>
    <definedName name="__123Graph_X" hidden="1">#REF!</definedName>
    <definedName name="__123Graph_XCHART1" hidden="1">#REF!</definedName>
    <definedName name="__123Graph_XCURRENT" hidden="1">#REF!</definedName>
    <definedName name="__123Graph_XCURVE" hidden="1">#REF!</definedName>
    <definedName name="__123Graph_XPAY" hidden="1">#REF!</definedName>
    <definedName name="__3__123Graph_BCHART_2" hidden="1">#REF!</definedName>
    <definedName name="__4__123Graph_CCHART_1" hidden="1">#REF!</definedName>
    <definedName name="__5__123Graph_DCHART_1" hidden="1">#REF!</definedName>
    <definedName name="__App2">#REF!</definedName>
    <definedName name="__App3">#REF!</definedName>
    <definedName name="__App4">#REF!</definedName>
    <definedName name="__CON1">#REF!</definedName>
    <definedName name="__CON2">#REF!</definedName>
    <definedName name="__dep2">#REF!</definedName>
    <definedName name="__dep3">#REF!</definedName>
    <definedName name="__eac03">#REF!</definedName>
    <definedName name="__eac10">#REF!</definedName>
    <definedName name="__eah01">#REF!</definedName>
    <definedName name="__etc30">#REF!</definedName>
    <definedName name="__ext2">#REF!</definedName>
    <definedName name="__ext3">#REF!</definedName>
    <definedName name="__F">#REF!</definedName>
    <definedName name="__ilp1">#REF!</definedName>
    <definedName name="__IntlFixup" hidden="1">TRUE()</definedName>
    <definedName name="__J170094">#REF!</definedName>
    <definedName name="__jay1">#REF!</definedName>
    <definedName name="__len2">#REF!</definedName>
    <definedName name="__len3">#REF!</definedName>
    <definedName name="__No1">#REF!</definedName>
    <definedName name="__No2">#REF!</definedName>
    <definedName name="__No3">#REF!</definedName>
    <definedName name="__PAC012">#REF!</definedName>
    <definedName name="__pc1">#REF!</definedName>
    <definedName name="__pc2">#REF!</definedName>
    <definedName name="__pc3">#REF!</definedName>
    <definedName name="__ph1">#REF!</definedName>
    <definedName name="__PRC019">#REF!</definedName>
    <definedName name="__PSC052">#REF!</definedName>
    <definedName name="__PSC084">#REF!</definedName>
    <definedName name="__R">#REF!</definedName>
    <definedName name="__tax1">#REF!</definedName>
    <definedName name="__tax2">#REF!</definedName>
    <definedName name="__tax3">#REF!</definedName>
    <definedName name="__tax4">#REF!</definedName>
    <definedName name="__tbc2">#REF!</definedName>
    <definedName name="__tbc3">#REF!</definedName>
    <definedName name="__TC1" hidden="1">{#N/A,#N/A,FALSE,"물량산출"}</definedName>
    <definedName name="__wet4" hidden="1">{#N/A,#N/A,FALSE,"포장1";#N/A,#N/A,FALSE,"포장1"}</definedName>
    <definedName name="__wid2">#REF!</definedName>
    <definedName name="__wid3">#REF!</definedName>
    <definedName name="__wwt0987">#REF!</definedName>
    <definedName name="__wwt123">#REF!</definedName>
    <definedName name="__wwt134">#REF!</definedName>
    <definedName name="__wwt21">#REF!</definedName>
    <definedName name="__wwt56">#REF!</definedName>
    <definedName name="__xlnm.Print_Area_15">#REF!</definedName>
    <definedName name="__xlnm.Print_Area_3">#REF!</definedName>
    <definedName name="__xlnm.Print_Titles_1">#REF!</definedName>
    <definedName name="__xlnm.Print_Titles_15">#REF!</definedName>
    <definedName name="_0_ICQ_Equip_Rental_ContrEx">#REF!</definedName>
    <definedName name="_0_ICQ_WageRate">#REF!</definedName>
    <definedName name="_0_ICQ_WageRate_Contr">#REF!</definedName>
    <definedName name="_0_SLQ_MetricsDIR">#REF!</definedName>
    <definedName name="_0_SLQ_MetricsIND">#REF!</definedName>
    <definedName name="_0_TAQ_IND_ProjEx">#REF!</definedName>
    <definedName name="_0_TAQ_TDC_AcctSumry">#REF!</definedName>
    <definedName name="_0_TAQ_TDC_AcctSumry_Contr">#REF!</definedName>
    <definedName name="_0_TAQ_TDC_COAList_Aramco_Area">#REF!</definedName>
    <definedName name="_0_TAQ_TDC_COAList_Aramco_Area_Indir_Spread">#REF!</definedName>
    <definedName name="_0_TAQ_TDC_COAListArea">#REF!</definedName>
    <definedName name="_0_TAQ_TDC_InstallDetsFull">#REF!</definedName>
    <definedName name="_0_TAQ_TDC_ItemSumryAreaEx">#REF!</definedName>
    <definedName name="_0_TAQ_TDC_KeyQtySumry">#REF!</definedName>
    <definedName name="_00_ICQ_ConstInd">#REF!</definedName>
    <definedName name="_00_ICQ_ConstInd_Contr">#REF!</definedName>
    <definedName name="_00_ICQ_Contingency">#REF!</definedName>
    <definedName name="_00_ICQ_Contingency_Contr">#REF!</definedName>
    <definedName name="_00_ICQ_DirectWageBuild">#REF!</definedName>
    <definedName name="_00_ICQ_DirectWageBuild_Contr">#REF!</definedName>
    <definedName name="_00_ICQ_Engineering">#REF!</definedName>
    <definedName name="_00_ICQ_Engineering_Contr">#REF!</definedName>
    <definedName name="_00_ICQ_FldOfcInd">#REF!</definedName>
    <definedName name="_00_ICQ_FldOfcInd_Contr">#REF!</definedName>
    <definedName name="_00_ICQ_Freight">#REF!</definedName>
    <definedName name="_00_ICQ_Freight_Contr">#REF!</definedName>
    <definedName name="_00_ICQ_OtherProjCosts">#REF!</definedName>
    <definedName name="_00_ICQ_OtherProjCosts_Contr">#REF!</definedName>
    <definedName name="_00_ICQ_TaxesPermits">#REF!</definedName>
    <definedName name="_00_ICQ_TaxesPermits_Contr">#REF!</definedName>
    <definedName name="_01">#REF!</definedName>
    <definedName name="_02">#REF!</definedName>
    <definedName name="_03">#REF!</definedName>
    <definedName name="_04">#REF!</definedName>
    <definedName name="_05">#REF!</definedName>
    <definedName name="_06">#REF!</definedName>
    <definedName name="_07">#REF!</definedName>
    <definedName name="_08">#REF!</definedName>
    <definedName name="_09">#REF!</definedName>
    <definedName name="_1">#N/A</definedName>
    <definedName name="_1__123Graph_ACHART_1" hidden="1">#REF!</definedName>
    <definedName name="_10">#REF!</definedName>
    <definedName name="_1000A01">#N/A</definedName>
    <definedName name="_11">#N/A</definedName>
    <definedName name="_12">#REF!</definedName>
    <definedName name="_123Graph" hidden="1">#REF!</definedName>
    <definedName name="_13">#REF!</definedName>
    <definedName name="_13__123Graph_ACHART_1A" hidden="1">#REF!</definedName>
    <definedName name="_13_2__OPTI">#REF!</definedName>
    <definedName name="_14">#REF!</definedName>
    <definedName name="_15">#REF!</definedName>
    <definedName name="_15A">#REF!</definedName>
    <definedName name="_16">#REF!</definedName>
    <definedName name="_17">#REF!</definedName>
    <definedName name="_18">#REF!</definedName>
    <definedName name="_19">#REF!</definedName>
    <definedName name="_1COST_PLANNING_AREA">#REF!</definedName>
    <definedName name="_1Y__Crite">#REF!</definedName>
    <definedName name="_2">#N/A</definedName>
    <definedName name="_2__123Graph_ACHART_1A" hidden="1">#REF!</definedName>
    <definedName name="_2__123Graph_ACHART_2" hidden="1">#REF!</definedName>
    <definedName name="_2_SLQ_NozzleList">#REF!</definedName>
    <definedName name="_2_TAQ_EquipCOAList">#REF!</definedName>
    <definedName name="_2_TAQ_EquipDetsByOrigin">#REF!</definedName>
    <definedName name="_20">#REF!</definedName>
    <definedName name="_21">#REF!</definedName>
    <definedName name="_22">#N/A</definedName>
    <definedName name="_23">#REF!</definedName>
    <definedName name="_24">#REF!</definedName>
    <definedName name="_25">#REF!</definedName>
    <definedName name="_26">#REF!</definedName>
    <definedName name="_26__123Graph_XCHART_1A" hidden="1">#REF!</definedName>
    <definedName name="_26_2_0OPTI">#REF!</definedName>
    <definedName name="_27">#REF!</definedName>
    <definedName name="_28">#REF!</definedName>
    <definedName name="_29">#REF!</definedName>
    <definedName name="_2Y__Extr">#REF!</definedName>
    <definedName name="_3">#REF!</definedName>
    <definedName name="_3__123Graph_BCHART_2" hidden="1">#REF!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_TAQ_PipeCOAList">#REF!</definedName>
    <definedName name="_3_TAQ_PipeDetsByOrigin">#REF!</definedName>
    <definedName name="_3_TAQ_PipeItemSumry">#REF!</definedName>
    <definedName name="_31_Mar_02">#REF!</definedName>
    <definedName name="_31m1_">#REF!</definedName>
    <definedName name="_4">#REF!</definedName>
    <definedName name="_4__123Graph_CCHART_1" hidden="1">#REF!</definedName>
    <definedName name="_4__123Graph_XCHART_1A" hidden="1">#REF!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_TAQ_CivilCOAList">#REF!</definedName>
    <definedName name="_4_TAQ_CivilDetsByOrigin">#REF!</definedName>
    <definedName name="_4_TAQ_CivilItemSumry">#REF!</definedName>
    <definedName name="_4C_x">#REF!</definedName>
    <definedName name="_5">#REF!</definedName>
    <definedName name="_5__123Graph_DCHART_1" hidden="1">#REF!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_TAQ_SteelCOAList">#REF!</definedName>
    <definedName name="_5_TAQ_SteelDetsByOrigin">#REF!</definedName>
    <definedName name="_5_TAQ_SteelItemSumry">#REF!</definedName>
    <definedName name="_6">#REF!</definedName>
    <definedName name="_6_KQQ_InstTerms">#REF!</definedName>
    <definedName name="_6_KQQ_InstWire">#REF!</definedName>
    <definedName name="_6_KQQ_RacewayTot">#REF!</definedName>
    <definedName name="_6_KQQ_TotCount_InstJBox">#REF!</definedName>
    <definedName name="_6_TAQ_InstCOAList">#REF!</definedName>
    <definedName name="_6_TAQ_InstDetsByOrigin">#REF!</definedName>
    <definedName name="_6_TAQ_InstItemSumry">#REF!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_TAQ_ElecCOAList">#REF!</definedName>
    <definedName name="_7_TAQ_ElecDetsByOrigin">#REF!</definedName>
    <definedName name="_7_TAQ_ElecItemSumry">#REF!</definedName>
    <definedName name="_8_TAQ_InsulDetsByOrigin">#REF!</definedName>
    <definedName name="_9_2_0OPTI">#REF!</definedName>
    <definedName name="_9_TAQ_PaintDetsByOrigin">#REF!</definedName>
    <definedName name="_A">#N/A</definedName>
    <definedName name="_ab1" hidden="1">{#N/A,#N/A,FALSE,"SumD";#N/A,#N/A,FALSE,"ElecD";#N/A,#N/A,FALSE,"MechD";#N/A,#N/A,FALSE,"GeotD";#N/A,#N/A,FALSE,"PrcsD";#N/A,#N/A,FALSE,"TunnD";#N/A,#N/A,FALSE,"CivlD";#N/A,#N/A,FALSE,"NtwkD";#N/A,#N/A,FALSE,"EstgD";#N/A,#N/A,FALSE,"PEngD"}</definedName>
    <definedName name="_ABC" hidden="1">#REF!</definedName>
    <definedName name="_all1">#REF!</definedName>
    <definedName name="_App2">#REF!</definedName>
    <definedName name="_App3">#REF!</definedName>
    <definedName name="_App4">#REF!</definedName>
    <definedName name="_as1"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B19000">#REF!</definedName>
    <definedName name="_B19999">#REF!</definedName>
    <definedName name="_B20000">#REF!</definedName>
    <definedName name="_BDR1">#REF!</definedName>
    <definedName name="_BDR2">#REF!</definedName>
    <definedName name="_boq1">#REF!</definedName>
    <definedName name="_ccr1" hidden="1">{#N/A,#N/A,TRUE,"Cover";#N/A,#N/A,TRUE,"Conts";#N/A,#N/A,TRUE,"VOS";#N/A,#N/A,TRUE,"Warrington";#N/A,#N/A,TRUE,"Widnes"}</definedName>
    <definedName name="_CON1">#REF!</definedName>
    <definedName name="_CON2">#REF!</definedName>
    <definedName name="_Currency_1_SAP_Upload_By_Area_Detail">#REF!</definedName>
    <definedName name="_Currency_2_SAP_Upload_By_Area_Spread">#REF!</definedName>
    <definedName name="_Currency_Civil_COA_Sumry">#REF!</definedName>
    <definedName name="_Currency_Civil_Item_Dets">#REF!</definedName>
    <definedName name="_Currency_Civil_Item_Sumry">#REF!</definedName>
    <definedName name="_Currency_COA_Sumry_by_Area">#REF!</definedName>
    <definedName name="_Currency_Elec_COA_Sumry">#REF!</definedName>
    <definedName name="_Currency_Elec_Item_Dets">#REF!</definedName>
    <definedName name="_Currency_Elec_Item_Sumry">#REF!</definedName>
    <definedName name="_Currency_Equip_COA_Sumry">#REF!</definedName>
    <definedName name="_Currency_Equip_Item_Dets">#REF!</definedName>
    <definedName name="_Currency_Equip_Rental_Summary_by_ContrEx">#REF!</definedName>
    <definedName name="_Currency_Inst_COA_Sumry">#REF!</definedName>
    <definedName name="_Currency_Inst_Item_Dets">#REF!</definedName>
    <definedName name="_Currency_Inst_Item_Sumry">#REF!</definedName>
    <definedName name="_Currency_Insul_Item_Dets">#REF!</definedName>
    <definedName name="_Currency_Paint_Item_Dets">#REF!</definedName>
    <definedName name="_Currency_Pipe_COA_Sumry">#REF!</definedName>
    <definedName name="_Currency_Pipe_Item_Dets">#REF!</definedName>
    <definedName name="_Currency_Pipe_Item_Sumry">#REF!</definedName>
    <definedName name="_Currency_Proj_Cost_Sumry">#REF!</definedName>
    <definedName name="_Currency_Proj_Cost_Sumry_by_Contr">#REF!</definedName>
    <definedName name="_Currency_Project_Indirect_Sumry">#REF!</definedName>
    <definedName name="_Currency_Steel_COA_Sumry">#REF!</definedName>
    <definedName name="_Currency_Steel_Item_Dets">#REF!</definedName>
    <definedName name="_Currency_Steel_Item_Sumry">#REF!</definedName>
    <definedName name="_Currency_TDC_Item_DetsFull">#REF!</definedName>
    <definedName name="_Currency_TDC_Item_Sumry_by_Area">#REF!</definedName>
    <definedName name="_Currency_TDC_Key_Qty_Sumry">#REF!</definedName>
    <definedName name="_dbs1">#REF!</definedName>
    <definedName name="_dbs11">#REF!</definedName>
    <definedName name="_dbs76">#REF!</definedName>
    <definedName name="_dep2">#REF!</definedName>
    <definedName name="_dep2_1">#N/A</definedName>
    <definedName name="_dep3">#REF!</definedName>
    <definedName name="_dep3_1">#N/A</definedName>
    <definedName name="_Dist_Bin" hidden="1">#REF!</definedName>
    <definedName name="_Dist_Values" hidden="1">#REF!</definedName>
    <definedName name="_e20000">#REF!</definedName>
    <definedName name="_e99991">#REF!</definedName>
    <definedName name="_eac03">#REF!</definedName>
    <definedName name="_eac10">#REF!</definedName>
    <definedName name="_eah01">#REF!</definedName>
    <definedName name="_ebh07">#REF!</definedName>
    <definedName name="_edt02">#REF!</definedName>
    <definedName name="_edt15">#REF!</definedName>
    <definedName name="_egn05">#REF!</definedName>
    <definedName name="_egp45">#REF!</definedName>
    <definedName name="_elg27">#REF!</definedName>
    <definedName name="_ELL45">#REF!</definedName>
    <definedName name="_ELL90">#REF!</definedName>
    <definedName name="_elm10">#REF!</definedName>
    <definedName name="_elt17">#REF!</definedName>
    <definedName name="_emd36">#REF!</definedName>
    <definedName name="_emr08">#REF!</definedName>
    <definedName name="_emr10">#REF!</definedName>
    <definedName name="_emx02">#REF!</definedName>
    <definedName name="_est1">#REF!</definedName>
    <definedName name="_Estimate_Class_1_SAP_Upload_By_Area_Detail">#REF!</definedName>
    <definedName name="_Estimate_Class_2_SAP_Upload_By_Area_Spread">#REF!</definedName>
    <definedName name="_Estimate_Class_Civil_COA_Sumry">#REF!</definedName>
    <definedName name="_Estimate_Class_Civil_Item_Dets">#REF!</definedName>
    <definedName name="_Estimate_Class_Civil_Item_Sumry">#REF!</definedName>
    <definedName name="_Estimate_Class_COA_Sumry_by_Area">#REF!</definedName>
    <definedName name="_Estimate_Class_Elec_COA_Sumry">#REF!</definedName>
    <definedName name="_Estimate_Class_Elec_Item_Dets">#REF!</definedName>
    <definedName name="_Estimate_Class_Elec_Item_Sumry">#REF!</definedName>
    <definedName name="_Estimate_Class_Equip_COA_Sumry">#REF!</definedName>
    <definedName name="_Estimate_Class_Equip_Item_Dets">#REF!</definedName>
    <definedName name="_Estimate_Class_Equip_Rental_Summary_by_ContrEx">#REF!</definedName>
    <definedName name="_Estimate_Class_Inst_COA_Sumry">#REF!</definedName>
    <definedName name="_Estimate_Class_Inst_Item_Dets">#REF!</definedName>
    <definedName name="_Estimate_Class_Inst_Item_Sumry">#REF!</definedName>
    <definedName name="_Estimate_Class_Insul_Item_Dets">#REF!</definedName>
    <definedName name="_Estimate_Class_Paint_Item_Dets">#REF!</definedName>
    <definedName name="_Estimate_Class_Pipe_COA_Sumry">#REF!</definedName>
    <definedName name="_Estimate_Class_Pipe_Item_Dets">#REF!</definedName>
    <definedName name="_Estimate_Class_Pipe_Item_Sumry">#REF!</definedName>
    <definedName name="_Estimate_Class_Proj_Cost_Sumry">#REF!</definedName>
    <definedName name="_Estimate_Class_Proj_Cost_Sumry_by_Contr">#REF!</definedName>
    <definedName name="_Estimate_Class_Project_Indirect_Sumry">#REF!</definedName>
    <definedName name="_Estimate_Class_Steel_COA_Sumry">#REF!</definedName>
    <definedName name="_Estimate_Class_Steel_Item_Dets">#REF!</definedName>
    <definedName name="_Estimate_Class_Steel_Item_Sumry">#REF!</definedName>
    <definedName name="_Estimate_Class_TDC_Item_DetsFull">#REF!</definedName>
    <definedName name="_Estimate_Class_TDC_Item_Sumry_by_Area">#REF!</definedName>
    <definedName name="_Estimate_Class_TDC_Key_Qty_Sumry">#REF!</definedName>
    <definedName name="_Estimate_Date_1_SAP_Upload_By_Area_Detail">#REF!</definedName>
    <definedName name="_Estimate_Date_2_SAP_Upload_By_Area_Spread">#REF!</definedName>
    <definedName name="_Estimate_Date_Civil_COA_Sumry">#REF!</definedName>
    <definedName name="_Estimate_Date_Civil_Item_Dets">#REF!</definedName>
    <definedName name="_Estimate_Date_Civil_Item_Sumry">#REF!</definedName>
    <definedName name="_Estimate_Date_COA_Sumry_by_Area">#REF!</definedName>
    <definedName name="_Estimate_Date_Elec_COA_Sumry">#REF!</definedName>
    <definedName name="_Estimate_Date_Elec_Item_Dets">#REF!</definedName>
    <definedName name="_Estimate_Date_Elec_Item_Sumry">#REF!</definedName>
    <definedName name="_Estimate_Date_Equip_COA_Sumry">#REF!</definedName>
    <definedName name="_Estimate_Date_Equip_Item_Dets">#REF!</definedName>
    <definedName name="_Estimate_Date_Equip_Rental_Summary_by_ContrEx">#REF!</definedName>
    <definedName name="_Estimate_Date_Inst_COA_Sumry">#REF!</definedName>
    <definedName name="_Estimate_Date_Inst_Item_Dets">#REF!</definedName>
    <definedName name="_Estimate_Date_Inst_Item_Sumry">#REF!</definedName>
    <definedName name="_Estimate_Date_Insul_Item_Dets">#REF!</definedName>
    <definedName name="_Estimate_Date_Paint_Item_Dets">#REF!</definedName>
    <definedName name="_Estimate_Date_Pipe_COA_Sumry">#REF!</definedName>
    <definedName name="_Estimate_Date_Pipe_Item_Dets">#REF!</definedName>
    <definedName name="_Estimate_Date_Pipe_Item_Sumry">#REF!</definedName>
    <definedName name="_Estimate_Date_Proj_Cost_Sumry">#REF!</definedName>
    <definedName name="_Estimate_Date_Proj_Cost_Sumry_by_Contr">#REF!</definedName>
    <definedName name="_Estimate_Date_Project_Indirect_Sumry">#REF!</definedName>
    <definedName name="_Estimate_Date_Steel_COA_Sumry">#REF!</definedName>
    <definedName name="_Estimate_Date_Steel_Item_Dets">#REF!</definedName>
    <definedName name="_Estimate_Date_Steel_Item_Sumry">#REF!</definedName>
    <definedName name="_Estimate_Date_TDC_Item_DetsFull">#REF!</definedName>
    <definedName name="_Estimate_Date_TDC_Item_Sumry_by_Area">#REF!</definedName>
    <definedName name="_Estimate_Date_TDC_Key_Qty_Sumry">#REF!</definedName>
    <definedName name="_etc30">#REF!</definedName>
    <definedName name="_etd10">#REF!</definedName>
    <definedName name="_etr08">#REF!</definedName>
    <definedName name="_evr10">#REF!</definedName>
    <definedName name="_ewt55">#REF!</definedName>
    <definedName name="_ext2">#REF!</definedName>
    <definedName name="_ext2_1">#N/A</definedName>
    <definedName name="_ext3">#REF!</definedName>
    <definedName name="_ext3_1">#N/A</definedName>
    <definedName name="_F">#REF!</definedName>
    <definedName name="_F1">#REF!</definedName>
    <definedName name="_F3">#REF!</definedName>
    <definedName name="_Fac01">#REF!</definedName>
    <definedName name="_feb04" hidden="1">#REF!</definedName>
    <definedName name="_FF3">#REF!</definedName>
    <definedName name="_Fill" hidden="1">#REF!</definedName>
    <definedName name="_fos1">#REF!</definedName>
    <definedName name="_ilp1">#REF!</definedName>
    <definedName name="_J170094">#REF!</definedName>
    <definedName name="_jay1">#REF!</definedName>
    <definedName name="_JAY2">#REF!</definedName>
    <definedName name="_Job_Number_1_SAP_Upload_By_Area_Detail">#REF!</definedName>
    <definedName name="_Job_Number_2_SAP_Upload_By_Area_Spread">#REF!</definedName>
    <definedName name="_Job_Number_Civil_COA_Sumry">#REF!</definedName>
    <definedName name="_Job_Number_Civil_Item_Dets">#REF!</definedName>
    <definedName name="_Job_Number_Civil_Item_Sumry">#REF!</definedName>
    <definedName name="_Job_Number_COA_Sumry_by_Area">#REF!</definedName>
    <definedName name="_Job_Number_Elec_COA_Sumry">#REF!</definedName>
    <definedName name="_Job_Number_Elec_Item_Dets">#REF!</definedName>
    <definedName name="_Job_Number_Elec_Item_Sumry">#REF!</definedName>
    <definedName name="_Job_Number_Equip_COA_Sumry">#REF!</definedName>
    <definedName name="_Job_Number_Equip_Item_Dets">#REF!</definedName>
    <definedName name="_Job_Number_Equip_Rental_Summary_by_ContrEx">#REF!</definedName>
    <definedName name="_Job_Number_Inst_COA_Sumry">#REF!</definedName>
    <definedName name="_Job_Number_Inst_Item_Dets">#REF!</definedName>
    <definedName name="_Job_Number_Inst_Item_Sumry">#REF!</definedName>
    <definedName name="_Job_Number_Insul_Item_Dets">#REF!</definedName>
    <definedName name="_Job_Number_Paint_Item_Dets">#REF!</definedName>
    <definedName name="_Job_Number_Pipe_COA_Sumry">#REF!</definedName>
    <definedName name="_Job_Number_Pipe_Item_Dets">#REF!</definedName>
    <definedName name="_Job_Number_Pipe_Item_Sumry">#REF!</definedName>
    <definedName name="_Job_Number_Proj_Cost_Sumry">#REF!</definedName>
    <definedName name="_Job_Number_Proj_Cost_Sumry_by_Contr">#REF!</definedName>
    <definedName name="_Job_Number_Project_Indirect_Sumry">#REF!</definedName>
    <definedName name="_Job_Number_Steel_COA_Sumry">#REF!</definedName>
    <definedName name="_Job_Number_Steel_Item_Dets">#REF!</definedName>
    <definedName name="_Job_Number_Steel_Item_Sumry">#REF!</definedName>
    <definedName name="_Job_Number_TDC_Item_DetsFull">#REF!</definedName>
    <definedName name="_Job_Number_TDC_Item_Sumry_by_Area">#REF!</definedName>
    <definedName name="_Job_Number_TDC_Key_Qty_Sumry">#REF!</definedName>
    <definedName name="_Key1" hidden="1">#REF!</definedName>
    <definedName name="_Key2" hidden="1">#REF!</definedName>
    <definedName name="_len2">#REF!</definedName>
    <definedName name="_len2_1">#N/A</definedName>
    <definedName name="_len3">#REF!</definedName>
    <definedName name="_len3_1">#N/A</definedName>
    <definedName name="_Logo_Civil_COA_Sumry">"Object 10"</definedName>
    <definedName name="_Logo_Civil_Item_Dets">"Object 131"</definedName>
    <definedName name="_Logo_Civil_Item_Sumry">"Object 53"</definedName>
    <definedName name="_m1">#REF!</definedName>
    <definedName name="_mac03">#REF!</definedName>
    <definedName name="_mac10">#REF!</definedName>
    <definedName name="_mbh07">#REF!</definedName>
    <definedName name="_mc13000">#REF!</definedName>
    <definedName name="_mdt02">#REF!</definedName>
    <definedName name="_mdt15">#REF!</definedName>
    <definedName name="_mgn05">#REF!</definedName>
    <definedName name="_mgp45">#REF!</definedName>
    <definedName name="_mlm10">#REF!</definedName>
    <definedName name="_mlt17">#REF!</definedName>
    <definedName name="_mmd36">#REF!</definedName>
    <definedName name="_mmr08">#REF!</definedName>
    <definedName name="_mmr10">#REF!</definedName>
    <definedName name="_mmx02">#REF!</definedName>
    <definedName name="_MR10">#REF!</definedName>
    <definedName name="_mtc30">#REF!</definedName>
    <definedName name="_mtd10">#REF!</definedName>
    <definedName name="_mtr08">#REF!</definedName>
    <definedName name="_mvr10">#REF!</definedName>
    <definedName name="_mwt55">#REF!</definedName>
    <definedName name="_No1">#REF!</definedName>
    <definedName name="_No2">#REF!</definedName>
    <definedName name="_No3">#REF!</definedName>
    <definedName name="_old2">#REF!</definedName>
    <definedName name="_old3" hidden="1">{#N/A,#N/A,FALSE,"Summary";#N/A,#N/A,FALSE,"3TJ";#N/A,#N/A,FALSE,"3TN";#N/A,#N/A,FALSE,"3TP";#N/A,#N/A,FALSE,"3SJ";#N/A,#N/A,FALSE,"3CJ";#N/A,#N/A,FALSE,"3CN";#N/A,#N/A,FALSE,"3CP";#N/A,#N/A,FALSE,"3A"}</definedName>
    <definedName name="_old4">#REF!</definedName>
    <definedName name="_old5" hidden="1">{#N/A,#N/A,FALSE,"Summary";#N/A,#N/A,FALSE,"3TJ";#N/A,#N/A,FALSE,"3TN";#N/A,#N/A,FALSE,"3TP";#N/A,#N/A,FALSE,"3SJ";#N/A,#N/A,FALSE,"3CJ";#N/A,#N/A,FALSE,"3CN";#N/A,#N/A,FALSE,"3CP";#N/A,#N/A,FALSE,"3A"}</definedName>
    <definedName name="_old6">#REF!</definedName>
    <definedName name="_old7" hidden="1">{#N/A,#N/A,FALSE,"Summary";#N/A,#N/A,FALSE,"3TJ";#N/A,#N/A,FALSE,"3TN";#N/A,#N/A,FALSE,"3TP";#N/A,#N/A,FALSE,"3SJ";#N/A,#N/A,FALSE,"3CJ";#N/A,#N/A,FALSE,"3CN";#N/A,#N/A,FALSE,"3CP";#N/A,#N/A,FALSE,"3A"}</definedName>
    <definedName name="_Order1" hidden="1">255</definedName>
    <definedName name="_Order2" hidden="1">255</definedName>
    <definedName name="_PAC012">#REF!</definedName>
    <definedName name="_Parse_Out" hidden="1">#REF!</definedName>
    <definedName name="_pc1">#REF!</definedName>
    <definedName name="_pc1_1">#N/A</definedName>
    <definedName name="_pc2">#REF!</definedName>
    <definedName name="_pc2_1">#N/A</definedName>
    <definedName name="_pc3">#REF!</definedName>
    <definedName name="_pc3_1">#N/A</definedName>
    <definedName name="_ph1">#REF!</definedName>
    <definedName name="_PRC019">#REF!</definedName>
    <definedName name="_Prepared_By_1_SAP_Upload_By_Area_Detail">#REF!</definedName>
    <definedName name="_Prepared_By_2_SAP_Upload_By_Area_Spread">#REF!</definedName>
    <definedName name="_Prepared_By_Civil_COA_Sumry">#REF!</definedName>
    <definedName name="_Prepared_By_Civil_Item_Dets">#REF!</definedName>
    <definedName name="_Prepared_By_Civil_Item_Sumry">#REF!</definedName>
    <definedName name="_Prepared_By_COA_Sumry_by_Area">#REF!</definedName>
    <definedName name="_Prepared_By_Elec_COA_Sumry">#REF!</definedName>
    <definedName name="_Prepared_By_Elec_Item_Dets">#REF!</definedName>
    <definedName name="_Prepared_By_Elec_Item_Sumry">#REF!</definedName>
    <definedName name="_Prepared_By_Equip_COA_Sumry">#REF!</definedName>
    <definedName name="_Prepared_By_Equip_Item_Dets">#REF!</definedName>
    <definedName name="_Prepared_By_Equip_Rental_Summary_by_ContrEx">#REF!</definedName>
    <definedName name="_Prepared_By_Inst_COA_Sumry">#REF!</definedName>
    <definedName name="_Prepared_By_Inst_Item_Dets">#REF!</definedName>
    <definedName name="_Prepared_By_Inst_Item_Sumry">#REF!</definedName>
    <definedName name="_Prepared_By_Insul_Item_Dets">#REF!</definedName>
    <definedName name="_Prepared_By_Paint_Item_Dets">#REF!</definedName>
    <definedName name="_Prepared_By_Pipe_COA_Sumry">#REF!</definedName>
    <definedName name="_Prepared_By_Pipe_Item_Dets">#REF!</definedName>
    <definedName name="_Prepared_By_Pipe_Item_Sumry">#REF!</definedName>
    <definedName name="_Prepared_By_Proj_Cost_Sumry">#REF!</definedName>
    <definedName name="_Prepared_By_Proj_Cost_Sumry_by_Contr">#REF!</definedName>
    <definedName name="_Prepared_By_Project_Indirect_Sumry">#REF!</definedName>
    <definedName name="_Prepared_By_Steel_COA_Sumry">#REF!</definedName>
    <definedName name="_Prepared_By_Steel_Item_Dets">#REF!</definedName>
    <definedName name="_Prepared_By_Steel_Item_Sumry">#REF!</definedName>
    <definedName name="_Prepared_By_TDC_Item_DetsFull">#REF!</definedName>
    <definedName name="_Prepared_By_TDC_Item_Sumry_by_Area">#REF!</definedName>
    <definedName name="_Prepared_By_TDC_Key_Qty_Sumry">#REF!</definedName>
    <definedName name="_Project_Directory_Proj_Cost_Sumry">#REF!</definedName>
    <definedName name="_Project_Location_1_SAP_Upload_By_Area_Detail">#REF!</definedName>
    <definedName name="_Project_Location_2_SAP_Upload_By_Area_Spread">#REF!</definedName>
    <definedName name="_Project_Location_Civil_COA_Sumry">#REF!</definedName>
    <definedName name="_Project_Location_Civil_Item_Dets">#REF!</definedName>
    <definedName name="_Project_Location_Civil_Item_Sumry">#REF!</definedName>
    <definedName name="_Project_Location_COA_Sumry_by_Area">#REF!</definedName>
    <definedName name="_Project_Location_Elec_COA_Sumry">#REF!</definedName>
    <definedName name="_Project_Location_Elec_Item_Dets">#REF!</definedName>
    <definedName name="_Project_Location_Elec_Item_Sumry">#REF!</definedName>
    <definedName name="_Project_Location_Equip_COA_Sumry">#REF!</definedName>
    <definedName name="_Project_Location_Equip_Item_Dets">#REF!</definedName>
    <definedName name="_Project_Location_Equip_Rental_Summary_by_ContrEx">#REF!</definedName>
    <definedName name="_Project_Location_Inst_COA_Sumry">#REF!</definedName>
    <definedName name="_Project_Location_Inst_Item_Dets">#REF!</definedName>
    <definedName name="_Project_Location_Inst_Item_Sumry">#REF!</definedName>
    <definedName name="_Project_Location_Insul_Item_Dets">#REF!</definedName>
    <definedName name="_Project_Location_Paint_Item_Dets">#REF!</definedName>
    <definedName name="_Project_Location_Pipe_COA_Sumry">#REF!</definedName>
    <definedName name="_Project_Location_Pipe_Item_Dets">#REF!</definedName>
    <definedName name="_Project_Location_Pipe_Item_Sumry">#REF!</definedName>
    <definedName name="_Project_Location_Proj_Cost_Sumry">#REF!</definedName>
    <definedName name="_Project_Location_Proj_Cost_Sumry_by_Contr">#REF!</definedName>
    <definedName name="_Project_Location_Project_Indirect_Sumry">#REF!</definedName>
    <definedName name="_Project_Location_Steel_COA_Sumry">#REF!</definedName>
    <definedName name="_Project_Location_Steel_Item_Dets">#REF!</definedName>
    <definedName name="_Project_Location_Steel_Item_Sumry">#REF!</definedName>
    <definedName name="_Project_Location_TDC_Item_DetsFull">#REF!</definedName>
    <definedName name="_Project_Location_TDC_Item_Sumry_by_Area">#REF!</definedName>
    <definedName name="_Project_Location_TDC_Key_Qty_Sumry">#REF!</definedName>
    <definedName name="_Project_Name_1_SAP_Upload_By_Area_Detail">#REF!</definedName>
    <definedName name="_Project_Name_2_SAP_Upload_By_Area_Spread">#REF!</definedName>
    <definedName name="_Project_Name_Civil_COA_Sumry">#REF!</definedName>
    <definedName name="_Project_Name_Civil_Item_Dets">#REF!</definedName>
    <definedName name="_Project_Name_Civil_Item_Sumry">#REF!</definedName>
    <definedName name="_Project_Name_COA_Sumry_by_Area">#REF!</definedName>
    <definedName name="_Project_Name_Elec_COA_Sumry">#REF!</definedName>
    <definedName name="_Project_Name_Elec_Item_Dets">#REF!</definedName>
    <definedName name="_Project_Name_Elec_Item_Sumry">#REF!</definedName>
    <definedName name="_Project_Name_Equip_COA_Sumry">#REF!</definedName>
    <definedName name="_Project_Name_Equip_Item_Dets">#REF!</definedName>
    <definedName name="_Project_Name_Equip_Rental_Summary_by_ContrEx">#REF!</definedName>
    <definedName name="_Project_Name_Inst_COA_Sumry">#REF!</definedName>
    <definedName name="_Project_Name_Inst_Item_Dets">#REF!</definedName>
    <definedName name="_Project_Name_Inst_Item_Sumry">#REF!</definedName>
    <definedName name="_Project_Name_Insul_Item_Dets">#REF!</definedName>
    <definedName name="_Project_Name_Paint_Item_Dets">#REF!</definedName>
    <definedName name="_Project_Name_Pipe_COA_Sumry">#REF!</definedName>
    <definedName name="_Project_Name_Pipe_Item_Dets">#REF!</definedName>
    <definedName name="_Project_Name_Pipe_Item_Sumry">#REF!</definedName>
    <definedName name="_Project_Name_Proj_Cost_Sumry">#REF!</definedName>
    <definedName name="_Project_Name_Proj_Cost_Sumry_by_Contr">#REF!</definedName>
    <definedName name="_Project_Name_Project_Indirect_Sumry">#REF!</definedName>
    <definedName name="_Project_Name_Steel_COA_Sumry">#REF!</definedName>
    <definedName name="_Project_Name_Steel_Item_Dets">#REF!</definedName>
    <definedName name="_Project_Name_Steel_Item_Sumry">#REF!</definedName>
    <definedName name="_Project_Name_TDC_Item_DetsFull">#REF!</definedName>
    <definedName name="_Project_Name_TDC_Item_Sumry_by_Area">#REF!</definedName>
    <definedName name="_Project_Name_TDC_Key_Qty_Sumry">#REF!</definedName>
    <definedName name="_Project_Title_1_SAP_Upload_By_Area_Detail">#REF!</definedName>
    <definedName name="_Project_Title_2_SAP_Upload_By_Area_Spread">#REF!</definedName>
    <definedName name="_Project_Title_Civil_COA_Sumry">#REF!</definedName>
    <definedName name="_Project_Title_Civil_Item_Dets">#REF!</definedName>
    <definedName name="_Project_Title_Civil_Item_Sumry">#REF!</definedName>
    <definedName name="_Project_Title_COA_Sumry_by_Area">#REF!</definedName>
    <definedName name="_Project_Title_Elec_COA_Sumry">#REF!</definedName>
    <definedName name="_Project_Title_Elec_Item_Dets">#REF!</definedName>
    <definedName name="_Project_Title_Elec_Item_Sumry">#REF!</definedName>
    <definedName name="_Project_Title_Equip_COA_Sumry">#REF!</definedName>
    <definedName name="_Project_Title_Equip_Item_Dets">#REF!</definedName>
    <definedName name="_Project_Title_Equip_Rental_Summary_by_ContrEx">#REF!</definedName>
    <definedName name="_Project_Title_Inst_COA_Sumry">#REF!</definedName>
    <definedName name="_Project_Title_Inst_Item_Dets">#REF!</definedName>
    <definedName name="_Project_Title_Inst_Item_Sumry">#REF!</definedName>
    <definedName name="_Project_Title_Insul_Item_Dets">#REF!</definedName>
    <definedName name="_Project_Title_Paint_Item_Dets">#REF!</definedName>
    <definedName name="_Project_Title_Pipe_COA_Sumry">#REF!</definedName>
    <definedName name="_Project_Title_Pipe_Item_Dets">#REF!</definedName>
    <definedName name="_Project_Title_Pipe_Item_Sumry">#REF!</definedName>
    <definedName name="_Project_Title_Proj_Cost_Sumry">#REF!</definedName>
    <definedName name="_Project_Title_Proj_Cost_Sumry_by_Contr">#REF!</definedName>
    <definedName name="_Project_Title_Project_Indirect_Sumry">#REF!</definedName>
    <definedName name="_Project_Title_Steel_COA_Sumry">#REF!</definedName>
    <definedName name="_Project_Title_Steel_Item_Dets">#REF!</definedName>
    <definedName name="_Project_Title_Steel_Item_Sumry">#REF!</definedName>
    <definedName name="_Project_Title_TDC_Item_DetsFull">#REF!</definedName>
    <definedName name="_Project_Title_TDC_Item_Sumry_by_Area">#REF!</definedName>
    <definedName name="_Project_Title_TDC_Key_Qty_Sumry">#REF!</definedName>
    <definedName name="_PSC052">#REF!</definedName>
    <definedName name="_PSC084">#REF!</definedName>
    <definedName name="_PVC1">#REF!</definedName>
    <definedName name="_PVC2">#REF!</definedName>
    <definedName name="_QTY1">IF(USC_MV_Cable=Bitumen,#REF!,IF(USC_MV_Cable=1,#REF!*VLOOKUP(#REF!,CumulativePercentCompletion,5),#REF!/VLOOKUP(#REF!,CumulativePercentCompletion,5)))</definedName>
    <definedName name="_R">#REF!</definedName>
    <definedName name="_RBS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 hidden="1">1</definedName>
    <definedName name="_Report_Header_Equip_Rental_Summary_by_ContrEx">#REF!</definedName>
    <definedName name="_Report_Header_Proj_Cost_Sumry_by_Contr">#REF!</definedName>
    <definedName name="_SC1">#N/A</definedName>
    <definedName name="_Scenario_Name_1_SAP_Upload_By_Area_Detail">#REF!</definedName>
    <definedName name="_Scenario_Name_2_SAP_Upload_By_Area_Spread">#REF!</definedName>
    <definedName name="_Scenario_Name_Civil_COA_Sumry">#REF!</definedName>
    <definedName name="_Scenario_Name_Civil_Item_Dets">#REF!</definedName>
    <definedName name="_Scenario_Name_Civil_Item_Sumry">#REF!</definedName>
    <definedName name="_Scenario_Name_COA_Sumry_by_Area">#REF!</definedName>
    <definedName name="_Scenario_Name_Elec_COA_Sumry">#REF!</definedName>
    <definedName name="_Scenario_Name_Elec_Item_Dets">#REF!</definedName>
    <definedName name="_Scenario_Name_Elec_Item_Sumry">#REF!</definedName>
    <definedName name="_Scenario_Name_Equip_COA_Sumry">#REF!</definedName>
    <definedName name="_Scenario_Name_Equip_Item_Dets">#REF!</definedName>
    <definedName name="_Scenario_Name_Equip_Rental_Summary_by_ContrEx">#REF!</definedName>
    <definedName name="_Scenario_Name_Inst_COA_Sumry">#REF!</definedName>
    <definedName name="_Scenario_Name_Inst_Item_Dets">#REF!</definedName>
    <definedName name="_Scenario_Name_Inst_Item_Sumry">#REF!</definedName>
    <definedName name="_Scenario_Name_Insul_Item_Dets">#REF!</definedName>
    <definedName name="_Scenario_Name_Paint_Item_Dets">#REF!</definedName>
    <definedName name="_Scenario_Name_Pipe_COA_Sumry">#REF!</definedName>
    <definedName name="_Scenario_Name_Pipe_Item_Dets">#REF!</definedName>
    <definedName name="_Scenario_Name_Pipe_Item_Sumry">#REF!</definedName>
    <definedName name="_Scenario_Name_Proj_Cost_Sumry">#REF!</definedName>
    <definedName name="_Scenario_Name_Proj_Cost_Sumry_by_Contr">#REF!</definedName>
    <definedName name="_Scenario_Name_Project_Indirect_Sumry">#REF!</definedName>
    <definedName name="_Scenario_Name_Steel_COA_Sumry">#REF!</definedName>
    <definedName name="_Scenario_Name_Steel_Item_Dets">#REF!</definedName>
    <definedName name="_Scenario_Name_Steel_Item_Sumry">#REF!</definedName>
    <definedName name="_Scenario_Name_TDC_Item_DetsFull">#REF!</definedName>
    <definedName name="_Scenario_Name_TDC_Item_Sumry_by_Area">#REF!</definedName>
    <definedName name="_Scenario_Name_TDC_Key_Qty_Sumry">#REF!</definedName>
    <definedName name="_SCH10">#REF!</definedName>
    <definedName name="_SCH40">#REF!</definedName>
    <definedName name="_Sort" hidden="1">#REF!</definedName>
    <definedName name="_Table1_In1" hidden="1">#REF!</definedName>
    <definedName name="_Table1_Out" hidden="1">#REF!</definedName>
    <definedName name="_tax1">#REF!</definedName>
    <definedName name="_tax2">#REF!</definedName>
    <definedName name="_tax3">#REF!</definedName>
    <definedName name="_tax4">#REF!</definedName>
    <definedName name="_tbc2">#REF!</definedName>
    <definedName name="_tbc2_1">#N/A</definedName>
    <definedName name="_tbc3">#REF!</definedName>
    <definedName name="_tbc3_1">#N/A</definedName>
    <definedName name="_TC1" hidden="1">{#N/A,#N/A,FALSE,"물량산출"}</definedName>
    <definedName name="_wet4" hidden="1">{#N/A,#N/A,FALSE,"포장1";#N/A,#N/A,FALSE,"포장1"}</definedName>
    <definedName name="_wid2">#REF!</definedName>
    <definedName name="_wid2_1">#N/A</definedName>
    <definedName name="_wid3">#REF!</definedName>
    <definedName name="_wid3_1">#N/A</definedName>
    <definedName name="_WP1">#REF!</definedName>
    <definedName name="_wwt0987">#REF!</definedName>
    <definedName name="_wwt123">#REF!</definedName>
    <definedName name="_wwt134">#REF!</definedName>
    <definedName name="_wwt21">#REF!</definedName>
    <definedName name="_wwt56">#REF!</definedName>
    <definedName name="_xlcn.LinkedTable_Table11" hidden="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#REF!</definedName>
    <definedName name="￠´I￠´I￠´I">#N/A</definedName>
    <definedName name="￠￥cAE¡ÆeEⓒo" hidden="1">#REF!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#REF!</definedName>
    <definedName name="¤I¤I¤I">#N/A</definedName>
    <definedName name="°C">#N/A</definedName>
    <definedName name="¹eºI³≫¿ª">#REF!</definedName>
    <definedName name="a">#REF!</definedName>
    <definedName name="a\FGg" hidden="1">{#N/A,#N/A,TRUE,"Cover";#N/A,#N/A,TRUE,"Conts";#N/A,#N/A,TRUE,"VOS";#N/A,#N/A,TRUE,"Warrington";#N/A,#N/A,TRUE,"Widnes"}</definedName>
    <definedName name="A_3100INQ">#REF!</definedName>
    <definedName name="A_3100REV">#REF!</definedName>
    <definedName name="A_3200INQ">#REF!</definedName>
    <definedName name="A_3200REV">#REF!</definedName>
    <definedName name="a_dash">#REF!</definedName>
    <definedName name="A_EQUIP">#REF!</definedName>
    <definedName name="A_LABOR">#REF!</definedName>
    <definedName name="A_MATL">#REF!</definedName>
    <definedName name="A_MH">#REF!</definedName>
    <definedName name="A_OTHER">#REF!</definedName>
    <definedName name="A_REV_TOTAL">#REF!</definedName>
    <definedName name="A¡þ_¡¤ⓒo_AO">#N/A</definedName>
    <definedName name="A￢_·¹_AO">#N/A</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#REF!</definedName>
    <definedName name="aaaaa" hidden="1">{#N/A,#N/A,TRUE,"Basic";#N/A,#N/A,TRUE,"EXT-TABLE";#N/A,#N/A,TRUE,"STEEL";#N/A,#N/A,TRUE,"INT-Table";#N/A,#N/A,TRUE,"STEEL";#N/A,#N/A,TRUE,"Door"}</definedName>
    <definedName name="AAB">#REF!</definedName>
    <definedName name="AAC">#REF!</definedName>
    <definedName name="AAD">#REF!</definedName>
    <definedName name="Aadia">#REF!</definedName>
    <definedName name="AAE">#REF!</definedName>
    <definedName name="aæÐRIiÞA_Iª">#N/A</definedName>
    <definedName name="AAF">#REF!</definedName>
    <definedName name="Aapp">#REF!</definedName>
    <definedName name="Aapp_1">#N/A</definedName>
    <definedName name="aasas">#REF!</definedName>
    <definedName name="Aaspace">#REF!</definedName>
    <definedName name="ab" hidden="1">{#N/A,#N/A,FALSE,"SumD";#N/A,#N/A,FALSE,"ElecD";#N/A,#N/A,FALSE,"MechD";#N/A,#N/A,FALSE,"GeotD";#N/A,#N/A,FALSE,"PrcsD";#N/A,#N/A,FALSE,"TunnD";#N/A,#N/A,FALSE,"CivlD";#N/A,#N/A,FALSE,"NtwkD";#N/A,#N/A,FALSE,"EstgD";#N/A,#N/A,FALSE,"PEngD"}</definedName>
    <definedName name="abc">#REF!</definedName>
    <definedName name="ABCD" hidden="1">#REF!</definedName>
    <definedName name="Abcdefghijklmnopqrstuvwxyz">OFFSET(#REF!,1,0,COUNTA(#REF!),1)</definedName>
    <definedName name="Abdia">#REF!</definedName>
    <definedName name="Abspace">#REF!</definedName>
    <definedName name="abtarea">#REF!</definedName>
    <definedName name="abtarea_1">#N/A</definedName>
    <definedName name="abtends">#REF!</definedName>
    <definedName name="abtends_1">#N/A</definedName>
    <definedName name="abtpi">#REF!</definedName>
    <definedName name="abtpi_1">#N/A</definedName>
    <definedName name="abtpiledia">#REF!</definedName>
    <definedName name="abtpiledia_1">#N/A</definedName>
    <definedName name="abutpiles">#REF!</definedName>
    <definedName name="abutpiles_1">#N/A</definedName>
    <definedName name="Ac">#REF!</definedName>
    <definedName name="aⓒ¡¨￠RIi¨­A_I¨￡">#N/A</definedName>
    <definedName name="Acap">#REF!</definedName>
    <definedName name="Acap_1">#N/A</definedName>
    <definedName name="AccessDatabase" hidden="1">"C:\WIN95\Desktop\Ramesh\AIC\Aic.mdb"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ount">#REF!</definedName>
    <definedName name="Acdia">#REF!</definedName>
    <definedName name="Acspace">#REF!</definedName>
    <definedName name="ACTIVITY_5">#REF!</definedName>
    <definedName name="ACTIVITY_6">#REF!</definedName>
    <definedName name="ActualStaffList">#REF!</definedName>
    <definedName name="Ad">#REF!</definedName>
    <definedName name="ada" hidden="1">{#N/A,#N/A,FALSE,"갑지";#N/A,#N/A,FALSE,"개요";#N/A,#N/A,FALSE,"비목별";#N/A,#N/A,FALSE,"건물별";#N/A,#N/A,FALSE,"기구표";#N/A,#N/A,FALSE,"직원투입"}</definedName>
    <definedName name="adadad" hidden="1">{#N/A,#N/A,TRUE,"Cover";#N/A,#N/A,TRUE,"Conts";#N/A,#N/A,TRUE,"VOS";#N/A,#N/A,TRUE,"Warrington";#N/A,#N/A,TRUE,"Widnes"}</definedName>
    <definedName name="addad" hidden="1">{#N/A,#N/A,TRUE,"Cover";#N/A,#N/A,TRUE,"Conts";#N/A,#N/A,TRUE,"VOS";#N/A,#N/A,TRUE,"Warrington";#N/A,#N/A,TRUE,"Widnes"}</definedName>
    <definedName name="addbeam">#REF!</definedName>
    <definedName name="addbeam_1">#N/A</definedName>
    <definedName name="Addia">#REF!</definedName>
    <definedName name="ADDRESS">#REF!</definedName>
    <definedName name="adf">#REF!</definedName>
    <definedName name="AdjPartPoss">#REF!</definedName>
    <definedName name="adpvol">#REF!</definedName>
    <definedName name="adpvol_1">#N/A</definedName>
    <definedName name="Adspace">#REF!</definedName>
    <definedName name="AdvancePaymentLevel">#REF!</definedName>
    <definedName name="Ae">#REF!</definedName>
    <definedName name="Aedia">#REF!</definedName>
    <definedName name="Aespace">#REF!</definedName>
    <definedName name="aFDf" hidden="1">{#N/A,#N/A,FALSE,"혼합골재"}</definedName>
    <definedName name="AFGIS_ELECT">#REF!</definedName>
    <definedName name="Aflar">#REF!</definedName>
    <definedName name="Aflar_1">#N/A</definedName>
    <definedName name="AFTER_MP">#REF!</definedName>
    <definedName name="agdump">#REF!</definedName>
    <definedName name="agedump">#REF!</definedName>
    <definedName name="agencydump">#REF!</definedName>
    <definedName name="AGENCYLY">#REF!</definedName>
    <definedName name="AGENCYPLAN">#REF!</definedName>
    <definedName name="agf" hidden="1">{#N/A,#N/A,FALSE,"CAM-G7";#N/A,#N/A,FALSE,"SPL";#N/A,#N/A,FALSE,"butt-in G7";#N/A,#N/A,FALSE,"dia-in G7";#N/A,#N/A,FALSE,"추가-STA G7"}</definedName>
    <definedName name="AggregateBaseCourse">#REF!</definedName>
    <definedName name="Aic_Instrumentation_List">#REF!</definedName>
    <definedName name="air_trap">#REF!</definedName>
    <definedName name="AIRCON">#REF!</definedName>
    <definedName name="AIs">#REF!</definedName>
    <definedName name="ALL">#REF!</definedName>
    <definedName name="All_Item">#REF!</definedName>
    <definedName name="All_Reports">#REF!,#REF!</definedName>
    <definedName name="Allowance">#REF!</definedName>
    <definedName name="ALPIN">#N/A</definedName>
    <definedName name="ALPJYOU">#N/A</definedName>
    <definedName name="ALPTOI">#N/A</definedName>
    <definedName name="Amount">#REF!</definedName>
    <definedName name="Amount_of_repayment_due_from_previous_years">#REF!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ev_paid">#REF!</definedName>
    <definedName name="Amt_prev_paid_range">#REF!</definedName>
    <definedName name="Amt_Project">#REF!</definedName>
    <definedName name="Amt_Sub.Struc">#REF!</definedName>
    <definedName name="Amt_Super.Struc">#REF!</definedName>
    <definedName name="anchor">#REF!</definedName>
    <definedName name="angle">#REF!</definedName>
    <definedName name="AnnivesaryDateCOR">#REF!</definedName>
    <definedName name="anscount" hidden="1">1</definedName>
    <definedName name="antiicpated">#REF!</definedName>
    <definedName name="ANX3A16.1">#REF!</definedName>
    <definedName name="AP">#REF!</definedName>
    <definedName name="app_q">#REF!</definedName>
    <definedName name="applen">#REF!</definedName>
    <definedName name="applen_1">#N/A</definedName>
    <definedName name="appndx">#REF!</definedName>
    <definedName name="apporx_quants">#REF!</definedName>
    <definedName name="appraisal" hidden="1">{#N/A,#N/A,TRUE,"Cover";#N/A,#N/A,TRUE,"Conts";#N/A,#N/A,TRUE,"VOS";#N/A,#N/A,TRUE,"Warrington";#N/A,#N/A,TRUE,"Widnes"}</definedName>
    <definedName name="Approval">#REF!</definedName>
    <definedName name="April_2006___to_QAR">#REF!</definedName>
    <definedName name="aqwse">#N/A</definedName>
    <definedName name="ar">#REF!</definedName>
    <definedName name="ARCH_CITY">#REF!</definedName>
    <definedName name="ARCH_ESC">#REF!</definedName>
    <definedName name="ARCH_OLD_CITY">#REF!</definedName>
    <definedName name="ARCH_OLD_ESC">#REF!</definedName>
    <definedName name="ARCH_OLD_PROD">#REF!</definedName>
    <definedName name="ARCH_OLD_WAGE">#REF!</definedName>
    <definedName name="ARCH_PROD">#REF!</definedName>
    <definedName name="ARCH_WAGE">#REF!</definedName>
    <definedName name="are">#REF!</definedName>
    <definedName name="area">#REF!</definedName>
    <definedName name="AREAS">#REF!</definedName>
    <definedName name="areas2">#REF!</definedName>
    <definedName name="areatop2">#REF!</definedName>
    <definedName name="areatop2_1">#N/A</definedName>
    <definedName name="as" hidden="1">{#N/A,#N/A,FALSE,"SumD";#N/A,#N/A,FALSE,"ElecD";#N/A,#N/A,FALSE,"MechD";#N/A,#N/A,FALSE,"GeotD";#N/A,#N/A,FALSE,"PrcsD";#N/A,#N/A,FALSE,"TunnD";#N/A,#N/A,FALSE,"CivlD";#N/A,#N/A,FALSE,"NtwkD";#N/A,#N/A,FALSE,"EstgD";#N/A,#N/A,FALSE,"PEngD"}</definedName>
    <definedName name="asadad" hidden="1">{#N/A,#N/A,TRUE,"Cover";#N/A,#N/A,TRUE,"Conts";#N/A,#N/A,TRUE,"VOS";#N/A,#N/A,TRUE,"Warrington";#N/A,#N/A,TRUE,"Widnes"}</definedName>
    <definedName name="ASD">#REF!</definedName>
    <definedName name="ASDFASDF" hidden="1">{#N/A,#N/A,FALSE,"CAM-G7";#N/A,#N/A,FALSE,"SPL";#N/A,#N/A,FALSE,"butt-in G7";#N/A,#N/A,FALSE,"dia-in G7";#N/A,#N/A,FALSE,"추가-STA G7"}</definedName>
    <definedName name="AsphalticBaseCourse">#REF!</definedName>
    <definedName name="ASSA" hidden="1">{#N/A,#N/A,TRUE,"Cover";#N/A,#N/A,TRUE,"Conts";#N/A,#N/A,TRUE,"VOS";#N/A,#N/A,TRUE,"Warrington";#N/A,#N/A,TRUE,"Widnes"}</definedName>
    <definedName name="asss" hidden="1">{#N/A,#N/A,TRUE,"Cover";#N/A,#N/A,TRUE,"Conts";#N/A,#N/A,TRUE,"VOS";#N/A,#N/A,TRUE,"Warrington";#N/A,#N/A,TRUE,"Widnes"}</definedName>
    <definedName name="At_risk">#REF!</definedName>
    <definedName name="Atas">#REF!</definedName>
    <definedName name="ATF">QTY*UMH</definedName>
    <definedName name="atrisk_total_net_rent_for_cashflow">#REF!</definedName>
    <definedName name="ATS">#REF!</definedName>
    <definedName name="Au">#N/A</definedName>
    <definedName name="AUDCAD">#REF!</definedName>
    <definedName name="AuditMemo">#REF!</definedName>
    <definedName name="aux">#REF!</definedName>
    <definedName name="AUX_CONT_PNLS">#REF!</definedName>
    <definedName name="Available_for_Distribution_before_Clawback">#REF!</definedName>
    <definedName name="avethk">#REF!</definedName>
    <definedName name="avethk_1">#N/A</definedName>
    <definedName name="avewid">#REF!</definedName>
    <definedName name="avewid_1">#N/A</definedName>
    <definedName name="B">#REF!+1</definedName>
    <definedName name="b_dash">#REF!</definedName>
    <definedName name="B_FLG">#REF!</definedName>
    <definedName name="b000">#REF!</definedName>
    <definedName name="b00000">#REF!</definedName>
    <definedName name="B1T">#REF!</definedName>
    <definedName name="B2T">#REF!</definedName>
    <definedName name="B3T">#REF!</definedName>
    <definedName name="B4T">#REF!</definedName>
    <definedName name="B5T">#REF!</definedName>
    <definedName name="B6T">#REF!</definedName>
    <definedName name="B7T">#REF!</definedName>
    <definedName name="Ba">#REF!</definedName>
    <definedName name="back_pressure">#REF!</definedName>
    <definedName name="Badia">#REF!</definedName>
    <definedName name="ball">#REF!</definedName>
    <definedName name="Bar_D10">#REF!</definedName>
    <definedName name="Bar_D13">#REF!</definedName>
    <definedName name="Bar_D16">#REF!</definedName>
    <definedName name="Bar_D19">#REF!</definedName>
    <definedName name="Bar_D22">#REF!</definedName>
    <definedName name="Bar_D25">#REF!</definedName>
    <definedName name="Bar_D29">#REF!</definedName>
    <definedName name="Bar_D32">#REF!</definedName>
    <definedName name="BARBICAN">#REF!</definedName>
    <definedName name="BASE">#REF!</definedName>
    <definedName name="Base_Qty_DB">IF(VLOOKUP(#REF!,DB_PRICING,9,FALSE())=0,0,VLOOKUP(#REF!,DB_PRICING,9,FALSE()))</definedName>
    <definedName name="basic">#REF!</definedName>
    <definedName name="Basic_data">#REF!</definedName>
    <definedName name="BASIS">#REF!</definedName>
    <definedName name="BASIS1">#REF!</definedName>
    <definedName name="Baspace">#REF!</definedName>
    <definedName name="BB">#REF!</definedName>
    <definedName name="BBB">#REF!</definedName>
    <definedName name="Bbdia">#REF!</definedName>
    <definedName name="Bbspace">#REF!</definedName>
    <definedName name="Bc">#REF!</definedName>
    <definedName name="Bcdia">#REF!</definedName>
    <definedName name="Bcspace">#REF!</definedName>
    <definedName name="Bd">#REF!</definedName>
    <definedName name="BD1M">#REF!</definedName>
    <definedName name="BD1Y">#REF!</definedName>
    <definedName name="BD3M">#REF!</definedName>
    <definedName name="BD3Y">#REF!</definedName>
    <definedName name="Bddia">#REF!</definedName>
    <definedName name="BDEF" hidden="1">{#N/A,#N/A,FALSE,"CAM-G7";#N/A,#N/A,FALSE,"SPL";#N/A,#N/A,FALSE,"butt-in G7";#N/A,#N/A,FALSE,"dia-in G7";#N/A,#N/A,FALSE,"추가-STA G7"}</definedName>
    <definedName name="BDR">#REF!</definedName>
    <definedName name="BDRBLD">#REF!</definedName>
    <definedName name="Bdspace">#REF!</definedName>
    <definedName name="Be">#REF!</definedName>
    <definedName name="Beam">#REF!</definedName>
    <definedName name="Bedia">#REF!</definedName>
    <definedName name="BEFORE_MP">#REF!</definedName>
    <definedName name="Bend_Dia">#REF!</definedName>
    <definedName name="Bend_Ø">#REF!</definedName>
    <definedName name="Bespace">#REF!</definedName>
    <definedName name="Bf">#REF!</definedName>
    <definedName name="Bf_1">#N/A</definedName>
    <definedName name="Bid_Currency_Rate">#REF!</definedName>
    <definedName name="BidCurrency">#REF!</definedName>
    <definedName name="BIDDERNAME">"SupplierName"</definedName>
    <definedName name="BidWeekDayHours">#REF!</definedName>
    <definedName name="BidWeekDays">#REF!</definedName>
    <definedName name="BidWeeks">#REF!</definedName>
    <definedName name="Biju" hidden="1">{#N/A,#N/A,FALSE,"SumG";#N/A,#N/A,FALSE,"ElecG";#N/A,#N/A,FALSE,"MechG";#N/A,#N/A,FALSE,"GeotG";#N/A,#N/A,FALSE,"PrcsG";#N/A,#N/A,FALSE,"TunnG";#N/A,#N/A,FALSE,"CivlG";#N/A,#N/A,FALSE,"NtwkG";#N/A,#N/A,FALSE,"EstgG";#N/A,#N/A,FALSE,"PEngG"}</definedName>
    <definedName name="BILL">#REF!</definedName>
    <definedName name="bill1">#REF!</definedName>
    <definedName name="bill11">#REF!</definedName>
    <definedName name="bill12">#REF!</definedName>
    <definedName name="bill13">#REF!</definedName>
    <definedName name="bill14">#REF!</definedName>
    <definedName name="bill15">#REF!</definedName>
    <definedName name="bill16">#REF!</definedName>
    <definedName name="bill17">#REF!</definedName>
    <definedName name="bill18">#REF!</definedName>
    <definedName name="bill19">#REF!</definedName>
    <definedName name="bill2">#REF!</definedName>
    <definedName name="bill20">#REF!</definedName>
    <definedName name="bill21">#REF!</definedName>
    <definedName name="bill24">#REF!</definedName>
    <definedName name="bill3">#REF!</definedName>
    <definedName name="bill4">#REF!</definedName>
    <definedName name="bill5">#REF!</definedName>
    <definedName name="bill6">#REF!</definedName>
    <definedName name="bill7">#REF!</definedName>
    <definedName name="bill8">#REF!</definedName>
    <definedName name="bill9">#REF!</definedName>
    <definedName name="Billings">#REF!</definedName>
    <definedName name="BILLPRIN">#REF!</definedName>
    <definedName name="Bitumen">#REF!</definedName>
    <definedName name="BJ1M">#REF!</definedName>
    <definedName name="BJ1Y">#REF!</definedName>
    <definedName name="BJ3M">#REF!</definedName>
    <definedName name="BJ3Y">#REF!</definedName>
    <definedName name="Bld_Eq">#REF!</definedName>
    <definedName name="BldArea">#REF!</definedName>
    <definedName name="BldRatio">#REF!</definedName>
    <definedName name="BLIST">#REF!</definedName>
    <definedName name="Blue">#REF!</definedName>
    <definedName name="BM.1">#REF!</definedName>
    <definedName name="BM.AFC">#REF!</definedName>
    <definedName name="bmsum">#REF!</definedName>
    <definedName name="bob" hidden="1">{#N/A,#N/A,TRUE,"Page de garde";#N/A,#N/A,TRUE,"Estimation ingénierie";#N/A,#N/A,TRUE,"Synthése des heures";#N/A,#N/A,TRUE,"Etudes préliminaires";#N/A,#N/A,TRUE,"Avant projet";#N/A,#N/A,TRUE,"Projet";#N/A,#N/A,TRUE,"Approvisionnement";#N/A,#N/A,TRUE,"Construction";#N/A,#N/A,TRUE,"Essais  mise en route"}</definedName>
    <definedName name="bob.bob" hidden="1">{#N/A,#N/A,TRUE,"Page de garde";#N/A,#N/A,TRUE,"Estimation ingénierie";#N/A,#N/A,TRUE,"Synthése des heures";#N/A,#N/A,TRUE,"Etudes préliminaires";#N/A,#N/A,TRUE,"Avant projet";#N/A,#N/A,TRUE,"Projet";#N/A,#N/A,TRUE,"Approvisionnement";#N/A,#N/A,TRUE,"Construction";#N/A,#N/A,TRUE,"Essais  mise en route"}</definedName>
    <definedName name="BOGROLLS">#REF!</definedName>
    <definedName name="BOLT">#REF!</definedName>
    <definedName name="book">#REF!</definedName>
    <definedName name="BOP_INS">IF(#REF!="INS",VLOOKUP(#REF!,insb,HLOOKUP(#REF!,bop,2)+1,FALSE()),0)</definedName>
    <definedName name="BOP_LAB">VLOOKUP(#REF!,boplab,HLOOKUP(#REF!,bop,2),FALSE())+(VLOOKUP(#REF!,boplab,HLOOKUP(#REF!,bop,2)+1,FALSE())-VLOOKUP(#REF!,boplab,HLOOKUP(#REF!,bop,2),FALSE()))*(#REF!-HLOOKUP(#REF!,bop,1))/(HLOOKUP(#REF!+2,bop,1)-HLOOKUP(#REF!,bop,1))</definedName>
    <definedName name="BOP_MAT">VLOOKUP(#REF!,bopmat,HLOOKUP(#REF!,bop,2)+1,FALSE())+(VLOOKUP(#REF!,bopmat,HLOOKUP(#REF!,bop,2)+1+1,FALSE())-VLOOKUP(#REF!,bopmat,HLOOKUP(#REF!,bop,2)+1,FALSE()))*(#REF!-HLOOKUP(#REF!,bop,1))</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q">#REF!</definedName>
    <definedName name="boqformat">#REF!</definedName>
    <definedName name="borabt">#REF!</definedName>
    <definedName name="borabt_1">#N/A</definedName>
    <definedName name="Bored_60">#REF!</definedName>
    <definedName name="borlen1">#REF!</definedName>
    <definedName name="borlen1_1">#N/A</definedName>
    <definedName name="borlen2">#REF!</definedName>
    <definedName name="borlen2_1">#N/A</definedName>
    <definedName name="borlen3">#REF!</definedName>
    <definedName name="borlen3_1">#N/A</definedName>
    <definedName name="BOSS">#REF!</definedName>
    <definedName name="BOX_RA02">#REF!</definedName>
    <definedName name="BOX_RB02">#REF!</definedName>
    <definedName name="boxes">#REF!</definedName>
    <definedName name="Boxvol">#REF!</definedName>
    <definedName name="Boxvol_1">#N/A</definedName>
    <definedName name="BQT">#REF!</definedName>
    <definedName name="Brgname">#REF!</definedName>
    <definedName name="Brgname_1">#N/A</definedName>
    <definedName name="bRKRKRKRKRTDK">#REF!</definedName>
    <definedName name="Brname">#REF!</definedName>
    <definedName name="Brname_1">#N/A</definedName>
    <definedName name="Brown">#REF!</definedName>
    <definedName name="BS" hidden="1">{#N/A,#N/A,FALSE,"CAM-G7";#N/A,#N/A,FALSE,"SPL";#N/A,#N/A,FALSE,"butt-in G7";#N/A,#N/A,FALSE,"dia-in G7";#N/A,#N/A,FALSE,"추가-STA G7"}</definedName>
    <definedName name="BSDF" hidden="1">{#N/A,#N/A,FALSE,"CAM-G7";#N/A,#N/A,FALSE,"SPL";#N/A,#N/A,FALSE,"butt-in G7";#N/A,#N/A,FALSE,"dia-in G7";#N/A,#N/A,FALSE,"추가-STA G7"}</definedName>
    <definedName name="budget">'[1]KEY Data – do not delete –'!#REF!</definedName>
    <definedName name="BudgetOriginal">#REF!</definedName>
    <definedName name="BUILDING">#REF!</definedName>
    <definedName name="BUILDINGS">#REF!</definedName>
    <definedName name="BUILDINGS1">#REF!</definedName>
    <definedName name="BuiltIn_Print_Area">#REF!</definedName>
    <definedName name="BuiltIn_Print_Titles">#N/A</definedName>
    <definedName name="BULKMATERIAL_UNIT_COST">#REF!,#REF!,#REF!,#REF!,#REF!,#REF!,#REF!</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PA">#REF!</definedName>
    <definedName name="BUPA1">#REF!</definedName>
    <definedName name="BUS">#REF!</definedName>
    <definedName name="Business_Travel_Rates">#REF!</definedName>
    <definedName name="butterfly">#REF!</definedName>
    <definedName name="Button_1">"현장별출고현황_가동_List"</definedName>
    <definedName name="Button_2">"현장별출고현황_가동_List1"</definedName>
    <definedName name="button_area_1">#REF!</definedName>
    <definedName name="C_">#N/A</definedName>
    <definedName name="c_margin">#REF!</definedName>
    <definedName name="CA">#REF!</definedName>
    <definedName name="CA8Ganga">#REF!</definedName>
    <definedName name="CABLE">#REF!</definedName>
    <definedName name="CABLE_5KV">#REF!</definedName>
    <definedName name="CABLE_600V">#REF!</definedName>
    <definedName name="Cable_disc">#REF!</definedName>
    <definedName name="CABLE_PRICING">#REF!</definedName>
    <definedName name="CABLE_TYPE_15KV">#REF!</definedName>
    <definedName name="CABLE_TYPE_5KV">#REF!</definedName>
    <definedName name="cal_row">RANGE(#REF!,ROW())</definedName>
    <definedName name="Calc_Error">#REF!</definedName>
    <definedName name="Calc_OK">#REF!</definedName>
    <definedName name="CalcAgencyPrice">#REF!</definedName>
    <definedName name="CalcTerm">#REF!</definedName>
    <definedName name="calculation">#REF!</definedName>
    <definedName name="Caldays">#REF!,#REF!,#REF!,#REF!,#REF!,#REF!,#REF!,#REF!,#REF!,#REF!,#REF!,#REF!,#REF!,#REF!,#REF!,#REF!,#REF!,#REF!,#REF!,#REF!,#REF!,#REF!,#REF!,#REF!,#REF!,#REF!,#REF!,#REF!,#REF!,#REF!,#REF!,#REF!,#REF!,#REF!,#REF!,#REF!,#REF!</definedName>
    <definedName name="calendarDays">#REF!,#REF!,#REF!,#REF!,#REF!,#REF!,#REF!,#REF!,#REF!,#REF!,#REF!,#REF!,#REF!,#REF!,#REF!,#REF!,#REF!,#REF!,#REF!,#REF!,#REF!,#REF!,#REF!,#REF!,#REF!,#REF!,#REF!,#REF!,#REF!,#REF!,#REF!,#REF!,#REF!,#REF!,#REF!,#REF!,#REF!</definedName>
    <definedName name="calendarRange">#REF!</definedName>
    <definedName name="CALISANPERSONEL">#REF!</definedName>
    <definedName name="Canal">#REF!</definedName>
    <definedName name="CAP">#REF!</definedName>
    <definedName name="car_park_cash_flow">#REF!</definedName>
    <definedName name="Carlist">#REF!</definedName>
    <definedName name="Case_100">#REF!</definedName>
    <definedName name="Case_80">#REF!</definedName>
    <definedName name="cash">#REF!</definedName>
    <definedName name="cashfl" hidden="1">{#N/A,#N/A,TRUE,"Cover";#N/A,#N/A,TRUE,"Conts";#N/A,#N/A,TRUE,"VOS";#N/A,#N/A,TRUE,"Warrington";#N/A,#N/A,TRUE,"Widnes"}</definedName>
    <definedName name="CATAL">#REF!</definedName>
    <definedName name="CATEGORY">#REF!</definedName>
    <definedName name="Category_All">#REF!</definedName>
    <definedName name="CatEyes">#REF!</definedName>
    <definedName name="CATIN">#N/A</definedName>
    <definedName name="CATJYOU">#N/A</definedName>
    <definedName name="CATREC">#N/A</definedName>
    <definedName name="CATSYU">#N/A</definedName>
    <definedName name="CB_VST" hidden="1">{#N/A,#N/A,FALSE,"CAM-G7";#N/A,#N/A,FALSE,"SPL";#N/A,#N/A,FALSE,"butt-in G7";#N/A,#N/A,FALSE,"dia-in G7";#N/A,#N/A,FALSE,"추가-STA G7"}</definedName>
    <definedName name="CC">#REF!</definedName>
    <definedName name="ccc" hidden="1">{#N/A,#N/A,FALSE,"SumD";#N/A,#N/A,FALSE,"ElecD";#N/A,#N/A,FALSE,"MechD";#N/A,#N/A,FALSE,"GeotD";#N/A,#N/A,FALSE,"PrcsD";#N/A,#N/A,FALSE,"TunnD";#N/A,#N/A,FALSE,"CivlD";#N/A,#N/A,FALSE,"NtwkD";#N/A,#N/A,FALSE,"EstgD";#N/A,#N/A,FALSE,"PEngD"}</definedName>
    <definedName name="cccc">#REF!</definedName>
    <definedName name="cccccccc">#REF!</definedName>
    <definedName name="CCR">#REF!</definedName>
    <definedName name="CCS">#N/A</definedName>
    <definedName name="CCT">#REF!</definedName>
    <definedName name="CD" hidden="1">#REF!</definedName>
    <definedName name="Cdnum">#REF!</definedName>
    <definedName name="cellper">#REF!</definedName>
    <definedName name="cellper_1">#N/A</definedName>
    <definedName name="cellsRightOfDay">#REF!,#REF!,#REF!,#REF!,#REF!,#REF!,#REF!,#REF!,#REF!,#REF!,#REF!,#REF!,#REF!,#REF!,#REF!,#REF!,#REF!,#REF!,#REF!,#REF!,#REF!,#REF!,#REF!,#REF!,#REF!,#REF!,#REF!,#REF!,#REF!,#REF!,#REF!,#REF!,#REF!,#REF!,#REF!,#REF!,#REF!</definedName>
    <definedName name="celltips_area">#REF!</definedName>
    <definedName name="CEMS_SYS">#REF!</definedName>
    <definedName name="Certi_unitprice">#REF!</definedName>
    <definedName name="Certi_unitprice_h">#REF!</definedName>
    <definedName name="Certi_unitprice_u">#REF!</definedName>
    <definedName name="CF">#REF!</definedName>
    <definedName name="CH">#REF!</definedName>
    <definedName name="change">#REF!</definedName>
    <definedName name="Change_Status">#REF!</definedName>
    <definedName name="change_year">#REF!</definedName>
    <definedName name="chart">#REF!</definedName>
    <definedName name="chart1_1ano">OFFSET(#REF!,,,MATCH("",#REF!,0)-ROW(#REF!))</definedName>
    <definedName name="chart1_1mes">OFFSET(#REF!,,,MATCH("",#REF!,0)-ROW(#REF!))</definedName>
    <definedName name="chart1_1semana">OFFSET(#REF!,,,MATCH("",#REF!,0)-ROW(#REF!))</definedName>
    <definedName name="chart1_2semanas">OFFSET(#REF!,,,MATCH("",#REF!,0)-ROW(#REF!))</definedName>
    <definedName name="chart1_3meses">OFFSET(#REF!,,,MATCH("",#REF!,0)-ROW(#REF!))</definedName>
    <definedName name="chart1_6meses">OFFSET(#REF!,,,MATCH("",#REF!,0)-ROW(#REF!))</definedName>
    <definedName name="chart1_labels">OFFSET(#REF!,,,MATCH("",#REF!,0)-ROW(#REF!))</definedName>
    <definedName name="chart1_Supplier">OFFSET(#REF!,,,MATCH("",#REF!,0)-ROW(#REF!))</definedName>
    <definedName name="check">#REF!</definedName>
    <definedName name="CHECKEDBY_ELBK">#REF!</definedName>
    <definedName name="CHECKEDBY_ELEQ">#REF!</definedName>
    <definedName name="CHECKEDBY_INSTR">#REF!</definedName>
    <definedName name="chen" hidden="1">#REF!</definedName>
    <definedName name="CHOICE">#REF!</definedName>
    <definedName name="choices_2">#REF!</definedName>
    <definedName name="choices_3">#REF!</definedName>
    <definedName name="choices_5">#REF!</definedName>
    <definedName name="CIP">#REF!</definedName>
    <definedName name="CIQWBGuid" hidden="1">"750198b7-9025-46ea-9424-87dc0baf981b"</definedName>
    <definedName name="circu1">#REF!</definedName>
    <definedName name="circu1_1">#N/A</definedName>
    <definedName name="circu2">#REF!</definedName>
    <definedName name="circu2_1">#N/A</definedName>
    <definedName name="CIRCUITS">#REF!</definedName>
    <definedName name="Civ_Det_Des">IF(VLOOKUP(#REF!,price_civil,1,FALSE())=0,0,VLOOKUP(#REF!,price_civil,2,FALSE()))</definedName>
    <definedName name="Civ_Det_Des1">IF(VLOOKUP(#REF!,price_civil,1,FALSE())=0,0,VLOOKUP(#REF!,price_civil,2,FALSE()))</definedName>
    <definedName name="Civil">#REF!</definedName>
    <definedName name="Civil_Eq">#REF!</definedName>
    <definedName name="CIVIL_OLD_CITY">#REF!</definedName>
    <definedName name="CIVIL_OLD_ESC">#REF!</definedName>
    <definedName name="CIVIL_OLD_WAGE">#REF!</definedName>
    <definedName name="CIVIL10_CITY">#REF!</definedName>
    <definedName name="CIVIL10_ESC">#REF!</definedName>
    <definedName name="CIVIL10_OLD_PROD">#REF!</definedName>
    <definedName name="CIVIL10_PROD">#REF!</definedName>
    <definedName name="CIVIL10_WAGE">#REF!</definedName>
    <definedName name="CJ1M">#REF!</definedName>
    <definedName name="CJ1Y">#REF!</definedName>
    <definedName name="CJ3M">#REF!</definedName>
    <definedName name="CJ3Y">#REF!</definedName>
    <definedName name="CKT_QTY">#REF!</definedName>
    <definedName name="CKTS">#REF!</definedName>
    <definedName name="CKTS_SWYD">#REF!</definedName>
    <definedName name="claim">#REF!</definedName>
    <definedName name="claims">#REF!</definedName>
    <definedName name="ClaimsMemo">#REF!</definedName>
    <definedName name="CLASS">#N/A</definedName>
    <definedName name="CLASSE2">#REF!</definedName>
    <definedName name="Clawback_Payable">#REF!</definedName>
    <definedName name="Cleaning_List">#REF!</definedName>
    <definedName name="ClearingAndGrubbing">#REF!</definedName>
    <definedName name="clength">#REF!</definedName>
    <definedName name="clength_1">#N/A</definedName>
    <definedName name="Client">#REF!</definedName>
    <definedName name="CM">#REF!</definedName>
    <definedName name="CN">#REF!</definedName>
    <definedName name="cnpypaint">#REF!</definedName>
    <definedName name="CNTL_VALVE">#REF!</definedName>
    <definedName name="CNTL_VALVE_PRICE">#REF!</definedName>
    <definedName name="COAT">#REF!</definedName>
    <definedName name="cocnlen1">#REF!</definedName>
    <definedName name="cocnlen1_1">#N/A</definedName>
    <definedName name="CODE">#REF!</definedName>
    <definedName name="CODE_AFGIS">#REF!</definedName>
    <definedName name="CODE_B">#REF!</definedName>
    <definedName name="CODE_E">#REF!</definedName>
    <definedName name="CODE_F">#REF!</definedName>
    <definedName name="CODE_MPA">#REF!</definedName>
    <definedName name="CODE_P">#REF!</definedName>
    <definedName name="code_q">#REF!</definedName>
    <definedName name="CODE_S">#REF!</definedName>
    <definedName name="Code_Unit07">#REF!</definedName>
    <definedName name="Code_Unit08">#REF!</definedName>
    <definedName name="Code_Unit09">#REF!</definedName>
    <definedName name="Code_Unit10">#REF!</definedName>
    <definedName name="Code_Unit14">#REF!</definedName>
    <definedName name="ⓒoe¨￢Iⓒø¡i￠?¨￡">#REF!</definedName>
    <definedName name="Column" hidden="1">#REF!</definedName>
    <definedName name="Columns">#REF!</definedName>
    <definedName name="Columns1">#REF!</definedName>
    <definedName name="COM">#REF!</definedName>
    <definedName name="COMBO">#REF!</definedName>
    <definedName name="COMM_UOM">#REF!,#REF!,#REF!,#REF!,#REF!,#REF!,#REF!</definedName>
    <definedName name="COMMCODE">#REF!,#REF!,#REF!,#REF!,#REF!,#REF!,#REF!</definedName>
    <definedName name="Commencement">#REF!</definedName>
    <definedName name="Commission">#REF!</definedName>
    <definedName name="companies">#REF!</definedName>
    <definedName name="compiercircu">#REF!</definedName>
    <definedName name="compiercircu_1">#N/A</definedName>
    <definedName name="compierstri">#REF!</definedName>
    <definedName name="compierstri_1">#N/A</definedName>
    <definedName name="compiersufare">#REF!</definedName>
    <definedName name="compiersufare_1">#N/A</definedName>
    <definedName name="compiertopare">#REF!</definedName>
    <definedName name="compiertopare_1">#N/A</definedName>
    <definedName name="compiervol">#REF!</definedName>
    <definedName name="compiervol_1">#N/A</definedName>
    <definedName name="completion_date">#REF!</definedName>
    <definedName name="con">#REF!</definedName>
    <definedName name="Con_unitprice">#REF!</definedName>
    <definedName name="Conc">#REF!</definedName>
    <definedName name="Conc_1">#REF!</definedName>
    <definedName name="Conc_10">#REF!</definedName>
    <definedName name="Conc_100">#REF!</definedName>
    <definedName name="Conc_20">#REF!</definedName>
    <definedName name="Conc_24">#REF!</definedName>
    <definedName name="Conc_30">#REF!</definedName>
    <definedName name="Conc_40">#REF!</definedName>
    <definedName name="Conc_50">#REF!</definedName>
    <definedName name="Conc_60">#REF!</definedName>
    <definedName name="Conc_70">#REF!</definedName>
    <definedName name="Conc_80">#REF!</definedName>
    <definedName name="Conc_90">#REF!</definedName>
    <definedName name="conc2">#REF!</definedName>
    <definedName name="conc2_1">#N/A</definedName>
    <definedName name="concabt">#REF!</definedName>
    <definedName name="concabt_1">#N/A</definedName>
    <definedName name="conclen3">#REF!</definedName>
    <definedName name="conclen3_1">#N/A</definedName>
    <definedName name="ConcreteClassA">#REF!</definedName>
    <definedName name="COND_PRICING">#REF!</definedName>
    <definedName name="ConDesFinCert">#REF!</definedName>
    <definedName name="ConDesIntCert">#REF!</definedName>
    <definedName name="ConDesStRetn">#REF!</definedName>
    <definedName name="condition">#N/A</definedName>
    <definedName name="CONDUIT">#REF!</definedName>
    <definedName name="Conn">#REF!</definedName>
    <definedName name="Conn_Type">#REF!</definedName>
    <definedName name="CONS">#REF!</definedName>
    <definedName name="Cons_Hrs">#REF!</definedName>
    <definedName name="Cons_Rev">#REF!</definedName>
    <definedName name="CONST_BASIS">#REF!</definedName>
    <definedName name="Cont">#REF!</definedName>
    <definedName name="Cont1">#REF!</definedName>
    <definedName name="Contingency">#REF!</definedName>
    <definedName name="contract">'[1]KEY Data – do not delete –'!#REF!</definedName>
    <definedName name="Contract_sum1">#REF!</definedName>
    <definedName name="ContractAdministrator">#REF!</definedName>
    <definedName name="Contractor">#REF!</definedName>
    <definedName name="ContrAdministr">#REF!</definedName>
    <definedName name="Contribution_OP">#REF!</definedName>
    <definedName name="Conv">#REF!</definedName>
    <definedName name="COPP">#REF!</definedName>
    <definedName name="COPPER_PRICE">#REF!</definedName>
    <definedName name="COPY">#N/A</definedName>
    <definedName name="copy_this">#REF!</definedName>
    <definedName name="CORDailyAdjustment">#REF!</definedName>
    <definedName name="CORHourlyAdjustment">#REF!</definedName>
    <definedName name="Corporate">#REF!</definedName>
    <definedName name="CORRoundID">#REF!</definedName>
    <definedName name="CORWeeklyAdjustment">#REF!</definedName>
    <definedName name="CORYear01">#REF!</definedName>
    <definedName name="CORYear02">#REF!</definedName>
    <definedName name="CORYear03">#REF!</definedName>
    <definedName name="CORYear04">#REF!</definedName>
    <definedName name="CORYear05">#REF!</definedName>
    <definedName name="CORYear06">#REF!</definedName>
    <definedName name="CORYear07">#REF!</definedName>
    <definedName name="CORYear08">#REF!</definedName>
    <definedName name="CORYear09">#REF!</definedName>
    <definedName name="CORYear10">#REF!</definedName>
    <definedName name="COS">#REF!</definedName>
    <definedName name="cost" hidden="1">{#N/A,#N/A,TRUE,"Basic";#N/A,#N/A,TRUE,"EXT-TABLE";#N/A,#N/A,TRUE,"STEEL";#N/A,#N/A,TRUE,"INT-Table";#N/A,#N/A,TRUE,"STEEL";#N/A,#N/A,TRUE,"Door"}</definedName>
    <definedName name="COST_C">#REF!</definedName>
    <definedName name="Cost_Differential">#REF!</definedName>
    <definedName name="COST_FACTOR">#REF!</definedName>
    <definedName name="COST_RANGE">#REF!</definedName>
    <definedName name="Cost_Temp.Equip">#REF!</definedName>
    <definedName name="COST2" hidden="1">{#N/A,#N/A,TRUE,"Basic";#N/A,#N/A,TRUE,"EXT-TABLE";#N/A,#N/A,TRUE,"STEEL";#N/A,#N/A,TRUE,"INT-Table";#N/A,#N/A,TRUE,"STEEL";#N/A,#N/A,TRUE,"Door"}</definedName>
    <definedName name="CostCode">#REF!</definedName>
    <definedName name="COSTCOMP10">#REF!</definedName>
    <definedName name="COSTCOMP11">#REF!</definedName>
    <definedName name="CostRate">#REF!</definedName>
    <definedName name="COSTS_A">#REF!</definedName>
    <definedName name="COUNT_RANGE">#N/A</definedName>
    <definedName name="COUNTER">#REF!</definedName>
    <definedName name="CoveringBoard">#REF!</definedName>
    <definedName name="COWC">#REF!</definedName>
    <definedName name="CP_Split">#REF!</definedName>
    <definedName name="cpdpvol">#REF!</definedName>
    <definedName name="cpdpvol_1">#N/A</definedName>
    <definedName name="cpierends">#REF!</definedName>
    <definedName name="cpierends_1">#N/A</definedName>
    <definedName name="CPLG">#REF!</definedName>
    <definedName name="cprop">#REF!</definedName>
    <definedName name="CR">#REF!</definedName>
    <definedName name="CRIT_VALVE">#REF!</definedName>
    <definedName name="_xlnm.Criteria">#REF!</definedName>
    <definedName name="Criteria_MI">#REF!</definedName>
    <definedName name="crush_s">#REF!</definedName>
    <definedName name="CS">#N/A</definedName>
    <definedName name="CS_">#N/A</definedName>
    <definedName name="CS__">#N/A</definedName>
    <definedName name="csdoptions">#REF!</definedName>
    <definedName name="CSS">#N/A</definedName>
    <definedName name="CU_ADJ">#REF!</definedName>
    <definedName name="CU_ADJ_MV">#REF!</definedName>
    <definedName name="CumulativeFinancialProgress">#REF!</definedName>
    <definedName name="CumulativePercentCompletion">#REF!</definedName>
    <definedName name="CURR45">#REF!</definedName>
    <definedName name="Currency">#REF!</definedName>
    <definedName name="Current_Currency_Rate">#REF!</definedName>
    <definedName name="curSelect">287100</definedName>
    <definedName name="CVL_FAC">#REF!</definedName>
    <definedName name="CY_1999">#REF!</definedName>
    <definedName name="CY_2000">#REF!</definedName>
    <definedName name="CY_2001">#REF!</definedName>
    <definedName name="CY_2002">#REF!</definedName>
    <definedName name="d">#REF!</definedName>
    <definedName name="D_LL">#REF!</definedName>
    <definedName name="D12_">#N/A</definedName>
    <definedName name="D20_">#N/A</definedName>
    <definedName name="dada" hidden="1">{#N/A,#N/A,TRUE,"Cover";#N/A,#N/A,TRUE,"Conts";#N/A,#N/A,TRUE,"VOS";#N/A,#N/A,TRUE,"Warrington";#N/A,#N/A,TRUE,"Widnes"}</definedName>
    <definedName name="Daily_hours">#REF!</definedName>
    <definedName name="dams">#REF!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FAC">#REF!</definedName>
    <definedName name="DATA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rea">#REF!</definedName>
    <definedName name="_xlnm.Database">#REF!</definedName>
    <definedName name="DATACHECKED_ELBK">#REF!</definedName>
    <definedName name="DATACHECKED_ELEQ">#REF!</definedName>
    <definedName name="DATACHECKED_INSTR">#REF!</definedName>
    <definedName name="DATAFILL">#REF!</definedName>
    <definedName name="DataFilter">#REF!</definedName>
    <definedName name="DataSort">#REF!</definedName>
    <definedName name="date">#REF!</definedName>
    <definedName name="Date_Bidding">#REF!</definedName>
    <definedName name="date1">#REF!</definedName>
    <definedName name="DATECHECKED_ELBK">#REF!</definedName>
    <definedName name="DATECHECKED_ELEQ">#REF!</definedName>
    <definedName name="DATECHECKED_INSTR">#REF!</definedName>
    <definedName name="Daterange">OFFSET(#REF!,0,0,COUNTA(#REF!)-1,1)</definedName>
    <definedName name="Dates">#REF!</definedName>
    <definedName name="DaWk7">#REF!</definedName>
    <definedName name="DAY">#REF!</definedName>
    <definedName name="Days">#REF!</definedName>
    <definedName name="DaysMonth">#REF!</definedName>
    <definedName name="DaysMonth1">#REF!</definedName>
    <definedName name="DaysWeek">#REF!</definedName>
    <definedName name="DaysWeek1">#REF!</definedName>
    <definedName name="DaysYear">#REF!</definedName>
    <definedName name="DaysYear1">#REF!</definedName>
    <definedName name="db">#REF!</definedName>
    <definedName name="DB_PRICING">#REF!</definedName>
    <definedName name="DBC">#REF!</definedName>
    <definedName name="DBD">#REF!</definedName>
    <definedName name="DBE">#REF!</definedName>
    <definedName name="dblookup4analysis">dbreferencia&amp;dbano&amp;dbsemana&amp;dbproveedor</definedName>
    <definedName name="dblookup4chart1">dbano&amp;dbsemana&amp;dbproveedor&amp;dbreferencia&amp;dbcontrato</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s">#REF!</definedName>
    <definedName name="DBST1">#REF!</definedName>
    <definedName name="DBST2">#REF!</definedName>
    <definedName name="dcoptions">#REF!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_SYS">#REF!</definedName>
    <definedName name="DD">#REF!</definedName>
    <definedName name="DDD">#REF!</definedName>
    <definedName name="DDDD">#REF!</definedName>
    <definedName name="ddddd" hidden="1">{#N/A,#N/A,FALSE,"SumD";#N/A,#N/A,FALSE,"ElecD";#N/A,#N/A,FALSE,"MechD";#N/A,#N/A,FALSE,"GeotD";#N/A,#N/A,FALSE,"PrcsD";#N/A,#N/A,FALSE,"TunnD";#N/A,#N/A,FALSE,"CivlD";#N/A,#N/A,FALSE,"NtwkD";#N/A,#N/A,FALSE,"EstgD";#N/A,#N/A,FALSE,"PEngD"}</definedName>
    <definedName name="dddddddddddddd" hidden="1">{#N/A,#N/A,TRUE,"Basic";#N/A,#N/A,TRUE,"EXT-TABLE";#N/A,#N/A,TRUE,"STEEL";#N/A,#N/A,TRUE,"INT-Table";#N/A,#N/A,TRUE,"STEEL";#N/A,#N/A,TRUE,"Door"}</definedName>
    <definedName name="deal1">#REF!</definedName>
    <definedName name="DEC.GH">#REF!</definedName>
    <definedName name="DEDU">#REF!</definedName>
    <definedName name="del_code">#REF!</definedName>
    <definedName name="del_qty">#REF!</definedName>
    <definedName name="DelDC">#REF!</definedName>
    <definedName name="DelDm">#REF!</definedName>
    <definedName name="DELETE">#REF!</definedName>
    <definedName name="DELETE_D">#REF!</definedName>
    <definedName name="DELETE_U">#REF!</definedName>
    <definedName name="delivery">'[1]KEY Data – do not delete –'!#REF!</definedName>
    <definedName name="DelType">#REF!</definedName>
    <definedName name="Depth">#REF!</definedName>
    <definedName name="Depth_1">#N/A</definedName>
    <definedName name="deptLookup">#REF!</definedName>
    <definedName name="Des_Pkg">#REF!</definedName>
    <definedName name="DESC_BRIDGE">#REF!</definedName>
    <definedName name="Desc_Cntl_Valves">IF(VLOOKUP(#REF!,ConDesIntCert,2,FALSE())=0,0,VLOOKUP(#REF!,ConDesIntCert,2,FALSE()))</definedName>
    <definedName name="Desc_Conduit">IF(VLOOKUP(#REF!,ConDesStRetn,2,FALSE())=0,0,VLOOKUP(#REF!,ConDesStRetn,2,FALSE()))</definedName>
    <definedName name="Desc_DB">IF(VLOOKUP(#REF!,DELETE,2,FALSE())=0,0,VLOOKUP(#REF!,DELETE,2,FALSE()))</definedName>
    <definedName name="Desc_DB1">IF(VLOOKUP(#REF!,DELETE,3,FALSE())=0,0,VLOOKUP(#REF!,DELETE,3,FALSE()))</definedName>
    <definedName name="Desc_DC">#N/A</definedName>
    <definedName name="DESC_DUCT_SPRT">#REF!</definedName>
    <definedName name="DESC_EQ_SPRT">#REF!</definedName>
    <definedName name="DESC_FAB">#REF!</definedName>
    <definedName name="Desc_MV_Cable">IF(VLOOKUP(#REF!,claim,3,FALSE())=0,0,VLOOKUP(#REF!,claim,3,FALSE()))</definedName>
    <definedName name="Desc_Other">IF(VLOOKUP(#REF!,PA_CABLE,2,FALSE())=0,0,VLOOKUP(#REF!,PA_CABLE,2,FALSE()))</definedName>
    <definedName name="Desc_Par1_Conduit">IF(VLOOKUP(#REF!,ConDesStRetn,3,FALSE())=0,0,VLOOKUP(#REF!,ConDesStRetn,3,FALSE()))</definedName>
    <definedName name="Desc_Par1_DB">IF(VLOOKUP(#REF!,DELETE,5,FALSE())=0,0,VLOOKUP(#REF!,DELETE,5,FALSE()))</definedName>
    <definedName name="Desc_Par2_Conduit">IF(VLOOKUP(#REF!,ConDesStRetn,4,FALSE())=0,0,VLOOKUP(#REF!,ConDesStRetn,4,FALSE()))</definedName>
    <definedName name="Desc_Par3_DB">IF(VLOOKUP(#REF!,DELETE,6,FALSE())=0,0,VLOOKUP(#REF!,DELETE,6,FALSE()))</definedName>
    <definedName name="Desc_Par6_DB">IF(VLOOKUP(#REF!,DELETE,7,FALSE())=0,0,VLOOKUP(#REF!,DELETE,7,FALSE()))</definedName>
    <definedName name="DESC_PIPERACK">#REF!</definedName>
    <definedName name="DESC_PLT_ACCS">#REF!</definedName>
    <definedName name="DESC_STANCHION">#REF!</definedName>
    <definedName name="DESC_STCK_SPRT">#REF!</definedName>
    <definedName name="Desc_Tray">IF(VLOOKUP(#REF!,TSD,3,FALSE())=0,0,VLOOKUP(#REF!,TSD,3,FALSE()))</definedName>
    <definedName name="Desc1_Conduit">IF(VLOOKUP(#REF!,ConDesStRetn,2,FALSE())=0,0,VLOOKUP(#REF!,ConDesStRetn,2,FALSE()))</definedName>
    <definedName name="Desc1_MV_Cable">IF(VLOOKUP(#REF!,claim,2,FALSE())=0,0,VLOOKUP(#REF!,claim,2,FALSE()))</definedName>
    <definedName name="Desc1_Other">IF(VLOOKUP(#REF!,PA_CABLE,2,FALSE())=0,0,VLOOKUP(#REF!,PA_CABLE,2,FALSE()))</definedName>
    <definedName name="Desc1_Par1_Conduit">IF(VLOOKUP(#REF!,ConDesStRetn,3,FALSE())=0,0,VLOOKUP(#REF!,ConDesStRetn,3,FALSE()))</definedName>
    <definedName name="Desc1_Tray">IF(VLOOKUP(#REF!,TSD,3,FALSE())=0,0,VLOOKUP(#REF!,TSD,3,FALSE()))</definedName>
    <definedName name="Desc2_MV_Cable">IF(VLOOKUP(#REF!,claim,3,FALSE())=0,0,VLOOKUP(#REF!,claim,3,FALSE()))</definedName>
    <definedName name="Desc2_Par2_Conduit">IF(VLOOKUP(#REF!,ConDesStRetn,4,FALSE())=0,0,VLOOKUP(#REF!,ConDesStRetn,4,FALSE()))</definedName>
    <definedName name="Desciption">#REF!</definedName>
    <definedName name="DESCRIPTION">#REF!,#REF!,#REF!,#REF!,#REF!,#REF!,#REF!</definedName>
    <definedName name="DESCRIPTION2">#REF!,#REF!,#REF!,#REF!,#REF!,#REF!,#REF!</definedName>
    <definedName name="Design_fees">#REF!</definedName>
    <definedName name="DesRatio">#REF!</definedName>
    <definedName name="DESUP_HTRS">#REF!</definedName>
    <definedName name="DETAIL_TOT">#REF!</definedName>
    <definedName name="Df">#REF!</definedName>
    <definedName name="Df_1">#N/A</definedName>
    <definedName name="dfdfd125">#REF!</definedName>
    <definedName name="dfdg" hidden="1">{#N/A,#N/A,FALSE,"골재소요량";#N/A,#N/A,FALSE,"골재소요량"}</definedName>
    <definedName name="Dff">#REF!</definedName>
    <definedName name="Dff_1">#N/A</definedName>
    <definedName name="dfffff" hidden="1">{#N/A,#N/A,FALSE,"SumG";#N/A,#N/A,FALSE,"ElecG";#N/A,#N/A,FALSE,"MechG";#N/A,#N/A,FALSE,"GeotG";#N/A,#N/A,FALSE,"PrcsG";#N/A,#N/A,FALSE,"TunnG";#N/A,#N/A,FALSE,"CivlG";#N/A,#N/A,FALSE,"NtwkG";#N/A,#N/A,FALSE,"EstgG";#N/A,#N/A,FALSE,"PEngG"}</definedName>
    <definedName name="dfgdf">#REF!</definedName>
    <definedName name="DFK" hidden="1">{#N/A,#N/A,FALSE,"전력간선"}</definedName>
    <definedName name="DFLLDF" hidden="1">#REF!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s">#REF!</definedName>
    <definedName name="dfsdfsdfs">#REF!</definedName>
    <definedName name="dgfd" hidden="1">{#N/A,#N/A,FALSE,"SumG";#N/A,#N/A,FALSE,"ElecG";#N/A,#N/A,FALSE,"MechG";#N/A,#N/A,FALSE,"GeotG";#N/A,#N/A,FALSE,"PrcsG";#N/A,#N/A,FALSE,"TunnG";#N/A,#N/A,FALSE,"CivlG";#N/A,#N/A,FALSE,"NtwkG";#N/A,#N/A,FALSE,"EstgG";#N/A,#N/A,FALSE,"PEngG"}</definedName>
    <definedName name="DGL">#REF!</definedName>
    <definedName name="dhdfh" hidden="1">{#N/A,#N/A,FALSE,"물량산출"}</definedName>
    <definedName name="dhdghh" hidden="1">{#N/A,#N/A,FALSE,"포장2"}</definedName>
    <definedName name="dhdhfh" hidden="1">{#N/A,#N/A,FALSE,"물량산출"}</definedName>
    <definedName name="dhd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fdh" hidden="1">{#N/A,#N/A,FALSE,"운반시간"}</definedName>
    <definedName name="dhghdh" hidden="1">{#N/A,#N/A,FALSE,"갑지";#N/A,#N/A,FALSE,"개요";#N/A,#N/A,FALSE,"비목별";#N/A,#N/A,FALSE,"건물별";#N/A,#N/A,FALSE,"기구표";#N/A,#N/A,FALSE,"직원투입"}</definedName>
    <definedName name="dhghjhg" hidden="1">{#N/A,#N/A,FALSE,"물량산출"}</definedName>
    <definedName name="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i">#N/A</definedName>
    <definedName name="diagram">#REF!</definedName>
    <definedName name="dialog_open">"Dialog Frame 1"</definedName>
    <definedName name="diameter">#REF!</definedName>
    <definedName name="diaphragm">#REF!</definedName>
    <definedName name="DIM" hidden="1">{#N/A,#N/A,FALSE,"CAM-G7";#N/A,#N/A,FALSE,"SPL";#N/A,#N/A,FALSE,"butt-in G7";#N/A,#N/A,FALSE,"dia-in G7";#N/A,#N/A,FALSE,"추가-STA G7"}</definedName>
    <definedName name="DIRECT_BURIAL">#REF!</definedName>
    <definedName name="DIRECTHIRE_LABOR_UNIT_HOURS">#REF!,#REF!,#REF!,#REF!,#REF!,#REF!,#REF!</definedName>
    <definedName name="DIRECTHIRE_WAGE_RATE">#REF!,#REF!,#REF!,#REF!,#REF!,#REF!,#REF!</definedName>
    <definedName name="DirectTotal">#REF!</definedName>
    <definedName name="DirHrs">#N/A</definedName>
    <definedName name="DirHrs1">#N/A</definedName>
    <definedName name="Discount_Rate">#REF!</definedName>
    <definedName name="DiscRep">#REF!</definedName>
    <definedName name="display_area_2">#REF!</definedName>
    <definedName name="Districts_to_date">#REF!</definedName>
    <definedName name="djhdgjd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gjghj" hidden="1">{#N/A,#N/A,FALSE,"2~8번"}</definedName>
    <definedName name="djhk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MAResourceID">#REF!</definedName>
    <definedName name="DMK">#REF!</definedName>
    <definedName name="dn" hidden="1">{#N/A,#N/A,FALSE,"혼합골재"}</definedName>
    <definedName name="DOC">#REF!</definedName>
    <definedName name="Doc_Hrs">#REF!</definedName>
    <definedName name="DOC_No.__S_10_1224_901__Rev.A">#REF!</definedName>
    <definedName name="DOLAR">#REF!</definedName>
    <definedName name="door">#REF!</definedName>
    <definedName name="doorsill">#REF!,#REF!,#REF!</definedName>
    <definedName name="dP_INST">#REF!</definedName>
    <definedName name="DR1M">#REF!</definedName>
    <definedName name="DR1Y">#REF!</definedName>
    <definedName name="DR3M">#REF!</definedName>
    <definedName name="DR3Y">#REF!</definedName>
    <definedName name="drain_trap">#REF!</definedName>
    <definedName name="DSA" hidden="1">{#N/A,#N/A,FALSE,"물량산출"}</definedName>
    <definedName name="dsd" hidden="1">{#N/A,#N/A,FALSE,"포장1";#N/A,#N/A,FALSE,"포장1"}</definedName>
    <definedName name="dsff" hidden="1">#REF!</definedName>
    <definedName name="dsfg">#REF!</definedName>
    <definedName name="DST">#REF!</definedName>
    <definedName name="dual_plate_check">#REF!</definedName>
    <definedName name="DUCT">#REF!</definedName>
    <definedName name="dumppr">#REF!</definedName>
    <definedName name="duplex_strainer">#REF!</definedName>
    <definedName name="duration">'[1]KEY Data – do not delete –'!$D$4:$D$5</definedName>
    <definedName name="Duration1">#REF!</definedName>
    <definedName name="DV_area_0">#REF!</definedName>
    <definedName name="DV_area_1">#REF!</definedName>
    <definedName name="dvbgf" hidden="1">{#N/A,#N/A,FALSE,"SumD";#N/A,#N/A,FALSE,"ElecD";#N/A,#N/A,FALSE,"MechD";#N/A,#N/A,FALSE,"GeotD";#N/A,#N/A,FALSE,"PrcsD";#N/A,#N/A,FALSE,"TunnD";#N/A,#N/A,FALSE,"CivlD";#N/A,#N/A,FALSE,"NtwkD";#N/A,#N/A,FALSE,"EstgD";#N/A,#N/A,FALSE,"PEngD"}</definedName>
    <definedName name="dw">#REF!</definedName>
    <definedName name="DW015.2.1">#REF!</definedName>
    <definedName name="DW9_">#N/A</definedName>
    <definedName name="DWG">#REF!</definedName>
    <definedName name="Dwgs">#REF!</definedName>
    <definedName name="dx_shape">#REF!</definedName>
    <definedName name="DynamicTable">OFFSET(#REF!,0,0,COUNTA(#REF!),9)</definedName>
    <definedName name="E">#REF!</definedName>
    <definedName name="E_Factor">#REF!</definedName>
    <definedName name="E_I_Eq">#REF!</definedName>
    <definedName name="E_man_hours">#REF!</definedName>
    <definedName name="e_margin">#REF!</definedName>
    <definedName name="e_r">#REF!</definedName>
    <definedName name="eapd3">#REF!</definedName>
    <definedName name="eapv3">#REF!</definedName>
    <definedName name="Earth_p60">#REF!</definedName>
    <definedName name="Earth_p70">#REF!</definedName>
    <definedName name="Earth_p90">#REF!</definedName>
    <definedName name="EAS">#REF!</definedName>
    <definedName name="EASF">#REF!</definedName>
    <definedName name="Ebc">#REF!</definedName>
    <definedName name="Ebc_1">#N/A</definedName>
    <definedName name="ECA_List">#REF!</definedName>
    <definedName name="ECA_List1">#REF!</definedName>
    <definedName name="eCIiIi¨­A_I¨￡">#N/A</definedName>
    <definedName name="eCIiIiÞA_Iª">#N/A</definedName>
    <definedName name="EE">#REF!</definedName>
    <definedName name="EEC">#REF!</definedName>
    <definedName name="eee">#REF!</definedName>
    <definedName name="Effort_1A">#REF!</definedName>
    <definedName name="Effort_1B">#REF!</definedName>
    <definedName name="Effort_2">#REF!</definedName>
    <definedName name="Effort_2A">#REF!</definedName>
    <definedName name="Effort_2B">#REF!</definedName>
    <definedName name="Effort_3">#REF!</definedName>
    <definedName name="Effort_4">#REF!</definedName>
    <definedName name="Effort_5">#REF!</definedName>
    <definedName name="Effort_6">#REF!</definedName>
    <definedName name="Effort_P">#REF!</definedName>
    <definedName name="eftr">#REF!</definedName>
    <definedName name="EFTR2">#REF!</definedName>
    <definedName name="ELabor">#REF!</definedName>
    <definedName name="ELBLK_REMARKS">#REF!</definedName>
    <definedName name="Ele" hidden="1">{"'Break down'!$A$4"}</definedName>
    <definedName name="elec">#REF!</definedName>
    <definedName name="elec_cost">#REF!</definedName>
    <definedName name="elec_factor">#REF!</definedName>
    <definedName name="ELEC_INSTR">#REF!</definedName>
    <definedName name="ELECTRIC">#REF!</definedName>
    <definedName name="Electrical">#REF!</definedName>
    <definedName name="ElectricalJasa">#REF!</definedName>
    <definedName name="ELEQ_REMARKS">#REF!</definedName>
    <definedName name="ELVIN">#REF!</definedName>
    <definedName name="EMB_METAL_COND">#REF!</definedName>
    <definedName name="Emb108a">#REF!</definedName>
    <definedName name="Emb108c">#REF!</definedName>
    <definedName name="EmbedQty">IF(Bitumen=1,#REF!*#REF!,#REF!*#REF!/1.685552931)</definedName>
    <definedName name="EmbedQty1">IF(Bitumen=1,#REF!*#REF!,#REF!*#REF!/1.685552931)</definedName>
    <definedName name="Eng_Hrs">#REF!</definedName>
    <definedName name="Eng_Rev">#REF!</definedName>
    <definedName name="Engineer">#REF!</definedName>
    <definedName name="EOL">#REF!</definedName>
    <definedName name="Ep">#REF!</definedName>
    <definedName name="EPMV">#REF!</definedName>
    <definedName name="EQ">#REF!</definedName>
    <definedName name="eq_index">#REF!</definedName>
    <definedName name="eq_name">#REF!</definedName>
    <definedName name="eqf">#REF!</definedName>
    <definedName name="EQPER">#REF!</definedName>
    <definedName name="eqpt">#REF!</definedName>
    <definedName name="eqpt2">#REF!</definedName>
    <definedName name="eqpt3">#REF!</definedName>
    <definedName name="equip">#REF!</definedName>
    <definedName name="EQUIP70_CITY">#REF!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quipment">#REF!</definedName>
    <definedName name="EquipmentHP">#REF!</definedName>
    <definedName name="er" hidden="1">{#N/A,#N/A,FALSE,"SumG";#N/A,#N/A,FALSE,"ElecG";#N/A,#N/A,FALSE,"MechG";#N/A,#N/A,FALSE,"GeotG";#N/A,#N/A,FALSE,"PrcsG";#N/A,#N/A,FALSE,"TunnG";#N/A,#N/A,FALSE,"CivlG";#N/A,#N/A,FALSE,"NtwkG";#N/A,#N/A,FALSE,"EstgG";#N/A,#N/A,FALSE,"PEngG"}</definedName>
    <definedName name="ERandWR">#REF!</definedName>
    <definedName name="Erect_Unit01">#REF!</definedName>
    <definedName name="Erect_Unit02">#REF!</definedName>
    <definedName name="Erect_Unit03">#REF!</definedName>
    <definedName name="Erect_Unit04">#REF!</definedName>
    <definedName name="Erect_Unit05">#REF!</definedName>
    <definedName name="Erect_Unit07">#REF!</definedName>
    <definedName name="Erect_Unit08">#REF!</definedName>
    <definedName name="Erect_Unit09">#REF!</definedName>
    <definedName name="Erect_Unit10">#REF!</definedName>
    <definedName name="Erect_Unit12">#REF!</definedName>
    <definedName name="Erection_and_Civil">#REF!</definedName>
    <definedName name="eryrte" hidden="1">{#N/A,#N/A,FALSE,"속도"}</definedName>
    <definedName name="es">#REF!</definedName>
    <definedName name="ESC">#REF!/100</definedName>
    <definedName name="ESC_CABLE">#REF!</definedName>
    <definedName name="ESC_CNTL_VLVES">#REF!</definedName>
    <definedName name="ESC_COND">#REF!</definedName>
    <definedName name="ESC_DB">#REF!</definedName>
    <definedName name="ESC_OTHER">#REF!</definedName>
    <definedName name="ESC_TRAY">#REF!</definedName>
    <definedName name="Escalation">#REF!</definedName>
    <definedName name="Estimate_Expected">#REF!</definedName>
    <definedName name="Estimate_High">#REF!</definedName>
    <definedName name="Estimate_Low">#REF!</definedName>
    <definedName name="estimateb" hidden="1">{#N/A,#N/A,TRUE,"Cover";#N/A,#N/A,TRUE,"Conts";#N/A,#N/A,TRUE,"VOS";#N/A,#N/A,TRUE,"Warrington";#N/A,#N/A,TRUE,"Widnes"}</definedName>
    <definedName name="Estimated_rate">#REF!</definedName>
    <definedName name="EstimateType">#REF!</definedName>
    <definedName name="Estimating_Click">#REF!</definedName>
    <definedName name="Estimating_Click_PDBT">#REF!</definedName>
    <definedName name="etgewt" hidden="1">{#N/A,#N/A,FALSE,"CAM-G7";#N/A,#N/A,FALSE,"SPL";#N/A,#N/A,FALSE,"butt-in G7";#N/A,#N/A,FALSE,"dia-in G7";#N/A,#N/A,FALSE,"추가-STA G7"}</definedName>
    <definedName name="etrytwe" hidden="1">{#N/A,#N/A,FALSE,"CAM-G7";#N/A,#N/A,FALSE,"SPL";#N/A,#N/A,FALSE,"butt-in G7";#N/A,#N/A,FALSE,"dia-in G7";#N/A,#N/A,FALSE,"추가-STA G7"}</definedName>
    <definedName name="etwrtwt" hidden="1">{#N/A,#N/A,FALSE,"물량산출"}</definedName>
    <definedName name="EUP">#REF!</definedName>
    <definedName name="ewtewtew" hidden="1">{#N/A,#N/A,FALSE,"CAM-G7";#N/A,#N/A,FALSE,"SPL";#N/A,#N/A,FALSE,"butt-in G7";#N/A,#N/A,FALSE,"dia-in G7";#N/A,#N/A,FALSE,"추가-STA G7"}</definedName>
    <definedName name="ewtw453wt" hidden="1">{#N/A,#N/A,FALSE,"토공2"}</definedName>
    <definedName name="EX">#REF!</definedName>
    <definedName name="ex_joint">#REF!</definedName>
    <definedName name="example">#REF!</definedName>
    <definedName name="Exca_unitprice">#REF!</definedName>
    <definedName name="Exca_unitprice_h">#REF!</definedName>
    <definedName name="Exca_unitprice_u">#REF!</definedName>
    <definedName name="excdp">#REF!</definedName>
    <definedName name="Exchange_rate">#REF!</definedName>
    <definedName name="Excluded">#REF!</definedName>
    <definedName name="eXCLUSIONS" hidden="1">{#N/A,#N/A,TRUE,"Cover";#N/A,#N/A,TRUE,"Conts";#N/A,#N/A,TRUE,"VOS";#N/A,#N/A,TRUE,"Warrington";#N/A,#N/A,TRUE,"Widnes"}</definedName>
    <definedName name="exec">#REF!</definedName>
    <definedName name="EXP_COND_G2">#REF!</definedName>
    <definedName name="EXP_COND_L2">#REF!</definedName>
    <definedName name="Expat_Perm">#REF!</definedName>
    <definedName name="Expat_Temp">#REF!</definedName>
    <definedName name="EXRATE">#REF!</definedName>
    <definedName name="ExRatio">#REF!</definedName>
    <definedName name="Ext_L">#REF!</definedName>
    <definedName name="Ext_r">#REF!</definedName>
    <definedName name="_xlnm.Extract">#REF!</definedName>
    <definedName name="eytryerety" hidden="1">{#N/A,#N/A,FALSE,"배수2"}</definedName>
    <definedName name="F">#REF!</definedName>
    <definedName name="f_shape">#REF!</definedName>
    <definedName name="FA">#REF!</definedName>
    <definedName name="FAC">#REF!</definedName>
    <definedName name="Fac_new">#REF!</definedName>
    <definedName name="Fac_old">#REF!</definedName>
    <definedName name="FACILITY">#REF!</definedName>
    <definedName name="facins">#REF!</definedName>
    <definedName name="factor">#REF!</definedName>
    <definedName name="factor1">#REF!</definedName>
    <definedName name="FactorAwal">#REF!</definedName>
    <definedName name="FactorPM">#REF!</definedName>
    <definedName name="factot">#REF!</definedName>
    <definedName name="FAN">#REF!</definedName>
    <definedName name="fasfsdfsdfasdfsdfsd" hidden="1">{#N/A,#N/A,TRUE,"Basic";#N/A,#N/A,TRUE,"EXT-TABLE";#N/A,#N/A,TRUE,"STEEL";#N/A,#N/A,TRUE,"INT-Table";#N/A,#N/A,TRUE,"STEEL";#N/A,#N/A,TRUE,"Door"}</definedName>
    <definedName name="FC">#REF!</definedName>
    <definedName name="FCCM">#REF!</definedName>
    <definedName name="fd" hidden="1">{#N/A,#N/A,FALSE,"표지목차"}</definedName>
    <definedName name="fdff" hidden="1">{#N/A,#N/A,FALSE,"SumG";#N/A,#N/A,FALSE,"ElecG";#N/A,#N/A,FALSE,"MechG";#N/A,#N/A,FALSE,"GeotG";#N/A,#N/A,FALSE,"PrcsG";#N/A,#N/A,FALSE,"TunnG";#N/A,#N/A,FALSE,"CivlG";#N/A,#N/A,FALSE,"NtwkG";#N/A,#N/A,FALSE,"EstgG";#N/A,#N/A,FALSE,"PEngG"}</definedName>
    <definedName name="FDFFF">#REF!</definedName>
    <definedName name="fdghdfhg" hidden="1">{#N/A,#N/A,FALSE,"2~8번"}</definedName>
    <definedName name="fdhdh" hidden="1">{#N/A,#N/A,FALSE,"갑지";#N/A,#N/A,FALSE,"개요";#N/A,#N/A,FALSE,"비목별";#N/A,#N/A,FALSE,"건물별";#N/A,#N/A,FALSE,"기구표";#N/A,#N/A,FALSE,"직원투입"}</definedName>
    <definedName name="fdhfdh" hidden="1">{#N/A,#N/A,FALSE,"운반시간"}</definedName>
    <definedName name="fdhghdfh" hidden="1">{#N/A,#N/A,FALSE,"물량산출"}</definedName>
    <definedName name="fdn_no">#REF!</definedName>
    <definedName name="FDSA" hidden="1">{#N/A,#N/A,FALSE,"물량산출"}</definedName>
    <definedName name="fdsfsd" hidden="1">{#N/A,#N/A,FALSE,"갑지";#N/A,#N/A,FALSE,"개요";#N/A,#N/A,FALSE,"비목별";#N/A,#N/A,FALSE,"건물별";#N/A,#N/A,FALSE,"기구표";#N/A,#N/A,FALSE,"직원투입"}</definedName>
    <definedName name="FeedNEG">OFFSET(#REF!,0,0,COUNTA(#REF!)-1)</definedName>
    <definedName name="FeeResourceID">#REF!</definedName>
    <definedName name="FEFC_Salary">#REF!</definedName>
    <definedName name="FF">#REF!</definedName>
    <definedName name="FFF">#REF!</definedName>
    <definedName name="fffff" hidden="1">{#N/A,#N/A,TRUE,"Basic";#N/A,#N/A,TRUE,"EXT-TABLE";#N/A,#N/A,TRUE,"STEEL";#N/A,#N/A,TRUE,"INT-Table";#N/A,#N/A,TRUE,"STEEL";#N/A,#N/A,TRUE,"Door"}</definedName>
    <definedName name="ffffffffffffffffffffffffff">IF(#REF!="INS",VLOOKUP(#REF!,insb,HLOOKUP(#REF!,bop,2)+1,FALSE()),0)</definedName>
    <definedName name="FFR">#REF!</definedName>
    <definedName name="fg" hidden="1">{#N/A,#N/A,FALSE,"SumG";#N/A,#N/A,FALSE,"ElecG";#N/A,#N/A,FALSE,"MechG";#N/A,#N/A,FALSE,"GeotG";#N/A,#N/A,FALSE,"PrcsG";#N/A,#N/A,FALSE,"TunnG";#N/A,#N/A,FALSE,"CivlG";#N/A,#N/A,FALSE,"NtwkG";#N/A,#N/A,FALSE,"EstgG";#N/A,#N/A,FALSE,"PEngG"}</definedName>
    <definedName name="FG46TBTB4RTDKDK">#REF!</definedName>
    <definedName name="fgdfg">#REF!</definedName>
    <definedName name="fgfdg" hidden="1">{#N/A,#N/A,FALSE,"SumG";#N/A,#N/A,FALSE,"ElecG";#N/A,#N/A,FALSE,"MechG";#N/A,#N/A,FALSE,"GeotG";#N/A,#N/A,FALSE,"PrcsG";#N/A,#N/A,FALSE,"TunnG";#N/A,#N/A,FALSE,"CivlG";#N/A,#N/A,FALSE,"NtwkG";#N/A,#N/A,FALSE,"EstgG";#N/A,#N/A,FALSE,"PEngG"}</definedName>
    <definedName name="FGFG" hidden="1">{#N/A,#N/A,FALSE,"CAM-G7";#N/A,#N/A,FALSE,"SPL";#N/A,#N/A,FALSE,"butt-in G7";#N/A,#N/A,FALSE,"dia-in G7";#N/A,#N/A,FALSE,"추가-STA G7"}</definedName>
    <definedName name="fgh">#REF!</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jhgfj" hidden="1">{#N/A,#N/A,FALSE,"CAM-G7";#N/A,#N/A,FALSE,"SPL";#N/A,#N/A,FALSE,"butt-in G7";#N/A,#N/A,FALSE,"dia-in G7";#N/A,#N/A,FALSE,"추가-STA G7"}</definedName>
    <definedName name="fgRKRKRKRKRKRKRKRKRKRKRKTBTBSPD">#REF!</definedName>
    <definedName name="FGRKRKRKRKRKRKRKTBTBSPDKDKRT">#REF!</definedName>
    <definedName name="FGRKRKRKRKRKRKTBTBSPDKDKRT">#REF!</definedName>
    <definedName name="fgRKTBTBSPDKDKRT">#REF!</definedName>
    <definedName name="FGRKTBTBSPRT">#REF!</definedName>
    <definedName name="fh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jgfjhg" hidden="1">{#N/A,#N/A,FALSE,"CAM-G7";#N/A,#N/A,FALSE,"SPL";#N/A,#N/A,FALSE,"butt-in G7";#N/A,#N/A,FALSE,"dia-in G7";#N/A,#N/A,FALSE,"추가-STA G7"}</definedName>
    <definedName name="FICHA">#REF!</definedName>
    <definedName name="FID" hidden="1">#REF!</definedName>
    <definedName name="Field_Ofc_OT">#REF!</definedName>
    <definedName name="Field_Ofc_ST">#REF!</definedName>
    <definedName name="FIL">#REF!</definedName>
    <definedName name="file">"Edit Box 7"</definedName>
    <definedName name="FILELCNA">#REF!</definedName>
    <definedName name="FileName">#REF!</definedName>
    <definedName name="Filter_input_fac">#REF!</definedName>
    <definedName name="filteredList">#REF!</definedName>
    <definedName name="filterList">#N/A</definedName>
    <definedName name="Fin_Hrs">#REF!</definedName>
    <definedName name="Fin_Rev">#REF!</definedName>
    <definedName name="FinCert">#REF!</definedName>
    <definedName name="FinCertCW">#REF!</definedName>
    <definedName name="fire">#REF!</definedName>
    <definedName name="FJDKS" hidden="1">{#N/A,#N/A,FALSE,"골재소요량";#N/A,#N/A,FALSE,"골재소요량"}</definedName>
    <definedName name="fjfgh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 hidden="1">{#N/A,#N/A,FALSE,"물량산출"}</definedName>
    <definedName name="fjfgjf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hjf" hidden="1">{#N/A,#N/A,FALSE,"CAM-G7";#N/A,#N/A,FALSE,"SPL";#N/A,#N/A,FALSE,"butt-in G7";#N/A,#N/A,FALSE,"dia-in G7";#N/A,#N/A,FALSE,"추가-STA G7"}</definedName>
    <definedName name="fjfjfj" hidden="1">{#N/A,#N/A,FALSE,"CAM-G7";#N/A,#N/A,FALSE,"SPL";#N/A,#N/A,FALSE,"butt-in G7";#N/A,#N/A,FALSE,"dia-in G7";#N/A,#N/A,FALSE,"추가-STA G7"}</definedName>
    <definedName name="fjhgjghj" hidden="1">{#N/A,#N/A,FALSE,"CAM-G7";#N/A,#N/A,FALSE,"SPL";#N/A,#N/A,FALSE,"butt-in G7";#N/A,#N/A,FALSE,"dia-in G7";#N/A,#N/A,FALSE,"추가-STA G7"}</definedName>
    <definedName name="fjhjf" hidden="1">{#N/A,#N/A,FALSE,"CAM-G7";#N/A,#N/A,FALSE,"SPL";#N/A,#N/A,FALSE,"butt-in G7";#N/A,#N/A,FALSE,"dia-in G7";#N/A,#N/A,FALSE,"추가-STA G7"}</definedName>
    <definedName name="fjhjfgh" hidden="1">{#N/A,#N/A,FALSE,"CAM-G7";#N/A,#N/A,FALSE,"SPL";#N/A,#N/A,FALSE,"butt-in G7";#N/A,#N/A,FALSE,"dia-in G7";#N/A,#N/A,FALSE,"추가-STA G7"}</definedName>
    <definedName name="fjhjfgj" hidden="1">{#N/A,#N/A,FALSE,"혼합골재"}</definedName>
    <definedName name="fjhjfj" hidden="1">{#N/A,#N/A,FALSE,"CAM-G7";#N/A,#N/A,FALSE,"SPL";#N/A,#N/A,FALSE,"butt-in G7";#N/A,#N/A,FALSE,"dia-in G7";#N/A,#N/A,FALSE,"추가-STA G7"}</definedName>
    <definedName name="fjhjghjf" hidden="1">{#N/A,#N/A,FALSE,"운반시간"}</definedName>
    <definedName name="FKIS_Salary">#REF!</definedName>
    <definedName name="FKJKDSA" hidden="1">{#N/A,#N/A,FALSE,"골재소요량";#N/A,#N/A,FALSE,"골재소요량"}</definedName>
    <definedName name="FLA">#REF!</definedName>
    <definedName name="FlArea">#REF!</definedName>
    <definedName name="FLG">#REF!</definedName>
    <definedName name="FLG_Orifice">#REF!</definedName>
    <definedName name="Flights">#REF!</definedName>
    <definedName name="FloorBeamCost">#REF!</definedName>
    <definedName name="FloorCovering">#REF!</definedName>
    <definedName name="fmk">#REF!</definedName>
    <definedName name="foot">#REF!</definedName>
    <definedName name="Footer">IF(#REF!=GE,"GE","ST")</definedName>
    <definedName name="for">#REF!</definedName>
    <definedName name="ForecastData">#REF!</definedName>
    <definedName name="FORM">#N/A</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Qty">IF(Bitumen=1,#REF!*#REF!,#REF!*#REF!/8.2296)</definedName>
    <definedName name="FormQty1">IF(Bitumen=1,#REF!*#REF!,#REF!*#REF!/8.2296)</definedName>
    <definedName name="FORMULA_ELECT">#REF!</definedName>
    <definedName name="FOS">#REF!</definedName>
    <definedName name="FPR">#REF!</definedName>
    <definedName name="FR">#REF!</definedName>
    <definedName name="fre" hidden="1">{#N/A,#N/A,TRUE,"Cover";#N/A,#N/A,TRUE,"Conts";#N/A,#N/A,TRUE,"VOS";#N/A,#N/A,TRUE,"Warrington";#N/A,#N/A,TRUE,"Widnes"}</definedName>
    <definedName name="FRF">#REF!</definedName>
    <definedName name="From_support">#REF!</definedName>
    <definedName name="fsda" hidden="1">{#N/A,#N/A,TRUE,"Basic";#N/A,#N/A,TRUE,"EXT-TABLE";#N/A,#N/A,TRUE,"STEEL";#N/A,#N/A,TRUE,"INT-Table";#N/A,#N/A,TRUE,"STEEL";#N/A,#N/A,TRUE,"Door"}</definedName>
    <definedName name="Full_Model_Name">#REF!</definedName>
    <definedName name="fullTl">#REF!</definedName>
    <definedName name="fullTl_1">#N/A</definedName>
    <definedName name="Furniture_Charge_Rate">#REF!</definedName>
    <definedName name="FWBS3000mc2">#REF!</definedName>
    <definedName name="fwbs3000mc3">#REF!</definedName>
    <definedName name="fwbs5000mc1">#REF!</definedName>
    <definedName name="fwbs5000mc2">#REF!</definedName>
    <definedName name="fwbs5000mc3">#REF!</definedName>
    <definedName name="fwbs6000Fab">#REF!</definedName>
    <definedName name="fwbs6000mc1">#REF!</definedName>
    <definedName name="fwbs6000mc2">#REF!</definedName>
    <definedName name="fwbs6000mc3">#REF!</definedName>
    <definedName name="fwbsb000">#REF!</definedName>
    <definedName name="fwbsB000mc3">#REF!</definedName>
    <definedName name="G">#REF!</definedName>
    <definedName name="G_P_P">#N/A</definedName>
    <definedName name="g29dR">#REF!</definedName>
    <definedName name="GAEU_LAB">#REF!</definedName>
    <definedName name="GAS">#REF!</definedName>
    <definedName name="gas_cost">#REF!</definedName>
    <definedName name="gas_factor">#REF!</definedName>
    <definedName name="gate">#REF!</definedName>
    <definedName name="GBP2QAR">#REF!</definedName>
    <definedName name="GE">#REF!</definedName>
    <definedName name="gen">#REF!</definedName>
    <definedName name="GEN_VALVE">#REF!</definedName>
    <definedName name="General">#REF!</definedName>
    <definedName name="General_No">#REF!</definedName>
    <definedName name="GETS">'[1]KEY Data – do not delete –'!#REF!</definedName>
    <definedName name="GFA">#REF!</definedName>
    <definedName name="gfdgfdg" hidden="1">{#N/A,#N/A,FALSE,"SumD";#N/A,#N/A,FALSE,"ElecD";#N/A,#N/A,FALSE,"MechD";#N/A,#N/A,FALSE,"GeotD";#N/A,#N/A,FALSE,"PrcsD";#N/A,#N/A,FALSE,"TunnD";#N/A,#N/A,FALSE,"CivlD";#N/A,#N/A,FALSE,"NtwkD";#N/A,#N/A,FALSE,"EstgD";#N/A,#N/A,FALSE,"PEngD"}</definedName>
    <definedName name="gfgdfg" hidden="1">#REF!</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kjghk" hidden="1">{#N/A,#N/A,FALSE,"골재소요량";#N/A,#N/A,FALSE,"골재소요량"}</definedName>
    <definedName name="gfsdhfkk">#REF!</definedName>
    <definedName name="gg" hidden="1">{#N/A,#N/A,FALSE,"SumG";#N/A,#N/A,FALSE,"ElecG";#N/A,#N/A,FALSE,"MechG";#N/A,#N/A,FALSE,"GeotG";#N/A,#N/A,FALSE,"PrcsG";#N/A,#N/A,FALSE,"TunnG";#N/A,#N/A,FALSE,"CivlG";#N/A,#N/A,FALSE,"NtwkG";#N/A,#N/A,FALSE,"EstgG";#N/A,#N/A,FALSE,"PEngG"}</definedName>
    <definedName name="GGG">#REF!</definedName>
    <definedName name="gggg" hidden="1">{#N/A,#N/A,FALSE,"SumD";#N/A,#N/A,FALSE,"ElecD";#N/A,#N/A,FALSE,"MechD";#N/A,#N/A,FALSE,"GeotD";#N/A,#N/A,FALSE,"PrcsD";#N/A,#N/A,FALSE,"TunnD";#N/A,#N/A,FALSE,"CivlD";#N/A,#N/A,FALSE,"NtwkD";#N/A,#N/A,FALSE,"EstgD";#N/A,#N/A,FALSE,"PEngD"}</definedName>
    <definedName name="ggk" hidden="1">{#N/A,#N/A,FALSE,"물량산출"}</definedName>
    <definedName name="gh">#REF!</definedName>
    <definedName name="ghdhdh" hidden="1">{#N/A,#N/A,FALSE,"표지목차"}</definedName>
    <definedName name="GHDW" hidden="1">{#N/A,#N/A,FALSE,"CAM-G7";#N/A,#N/A,FALSE,"SPL";#N/A,#N/A,FALSE,"butt-in G7";#N/A,#N/A,FALSE,"dia-in G7";#N/A,#N/A,FALSE,"추가-STA G7"}</definedName>
    <definedName name="ghfjfg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gg" hidden="1">{#N/A,#N/A,FALSE,"SumG";#N/A,#N/A,FALSE,"ElecG";#N/A,#N/A,FALSE,"MechG";#N/A,#N/A,FALSE,"GeotG";#N/A,#N/A,FALSE,"PrcsG";#N/A,#N/A,FALSE,"TunnG";#N/A,#N/A,FALSE,"CivlG";#N/A,#N/A,FALSE,"NtwkG";#N/A,#N/A,FALSE,"EstgG";#N/A,#N/A,FALSE,"PEngG"}</definedName>
    <definedName name="gh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P">#REF!</definedName>
    <definedName name="girth">#REF!</definedName>
    <definedName name="GivenFamilyName">#REF!</definedName>
    <definedName name="GJ1M">#REF!</definedName>
    <definedName name="GJ1Y">#REF!</definedName>
    <definedName name="GJ3M">#REF!</definedName>
    <definedName name="GJ3Y">#REF!</definedName>
    <definedName name="gjk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hgk" hidden="1">{#N/A,#N/A,FALSE,"물량산출"}</definedName>
    <definedName name="gkjk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#REF!</definedName>
    <definedName name="GLevel">#REF!</definedName>
    <definedName name="GLevel_1">#N/A</definedName>
    <definedName name="glgkgk" hidden="1">{#N/A,#N/A,FALSE,"전력간선"}</definedName>
    <definedName name="globe">#REF!</definedName>
    <definedName name="GM">#REF!</definedName>
    <definedName name="GNR">#REF!</definedName>
    <definedName name="GoBack">#REF!</definedName>
    <definedName name="GONGGA">#REF!</definedName>
    <definedName name="GONGJANG">#REF!</definedName>
    <definedName name="Goto_Quants_Generator">#N/A</definedName>
    <definedName name="Grade">#REF!</definedName>
    <definedName name="Green">#REF!</definedName>
    <definedName name="grew" hidden="1">#REF!</definedName>
    <definedName name="Gross_Days">#REF!</definedName>
    <definedName name="Gross_Floor_Area">#REF!</definedName>
    <definedName name="Gross_Margin">#REF!</definedName>
    <definedName name="ground">#REF!</definedName>
    <definedName name="GROUND_WIRE">#REF!</definedName>
    <definedName name="GROUNDING">#REF!</definedName>
    <definedName name="grout_type">#REF!</definedName>
    <definedName name="GroutedRiprap">#REF!</definedName>
    <definedName name="GrphActSales">#REF!</definedName>
    <definedName name="GrphActStk">#REF!</definedName>
    <definedName name="GrphPlanSales">#REF!</definedName>
    <definedName name="GrphTgtStk">#REF!</definedName>
    <definedName name="GT_ELECT">#REF!</definedName>
    <definedName name="GUN">#REF!</definedName>
    <definedName name="gWEG" hidden="1">{#N/A,#N/A,TRUE,"Cover";#N/A,#N/A,TRUE,"Conts";#N/A,#N/A,TRUE,"VOS";#N/A,#N/A,TRUE,"Warrington";#N/A,#N/A,TRUE,"Widnes"}</definedName>
    <definedName name="GWEGTew" hidden="1">{#N/A,#N/A,TRUE,"Cover";#N/A,#N/A,TRUE,"Conts";#N/A,#N/A,TRUE,"VOS";#N/A,#N/A,TRUE,"Warrington";#N/A,#N/A,TRUE,"Widnes"}</definedName>
    <definedName name="GYS">#REF!</definedName>
    <definedName name="H">#REF!</definedName>
    <definedName name="H_300">#REF!</definedName>
    <definedName name="H_350">#REF!</definedName>
    <definedName name="h_af">#REF!</definedName>
    <definedName name="H_Allowance">#REF!</definedName>
    <definedName name="h_bf">#REF!</definedName>
    <definedName name="HAB_MS">#REF!</definedName>
    <definedName name="Halcrow_Markup">#REF!</definedName>
    <definedName name="Halcrow_PM">#REF!</definedName>
    <definedName name="han" hidden="1">#REF!</definedName>
    <definedName name="HAND.incidents">MATCH(TRUE(),LEN(#REF!)&lt;&gt;0,0)</definedName>
    <definedName name="HAND_VLV_MANIF">#REF!</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ead_Office">#REF!</definedName>
    <definedName name="head1">#REF!</definedName>
    <definedName name="HeadWall">#REF!</definedName>
    <definedName name="HEAT_TRACE">#REF!</definedName>
    <definedName name="HEAT_TRACE_PROT">#REF!</definedName>
    <definedName name="Hedge">6.7754</definedName>
    <definedName name="Hedge_rate">6.7754</definedName>
    <definedName name="hello">#REF!</definedName>
    <definedName name="HEQ_9712">#REF!</definedName>
    <definedName name="here2">#REF!</definedName>
    <definedName name="hf">#REF!</definedName>
    <definedName name="hg">#REF!</definedName>
    <definedName name="HH">#REF!</definedName>
    <definedName name="HHH">#REF!</definedName>
    <definedName name="HIGH">#REF!</definedName>
    <definedName name="histMonth">OFFSET(OFFSET(#REF!,1,0),,,#REF!)</definedName>
    <definedName name="histPrecio">OFFSET(OFFSET(#REF!,1,0),,,#REF!)</definedName>
    <definedName name="histQuant">OFFSET(OFFSET(#REF!,1,0),,,#REF!)</definedName>
    <definedName name="histQuote">OFFSET(OFFSET(#REF!,1,0),,,#REF!)</definedName>
    <definedName name="histSpend">OFFSET(OFFSET(#REF!,1,0),,,#REF!)</definedName>
    <definedName name="histStart">#REF!</definedName>
    <definedName name="hjghjf" hidden="1">{#N/A,#N/A,FALSE,"표지목차"}</definedName>
    <definedName name="hjkgh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mghj" hidden="1">{#N/A,#N/A,FALSE,"물량산출"}</definedName>
    <definedName name="hkdjdjh" hidden="1">{#N/A,#N/A,FALSE,"물량산출"}</definedName>
    <definedName name="HOIST기초" hidden="1">{#N/A,#N/A,FALSE,"물량산출"}</definedName>
    <definedName name="holidays">OFFSET(#REF!,1,0,COUNTA(#REF!),1)</definedName>
    <definedName name="Home_Ofc_OT">#REF!</definedName>
    <definedName name="Home_Ofc_ST">#REF!</definedName>
    <definedName name="HOURS_A">#REF!</definedName>
    <definedName name="HOURS_C">#REF!</definedName>
    <definedName name="Hours_Per_Month_For_Recitals">#REF!</definedName>
    <definedName name="Hours_Per_Month_For_Ss_And_FCs">#REF!</definedName>
    <definedName name="HpGPMFth">IF(#REF!&lt;&gt;0,(ROUND(#REF!*#REF!/3364*1.33,0)),0)</definedName>
    <definedName name="HPPCivilRp">#REF!</definedName>
    <definedName name="HPPCivilUSD">#REF!</definedName>
    <definedName name="HPPCommRp">#REF!</definedName>
    <definedName name="HPPCommUSD">#REF!</definedName>
    <definedName name="HPPElecRp">#REF!</definedName>
    <definedName name="HPPElecUSD">#REF!</definedName>
    <definedName name="HPPMechRp">#REF!</definedName>
    <definedName name="HPPMechUSD">#REF!</definedName>
    <definedName name="HPPPreRp">#REF!</definedName>
    <definedName name="HPPPreUSD">#REF!</definedName>
    <definedName name="HPPTotal">#REF!</definedName>
    <definedName name="HrsDay">#REF!</definedName>
    <definedName name="HrsDay1">#REF!</definedName>
    <definedName name="HRSG_Boiler_Conc">#REF!</definedName>
    <definedName name="HrsMonth">#REF!</definedName>
    <definedName name="HrsMonth1">#REF!</definedName>
    <definedName name="HrsWeek">#REF!</definedName>
    <definedName name="HrsWeek1">#REF!</definedName>
    <definedName name="htgrhrgt">#REF!</definedName>
    <definedName name="HTML_CodePage" hidden="1">9</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HTR_COUNT">#REF!</definedName>
    <definedName name="https___www.saco.sa_en_All_Saco_Categories_Outdoor__26_Garden_Lawns__26_Landscaping_Gardening_Tools_Power_Garden_Tools_Electric_Tools_Trimmers_BRUSH_TRIMMER_CUTTER_43CC_BACKPACK_B_26S_p_000000000000061701?gclid_CjwKCAjw7IeUBhBbEiwADhiEMUBQ1EiSu91nl8wI_ErF">#REF!</definedName>
    <definedName name="htwing">#REF!</definedName>
    <definedName name="htwing_1">#N/A</definedName>
    <definedName name="HWCODE">#REF!</definedName>
    <definedName name="idpvol">#REF!</definedName>
    <definedName name="idpvol_1">#N/A</definedName>
    <definedName name="IELWSALES">#REF!</definedName>
    <definedName name="IELYSALES">#REF!</definedName>
    <definedName name="IEPLANSALES">#REF!</definedName>
    <definedName name="IESP">#REF!</definedName>
    <definedName name="ILGA">#REF!</definedName>
    <definedName name="Imat">#REF!</definedName>
    <definedName name="imported">#REF!</definedName>
    <definedName name="imported_1">#N/A</definedName>
    <definedName name="Imprimir_títulos_IM">#REF!</definedName>
    <definedName name="Inc.Tax_Korean">#REF!</definedName>
    <definedName name="Inc.Tax_Local.Reg">#REF!</definedName>
    <definedName name="Inc.Tax_Third.N">#REF!</definedName>
    <definedName name="Included">#REF!</definedName>
    <definedName name="Increase_of_Boreholes">#REF!</definedName>
    <definedName name="INDEX">#REF!</definedName>
    <definedName name="INDEX_1">#REF!</definedName>
    <definedName name="INDEX_2">#REF!</definedName>
    <definedName name="Index_Sheet_Kutools">#REF!</definedName>
    <definedName name="Indirect_and_HO_Average_Wage_Rates">#REF!</definedName>
    <definedName name="INDIRECT_CITY">#REF!</definedName>
    <definedName name="INDIRECT_ESC">#REF!</definedName>
    <definedName name="INDIRECT_MATRL_UNIT_COST">#REF!,#REF!,#REF!,#REF!,#REF!,#REF!,#REF!</definedName>
    <definedName name="INDIRECT_OLD_CITY">#REF!</definedName>
    <definedName name="INDIRECT_OLD_ESC">#REF!</definedName>
    <definedName name="INDIRECT_OLD_PROD">#REF!</definedName>
    <definedName name="INDIRECT_OLD_WAGE">#REF!</definedName>
    <definedName name="INDIRECT_PCT_LABOR_COST">#REF!,#REF!,#REF!,#REF!,#REF!,#REF!,#REF!</definedName>
    <definedName name="INDIRECT_PROD">#REF!</definedName>
    <definedName name="INDIRECT_WAGE">#REF!</definedName>
    <definedName name="INDOOR_COND">#REF!</definedName>
    <definedName name="industry">#REF!</definedName>
    <definedName name="inflation">#REF!</definedName>
    <definedName name="Inland_Interchanges">#REF!</definedName>
    <definedName name="input_index">#REF!</definedName>
    <definedName name="InputData">#REF!,#REF!,#REF!,#REF!,#REF!,#REF!,#REF!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t.">#REF!</definedName>
    <definedName name="INST60_OLD_CITY">#REF!</definedName>
    <definedName name="INST60_OLD_ESC">#REF!</definedName>
    <definedName name="INST60_OLD_PROD">#REF!</definedName>
    <definedName name="INST60_OLD_WAGE">#REF!</definedName>
    <definedName name="INSTR">#REF!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ulation">#REF!</definedName>
    <definedName name="Insurance">#REF!</definedName>
    <definedName name="IntCert">#REF!</definedName>
    <definedName name="IntCertCW">#REF!</definedName>
    <definedName name="IntCertCW_NSC">#REF!</definedName>
    <definedName name="IntCertNSC">#REF!</definedName>
    <definedName name="Interest">#REF!</definedName>
    <definedName name="IntFreeCred">#REF!</definedName>
    <definedName name="Invoices">#REF!</definedName>
    <definedName name="IP">#REF!</definedName>
    <definedName name="IPCs">#REF!</definedName>
    <definedName name="ir">#REF!</definedName>
    <definedName name="IRCalcs">#REF!</definedName>
    <definedName name="IS">#REF!</definedName>
    <definedName name="ITEM">#REF!</definedName>
    <definedName name="itemrange">OFFSET(#REF!,0,0,COUNTA(#REF!),1)</definedName>
    <definedName name="iteration">#REF!</definedName>
    <definedName name="ITL">#REF!</definedName>
    <definedName name="iuouio" hidden="1">{#N/A,#N/A,FALSE,"물량산출"}</definedName>
    <definedName name="J">#REF!</definedName>
    <definedName name="j_filler">#REF!</definedName>
    <definedName name="jangan">#REF!</definedName>
    <definedName name="jay">#REF!</definedName>
    <definedName name="jdjhdj" hidden="1">{#N/A,#N/A,FALSE,"CAM-G7";#N/A,#N/A,FALSE,"SPL";#N/A,#N/A,FALSE,"butt-in G7";#N/A,#N/A,FALSE,"dia-in G7";#N/A,#N/A,FALSE,"추가-STA G7"}</definedName>
    <definedName name="jfhgj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djf" hidden="1">{#N/A,#N/A,FALSE,"골재소요량";#N/A,#N/A,FALSE,"골재소요량"}</definedName>
    <definedName name="jghjgj" hidden="1">{#N/A,#N/A,FALSE,"물량산출"}</definedName>
    <definedName name="jghkg" hidden="1">{#N/A,#N/A,FALSE,"갑지";#N/A,#N/A,FALSE,"개요";#N/A,#N/A,FALSE,"비목별";#N/A,#N/A,FALSE,"건물별";#N/A,#N/A,FALSE,"기구표";#N/A,#N/A,FALSE,"직원투입"}</definedName>
    <definedName name="jh" hidden="1">{#N/A,#N/A,FALSE,"SumG";#N/A,#N/A,FALSE,"ElecG";#N/A,#N/A,FALSE,"MechG";#N/A,#N/A,FALSE,"GeotG";#N/A,#N/A,FALSE,"PrcsG";#N/A,#N/A,FALSE,"TunnG";#N/A,#N/A,FALSE,"CivlG";#N/A,#N/A,FALSE,"NtwkG";#N/A,#N/A,FALSE,"EstgG";#N/A,#N/A,FALSE,"PEngG"}</definedName>
    <definedName name="jhfgjfj" hidden="1">{#N/A,#N/A,FALSE,"CAM-G7";#N/A,#N/A,FALSE,"SPL";#N/A,#N/A,FALSE,"butt-in G7";#N/A,#N/A,FALSE,"dia-in G7";#N/A,#N/A,FALSE,"추가-STA G7"}</definedName>
    <definedName name="jhfgjhdgfh">#REF!</definedName>
    <definedName name="jhgfjfgjj" hidden="1">{#N/A,#N/A,FALSE,"운반시간"}</definedName>
    <definedName name="jhgjghj" hidden="1">{#N/A,#N/A,FALSE,"물량산출"}</definedName>
    <definedName name="jhkhgf" hidden="1">{#N/A,#N/A,FALSE,"갑지";#N/A,#N/A,FALSE,"개요";#N/A,#N/A,FALSE,"비목별";#N/A,#N/A,FALSE,"건물별";#N/A,#N/A,FALSE,"기구표";#N/A,#N/A,FALSE,"직원투입"}</definedName>
    <definedName name="jhkkg" hidden="1">{#N/A,#N/A,FALSE,"물량산출"}</definedName>
    <definedName name="JIM">#REF!</definedName>
    <definedName name="jj" hidden="1">{#N/A,#N/A,TRUE,"Page de garde";#N/A,#N/A,TRUE,"Estimation ingénierie";#N/A,#N/A,TRUE,"Synthése des heures";#N/A,#N/A,TRUE,"Etudes préliminaires";#N/A,#N/A,TRUE,"Avant projet";#N/A,#N/A,TRUE,"Projet";#N/A,#N/A,TRUE,"Approvisionnement";#N/A,#N/A,TRUE,"Construction";#N/A,#N/A,TRUE,"Essais  mise en route"}</definedName>
    <definedName name="JJJJJJ" hidden="1">#REF!</definedName>
    <definedName name="JK" hidden="1">{#N/A,#N/A,FALSE,"SumG";#N/A,#N/A,FALSE,"ElecG";#N/A,#N/A,FALSE,"MechG";#N/A,#N/A,FALSE,"GeotG";#N/A,#N/A,FALSE,"PrcsG";#N/A,#N/A,FALSE,"TunnG";#N/A,#N/A,FALSE,"CivlG";#N/A,#N/A,FALSE,"NtwkG";#N/A,#N/A,FALSE,"EstgG";#N/A,#N/A,FALSE,"PEngG"}</definedName>
    <definedName name="jkghk" hidden="1">{#N/A,#N/A,FALSE,"물량산출"}</definedName>
    <definedName name="jkhkh" hidden="1">{#N/A,#N/A,FALSE,"물량산출"}</definedName>
    <definedName name="jkj" hidden="1">{#N/A,#N/A,FALSE,"골재소요량";#N/A,#N/A,FALSE,"골재소요량"}</definedName>
    <definedName name="jkl" hidden="1">#REF!</definedName>
    <definedName name="jlhno">#REF!</definedName>
    <definedName name="Job_No">#REF!</definedName>
    <definedName name="JobDate">#REF!</definedName>
    <definedName name="JobDetails">#REF!</definedName>
    <definedName name="June_2006___to_QAR">#REF!</definedName>
    <definedName name="jytej" hidden="1">{#N/A,#N/A,FALSE,"갑지";#N/A,#N/A,FALSE,"개요";#N/A,#N/A,FALSE,"비목별";#N/A,#N/A,FALSE,"건물별";#N/A,#N/A,FALSE,"기구표";#N/A,#N/A,FALSE,"직원투입"}</definedName>
    <definedName name="K">#N/A</definedName>
    <definedName name="kdhjdh" hidden="1">{#N/A,#N/A,FALSE,"단가표지"}</definedName>
    <definedName name="Kedua">#REF!</definedName>
    <definedName name="Keempat">#REF!</definedName>
    <definedName name="Keenam">#REF!</definedName>
    <definedName name="Kelima">#REF!</definedName>
    <definedName name="Ketiga">#REF!</definedName>
    <definedName name="Ketujuh">#REF!</definedName>
    <definedName name="key">#REF!</definedName>
    <definedName name="Key_Unit03">#REF!</definedName>
    <definedName name="Key_Unit04">#REF!</definedName>
    <definedName name="Key_Unit05">#REF!</definedName>
    <definedName name="Key_Unit07">#REF!</definedName>
    <definedName name="Key_Unit08">#REF!</definedName>
    <definedName name="Key_Unit09">#REF!</definedName>
    <definedName name="Key_Unit10">#REF!</definedName>
    <definedName name="Key_Unit12">#REF!</definedName>
    <definedName name="Key_Unit14">#REF!</definedName>
    <definedName name="kfjdfjdj" hidden="1">{#N/A,#N/A,FALSE,"CAM-G7";#N/A,#N/A,FALSE,"SPL";#N/A,#N/A,FALSE,"butt-in G7";#N/A,#N/A,FALSE,"dia-in G7";#N/A,#N/A,FALSE,"추가-STA G7"}</definedName>
    <definedName name="kFOB">#REF!</definedName>
    <definedName name="kfsdkfkjsdhkfjh">#REF!</definedName>
    <definedName name="Kg.">#REF!</definedName>
    <definedName name="KGE">#REF!</definedName>
    <definedName name="khfgjsdj" hidden="1">{#N/A,#N/A,FALSE,"혼합골재"}</definedName>
    <definedName name="khgkhg" hidden="1">{#N/A,#N/A,FALSE,"물량산출"}</definedName>
    <definedName name="kIF">#REF!</definedName>
    <definedName name="kim">#REF!</definedName>
    <definedName name="KIP">#REF!</definedName>
    <definedName name="KitchenSink">#REF!</definedName>
    <definedName name="kj">#REF!</definedName>
    <definedName name="kjghfkj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djs" hidden="1">{#N/A,#N/A,FALSE,"CAM-G7";#N/A,#N/A,FALSE,"SPL";#N/A,#N/A,FALSE,"butt-in G7";#N/A,#N/A,FALSE,"dia-in G7";#N/A,#N/A,FALSE,"추가-STA G7"}</definedName>
    <definedName name="kjhgfdjdj" hidden="1">{#N/A,#N/A,FALSE,"물량산출"}</definedName>
    <definedName name="kjhjkdhfjkh">#REF!</definedName>
    <definedName name="kjhkhk" hidden="1">{#N/A,#N/A,FALSE,"갑지";#N/A,#N/A,FALSE,"개요";#N/A,#N/A,FALSE,"비목별";#N/A,#N/A,FALSE,"건물별";#N/A,#N/A,FALSE,"기구표";#N/A,#N/A,FALSE,"직원투입"}</definedName>
    <definedName name="kjhkj" hidden="1">{#N/A,#N/A,FALSE,"SumG";#N/A,#N/A,FALSE,"ElecG";#N/A,#N/A,FALSE,"MechG";#N/A,#N/A,FALSE,"GeotG";#N/A,#N/A,FALSE,"PrcsG";#N/A,#N/A,FALSE,"TunnG";#N/A,#N/A,FALSE,"CivlG";#N/A,#N/A,FALSE,"NtwkG";#N/A,#N/A,FALSE,"EstgG";#N/A,#N/A,FALSE,"PEngG"}</definedName>
    <definedName name="kk">#REF!</definedName>
    <definedName name="KKK">#REF!</definedName>
    <definedName name="kloc">#REF!</definedName>
    <definedName name="KMAT">#REF!</definedName>
    <definedName name="KMO">#REF!</definedName>
    <definedName name="Korean">#REF!,#REF!,#REF!,#REF!,#REF!,#REF!,#REF!,#REF!,#REF!</definedName>
    <definedName name="KSUB">#REF!</definedName>
    <definedName name="KTA">#REF!</definedName>
    <definedName name="KTB">#REF!</definedName>
    <definedName name="KTX">#REF!</definedName>
    <definedName name="KurFarki">#REF!</definedName>
    <definedName name="KW">#REF!</definedName>
    <definedName name="L">#REF!</definedName>
    <definedName name="l\">#REF!</definedName>
    <definedName name="L_1">#REF!</definedName>
    <definedName name="L_12.2">#REF!</definedName>
    <definedName name="L_18.3">#REF!</definedName>
    <definedName name="L_2">#REF!</definedName>
    <definedName name="L_24.7">#REF!</definedName>
    <definedName name="L_3">#REF!</definedName>
    <definedName name="L_45.7">#REF!</definedName>
    <definedName name="L_65">#REF!</definedName>
    <definedName name="LA">#REF!</definedName>
    <definedName name="LA_Dams">#REF!</definedName>
    <definedName name="Labor">#N/A</definedName>
    <definedName name="LABOR_C">#REF!</definedName>
    <definedName name="LABOR1">#N/A</definedName>
    <definedName name="LABPER">#REF!</definedName>
    <definedName name="labper01">#REF!</definedName>
    <definedName name="LandCut">#REF!</definedName>
    <definedName name="LAST">#REF!</definedName>
    <definedName name="Lastupdated">"Last updated by kazawim on 28/12/2011  08:56:45 AM"</definedName>
    <definedName name="Lcant">#REF!</definedName>
    <definedName name="Lcant_1">#N/A</definedName>
    <definedName name="LCC_EXPAT">#REF!</definedName>
    <definedName name="LCC_LOCAL">#REF!</definedName>
    <definedName name="lcnc">#REF!</definedName>
    <definedName name="lcost">TMH*ulcost</definedName>
    <definedName name="lean">#REF!</definedName>
    <definedName name="LeanConcrete">#REF!</definedName>
    <definedName name="LeaveDays">#REF!</definedName>
    <definedName name="LeaveDays1">#REF!</definedName>
    <definedName name="lee">#REF!</definedName>
    <definedName name="lef">#REF!</definedName>
    <definedName name="Leva">#REF!</definedName>
    <definedName name="Lf">#REF!</definedName>
    <definedName name="Lf_1">#N/A</definedName>
    <definedName name="LHGLIGLUYÇ">#REF!</definedName>
    <definedName name="Lib">#REF!</definedName>
    <definedName name="LIGHTING">#REF!</definedName>
    <definedName name="LINE">#REF!</definedName>
    <definedName name="Line_Tag">#REF!</definedName>
    <definedName name="LINE1">#REF!</definedName>
    <definedName name="LiqAscLetter">#REF!</definedName>
    <definedName name="list" hidden="1">{#N/A,#N/A,TRUE,"Basic";#N/A,#N/A,TRUE,"EXT-TABLE";#N/A,#N/A,TRUE,"STEEL";#N/A,#N/A,TRUE,"INT-Table";#N/A,#N/A,TRUE,"STEEL";#N/A,#N/A,TRUE,"Door"}</definedName>
    <definedName name="list01" hidden="1">{#N/A,#N/A,TRUE,"Basic";#N/A,#N/A,TRUE,"EXT-TABLE";#N/A,#N/A,TRUE,"STEEL";#N/A,#N/A,TRUE,"INT-Table";#N/A,#N/A,TRUE,"STEEL";#N/A,#N/A,TRUE,"Door"}</definedName>
    <definedName name="list1">#REF!</definedName>
    <definedName name="LIT">#REF!</definedName>
    <definedName name="lkjljl" hidden="1">{#N/A,#N/A,FALSE,"혼합골재"}</definedName>
    <definedName name="lkjojo">#REF!</definedName>
    <definedName name="LKL" hidden="1">{#N/A,#N/A,FALSE,"SumG";#N/A,#N/A,FALSE,"ElecG";#N/A,#N/A,FALSE,"MechG";#N/A,#N/A,FALSE,"GeotG";#N/A,#N/A,FALSE,"PrcsG";#N/A,#N/A,FALSE,"TunnG";#N/A,#N/A,FALSE,"CivlG";#N/A,#N/A,FALSE,"NtwkG";#N/A,#N/A,FALSE,"EstgG";#N/A,#N/A,FALSE,"PEngG"}</definedName>
    <definedName name="LL">#REF!</definedName>
    <definedName name="lldr">#REF!</definedName>
    <definedName name="llf">#REF!</definedName>
    <definedName name="LLL">#REF!</definedName>
    <definedName name="lllll" hidden="1">{#N/A,#N/A,FALSE,"Pricing";#N/A,#N/A,FALSE,"Summary";#N/A,#N/A,FALSE,"CompProd";#N/A,#N/A,FALSE,"CompJobhrs";#N/A,#N/A,FALSE,"Escalation";#N/A,#N/A,FALSE,"Contingency";#N/A,#N/A,FALSE,"GM";#N/A,#N/A,FALSE,"CompWage";#N/A,#N/A,FALSE,"costSum"}</definedName>
    <definedName name="lmf">#REF!</definedName>
    <definedName name="lnmr">#REF!</definedName>
    <definedName name="Loan_A_margins">#REF!</definedName>
    <definedName name="Location">#REF!</definedName>
    <definedName name="london">#REF!</definedName>
    <definedName name="LookPump">IF(VLOOKUP(#REF!,LTG_PWR_EQUIP,2)="HELP","HELP",VLOOKUP(#REF!,LTG_PWR_EQUIP,2))</definedName>
    <definedName name="LookPump1">IF(VLOOKUP(#REF!,LTG_PWR_EQUIP,2)="HELP","HELP",VLOOKUP(#REF!,LTG_PWR_EQUIP,2))</definedName>
    <definedName name="LookupPump">#REF!</definedName>
    <definedName name="Lp">#REF!</definedName>
    <definedName name="lpav">#REF!</definedName>
    <definedName name="lpnt">#REF!</definedName>
    <definedName name="lscf">#REF!</definedName>
    <definedName name="lspe">#REF!</definedName>
    <definedName name="LTG_ALS">#REF!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wld">#REF!</definedName>
    <definedName name="LWSALES">#REF!</definedName>
    <definedName name="l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A_L_G_A">#N/A</definedName>
    <definedName name="M_L_N_G">#N/A</definedName>
    <definedName name="M_P_D_P">#N/A</definedName>
    <definedName name="M2_">#REF!</definedName>
    <definedName name="M3_">#REF!</definedName>
    <definedName name="macc">#REF!</definedName>
    <definedName name="MaceCompletionDate">#REF!</definedName>
    <definedName name="MaceStartDate">#REF!</definedName>
    <definedName name="Macro1">#REF!</definedName>
    <definedName name="Macro10">#REF!</definedName>
    <definedName name="Macro12">#REF!</definedName>
    <definedName name="Macro13">#REF!</definedName>
    <definedName name="Macro14">#REF!</definedName>
    <definedName name="Macro2">#REF!</definedName>
    <definedName name="Macro5">#REF!</definedName>
    <definedName name="Macro6">#REF!</definedName>
    <definedName name="Macro7">#REF!</definedName>
    <definedName name="Macro8">#REF!</definedName>
    <definedName name="Macro9">#REF!</definedName>
    <definedName name="MAIL">#REF!</definedName>
    <definedName name="MAN_HRS">#REF!</definedName>
    <definedName name="MAN_LAB">#REF!</definedName>
    <definedName name="Man_Month">#REF!</definedName>
    <definedName name="Management_Fee_at_Risk">#REF!</definedName>
    <definedName name="management_graph">#REF!</definedName>
    <definedName name="management_schedule">#REF!</definedName>
    <definedName name="MANHOLE">#REF!</definedName>
    <definedName name="mapd3">#REF!</definedName>
    <definedName name="mapv3">#REF!</definedName>
    <definedName name="March_2006___to_QAR">#REF!</definedName>
    <definedName name="MARGINPLAN">#REF!</definedName>
    <definedName name="MARGINPROJ">#REF!</definedName>
    <definedName name="Maritimes">#REF!</definedName>
    <definedName name="markup">#REF!</definedName>
    <definedName name="MASTERLIST">#REF!</definedName>
    <definedName name="MAT">#REF!</definedName>
    <definedName name="MaterialToBeCrushed">#REF!</definedName>
    <definedName name="MaterialToBeScreened">#REF!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L">#N/A</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1">#N/A</definedName>
    <definedName name="May_2006___to_QAR">#REF!</definedName>
    <definedName name="MC_">#REF!</definedName>
    <definedName name="ME_Salary">#REF!</definedName>
    <definedName name="MECH_INSTR">#REF!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chanical">#REF!</definedName>
    <definedName name="mem">#REF!</definedName>
    <definedName name="MENU">#REF!</definedName>
    <definedName name="mf">#REF!</definedName>
    <definedName name="Mgmt_Spt_Factor">#REF!</definedName>
    <definedName name="MgMt_Spt_Factor1">#REF!</definedName>
    <definedName name="MH">#REF!</definedName>
    <definedName name="MH_HH">#REF!</definedName>
    <definedName name="MH_소수점">#REF!</definedName>
    <definedName name="mhr">#REF!</definedName>
    <definedName name="MHRS_CONDENSER">#REF!</definedName>
    <definedName name="MHRS_GTG">#REF!</definedName>
    <definedName name="MHRS_STG">#REF!</definedName>
    <definedName name="MIDPOINT">#REF!</definedName>
    <definedName name="milan">#REF!</definedName>
    <definedName name="MISC">#REF!</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list">#REF!</definedName>
    <definedName name="mm" hidden="1">{#N/A,#N/A,TRUE,"Page de garde";#N/A,#N/A,TRUE,"Estimation ingénierie";#N/A,#N/A,TRUE,"Synthése des heures";#N/A,#N/A,TRUE,"Etudes préliminaires";#N/A,#N/A,TRUE,"Avant projet";#N/A,#N/A,TRUE,"Projet";#N/A,#N/A,TRUE,"Approvisionnement";#N/A,#N/A,TRUE,"Construction";#N/A,#N/A,TRUE,"Essais  mise en route"}</definedName>
    <definedName name="MM_CP1">#REF!</definedName>
    <definedName name="MM_CP2">#REF!</definedName>
    <definedName name="MM_Korean">#REF!</definedName>
    <definedName name="MM_Local.Reg">#REF!</definedName>
    <definedName name="MM_QS">#REF!</definedName>
    <definedName name="MM_SMO">#REF!</definedName>
    <definedName name="MM_Third.Nation">#REF!</definedName>
    <definedName name="mmm">#REF!</definedName>
    <definedName name="mnh">#REF!</definedName>
    <definedName name="mnuSiteNumber">OFFSET(#REF!,0,0,COUNTA(#REF!),1)</definedName>
    <definedName name="Model_Name">#REF!</definedName>
    <definedName name="Module1.Goto_Quants_Generator">#N/A</definedName>
    <definedName name="Module1.Print_Setup_Budget_Estimate">#N/A</definedName>
    <definedName name="Module1.Print_Setup_Quants_Generator">#N/A</definedName>
    <definedName name="Module3.Goto_Budget_Estimate">#N/A</definedName>
    <definedName name="Module3.Goto_Quants_Generator">#N/A</definedName>
    <definedName name="Module3.Print_Setup_Budget_Estimate">#N/A</definedName>
    <definedName name="Module3.Print_Setup_Quants_Generator">#N/A</definedName>
    <definedName name="MOM">#REF!</definedName>
    <definedName name="momo" hidden="1">{#N/A,#N/A,TRUE,"Page de garde";#N/A,#N/A,TRUE,"Estimation ingénierie";#N/A,#N/A,TRUE,"Synthése des heures";#N/A,#N/A,TRUE,"Etudes préliminaires";#N/A,#N/A,TRUE,"Avant projet";#N/A,#N/A,TRUE,"Projet";#N/A,#N/A,TRUE,"Approvisionnement";#N/A,#N/A,TRUE,"Construction";#N/A,#N/A,TRUE,"Essais  mise en route"}</definedName>
    <definedName name="MonFirst">#REF!</definedName>
    <definedName name="Month">#REF!</definedName>
    <definedName name="Monthly_Regional_Expense_rate">#REF!</definedName>
    <definedName name="Monthly_Stats">#REF!</definedName>
    <definedName name="monthName">#REF!</definedName>
    <definedName name="monthNames">#REF!</definedName>
    <definedName name="MONTHS">#REF!</definedName>
    <definedName name="MontlyPercentCompletion">#REF!</definedName>
    <definedName name="MOS">#REF!</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OVE1">#REF!,#REF!</definedName>
    <definedName name="MOVE2">#REF!,#REF!</definedName>
    <definedName name="MOVE3">#REF!,#REF!</definedName>
    <definedName name="MOVE4">#REF!,#REF!,#REF!,#REF!</definedName>
    <definedName name="Mp">#REF!</definedName>
    <definedName name="MPR_PREV">#REF!</definedName>
    <definedName name="MPR_TODATE">#REF!</definedName>
    <definedName name="MR">#REF!</definedName>
    <definedName name="MR6.2">#REF!</definedName>
    <definedName name="mrate">#REF!</definedName>
    <definedName name="MRHeader">#REF!</definedName>
    <definedName name="MRReq02">#REF!</definedName>
    <definedName name="MTHS_TO_DEL">#REF!</definedName>
    <definedName name="MU">#REF!</definedName>
    <definedName name="MULT">#REF!</definedName>
    <definedName name="Multiplier">#REF!</definedName>
    <definedName name="Multiplier1">#REF!</definedName>
    <definedName name="mup">#REF!</definedName>
    <definedName name="MWeGross">#REF!</definedName>
    <definedName name="MWeNet">#REF!</definedName>
    <definedName name="MYR">#REF!</definedName>
    <definedName name="N">#REF!</definedName>
    <definedName name="NA">#REF!</definedName>
    <definedName name="name">#REF!</definedName>
    <definedName name="Nasa">#REF!</definedName>
    <definedName name="Nasa1">#REF!</definedName>
    <definedName name="NativeTimeline_First_Work_Order_Original_Start_Date">#N/A</definedName>
    <definedName name="NativeTimeline_Time_Sheet_End_Date">#N/A</definedName>
    <definedName name="NativeTimeline_Work_Order_End_Date___WK">#N/A</definedName>
    <definedName name="nauman">#N/A</definedName>
    <definedName name="Nbars">#REF!</definedName>
    <definedName name="ncompier">#REF!</definedName>
    <definedName name="ncompier_1">#N/A</definedName>
    <definedName name="NDR">#REF!</definedName>
    <definedName name="NEDOPRIN">#REF!</definedName>
    <definedName name="needle">#REF!</definedName>
    <definedName name="NegativeFeedback">OFFSET(#REF!,0,0,COUNTA(#REF!)-1)</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#REF!</definedName>
    <definedName name="Newfoundland">#REF!</definedName>
    <definedName name="newnew">#REF!</definedName>
    <definedName name="nextMonth">#REF!</definedName>
    <definedName name="nextMonthName">#REF!</definedName>
    <definedName name="NGC">#REF!</definedName>
    <definedName name="ngmrt">#REF!</definedName>
    <definedName name="NIPP">#REF!</definedName>
    <definedName name="NIStatus">#REF!</definedName>
    <definedName name="NIStatus1">#REF!</definedName>
    <definedName name="NK9_Temporary">#REF!</definedName>
    <definedName name="nn" hidden="1">{#N/A,#N/A,TRUE,"Page de garde";#N/A,#N/A,TRUE,"Estimation ingénierie";#N/A,#N/A,TRUE,"Synthése des heures";#N/A,#N/A,TRUE,"Etudes préliminaires";#N/A,#N/A,TRUE,"Avant projet";#N/A,#N/A,TRUE,"Projet";#N/A,#N/A,TRUE,"Approvisionnement";#N/A,#N/A,TRUE,"Construction";#N/A,#N/A,TRUE,"Essais  mise en route"}</definedName>
    <definedName name="nnn" hidden="1">{#N/A,#N/A,FALSE,"SumD";#N/A,#N/A,FALSE,"ElecD";#N/A,#N/A,FALSE,"MechD";#N/A,#N/A,FALSE,"GeotD";#N/A,#N/A,FALSE,"PrcsD";#N/A,#N/A,FALSE,"TunnD";#N/A,#N/A,FALSE,"CivlD";#N/A,#N/A,FALSE,"NtwkD";#N/A,#N/A,FALSE,"EstgD";#N/A,#N/A,FALSE,"PEngD"}</definedName>
    <definedName name="nnnnn" hidden="1">{#N/A,#N/A,FALSE,"SumG";#N/A,#N/A,FALSE,"ElecG";#N/A,#N/A,FALSE,"MechG";#N/A,#N/A,FALSE,"GeotG";#N/A,#N/A,FALSE,"PrcsG";#N/A,#N/A,FALSE,"TunnG";#N/A,#N/A,FALSE,"CivlG";#N/A,#N/A,FALSE,"NtwkG";#N/A,#N/A,FALSE,"EstgG";#N/A,#N/A,FALSE,"PEngG"}</definedName>
    <definedName name="NNR">#REF!</definedName>
    <definedName name="no">#REF!</definedName>
    <definedName name="No.">#REF!</definedName>
    <definedName name="No_of_Hollidays">#REF!</definedName>
    <definedName name="No_Ramadan_Days">#REF!</definedName>
    <definedName name="No_Week_Days">#REF!</definedName>
    <definedName name="No_Weekend_Days">#REF!</definedName>
    <definedName name="No0">#REF!</definedName>
    <definedName name="nolanes">#REF!</definedName>
    <definedName name="nolanes_1">#N/A</definedName>
    <definedName name="nonreimb">#REF!</definedName>
    <definedName name="Northern">#REF!</definedName>
    <definedName name="notes">#REF!</definedName>
    <definedName name="Notification">#REF!</definedName>
    <definedName name="Npiers">#REF!</definedName>
    <definedName name="Npiers_1">#N/A</definedName>
    <definedName name="npile2">#REF!</definedName>
    <definedName name="npile2_1">#N/A</definedName>
    <definedName name="npile3">#REF!</definedName>
    <definedName name="npile3_1">#N/A</definedName>
    <definedName name="Nrows">#REF!</definedName>
    <definedName name="Nspans">#REF!</definedName>
    <definedName name="Nspans_1">#N/A</definedName>
    <definedName name="num">#REF!</definedName>
    <definedName name="Nwebs">#REF!</definedName>
    <definedName name="Nwebs_1">#N/A</definedName>
    <definedName name="o">#REF!</definedName>
    <definedName name="O.">#REF!</definedName>
    <definedName name="O_H___Profit">#REF!</definedName>
    <definedName name="OD">#REF!</definedName>
    <definedName name="OD_FACTOR">#REF!</definedName>
    <definedName name="ODC">#REF!</definedName>
    <definedName name="ODC_Allowance_Rates">#REF!</definedName>
    <definedName name="ODH" hidden="1">#REF!</definedName>
    <definedName name="OFF">#REF!</definedName>
    <definedName name="OFFICE">#REF!</definedName>
    <definedName name="Office_Charge_Rate">#REF!</definedName>
    <definedName name="Office_Supplies_Unit_Rate">#REF!</definedName>
    <definedName name="Offices">#REF!</definedName>
    <definedName name="offset">1</definedName>
    <definedName name="OH">#REF!</definedName>
    <definedName name="OK">#REF!</definedName>
    <definedName name="ol">#REF!</definedName>
    <definedName name="oldprinttotal">#REF!</definedName>
    <definedName name="olieee">#REF!</definedName>
    <definedName name="oliver">#REF!</definedName>
    <definedName name="olivermmm">#REF!</definedName>
    <definedName name="olki">#REF!</definedName>
    <definedName name="OM">#REF!</definedName>
    <definedName name="Omani">#REF!</definedName>
    <definedName name="ONE">#REF!</definedName>
    <definedName name="Ontario">#REF!</definedName>
    <definedName name="OO">#REF!</definedName>
    <definedName name="OOO">#REF!</definedName>
    <definedName name="OPTIONS">#REF!</definedName>
    <definedName name="Orange">#REF!</definedName>
    <definedName name="origin">#REF!</definedName>
    <definedName name="OSAllo">#REF!</definedName>
    <definedName name="OSAllowance">#REF!</definedName>
    <definedName name="OSAllText">#REF!</definedName>
    <definedName name="OSAText">#REF!</definedName>
    <definedName name="OSBL" hidden="1">{"'장비'!$A$3:$M$12"}</definedName>
    <definedName name="OSBL_Costs">#REF!</definedName>
    <definedName name="OSBL_Mhrs">#REF!</definedName>
    <definedName name="OSBL1" hidden="1">{"'장비'!$A$3:$M$12"}</definedName>
    <definedName name="OSDays">#REF!</definedName>
    <definedName name="OTH_DIR">#REF!</definedName>
    <definedName name="Other">#REF!</definedName>
    <definedName name="OTHER_PRICING">#REF!</definedName>
    <definedName name="other_schedule">#REF!</definedName>
    <definedName name="OTHER_VALVES">#REF!</definedName>
    <definedName name="OTHERS" hidden="1">{"'장비'!$A$3:$M$12"}</definedName>
    <definedName name="Out_of_Scope">#REF!</definedName>
    <definedName name="OUTDOOR_COND">#REF!</definedName>
    <definedName name="OVs">#REF!</definedName>
    <definedName name="P">#REF!</definedName>
    <definedName name="p_shape">#REF!</definedName>
    <definedName name="P1_Earnings">#REF!</definedName>
    <definedName name="PA_CABLE">#REF!</definedName>
    <definedName name="PA_CONDUIT">#REF!</definedName>
    <definedName name="PA_EQUIP">#REF!</definedName>
    <definedName name="PAC0Q2">#REF!</definedName>
    <definedName name="Package">#REF!</definedName>
    <definedName name="Packed">#REF!</definedName>
    <definedName name="packname">#REF!</definedName>
    <definedName name="Page">#REF!</definedName>
    <definedName name="PAGE1">#REF!</definedName>
    <definedName name="PAGE11">#N/A</definedName>
    <definedName name="PAGE12">#N/A</definedName>
    <definedName name="PAGE2">#REF!</definedName>
    <definedName name="PAGE21">#N/A</definedName>
    <definedName name="PAGE22">#N/A</definedName>
    <definedName name="PAGE3">#REF!</definedName>
    <definedName name="PAGE31">#N/A</definedName>
    <definedName name="PAGE32">#N/A</definedName>
    <definedName name="PAGE4">#REF!</definedName>
    <definedName name="PAGE41">#N/A</definedName>
    <definedName name="PAGE42">#N/A</definedName>
    <definedName name="PaidDays">#REF!</definedName>
    <definedName name="PAR" hidden="1">#REF!</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m_Civil_Build_01">#REF!</definedName>
    <definedName name="Parm_Civil_Build_02">#REF!</definedName>
    <definedName name="Parm_Civil_Build_03">#REF!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th">"Edit Box 5"</definedName>
    <definedName name="PavementMarking">#REF!</definedName>
    <definedName name="PAY">#REF!</definedName>
    <definedName name="PAYCRIT">#REF!</definedName>
    <definedName name="PAYITEM">#REF!</definedName>
    <definedName name="PAYMENT_SCHEDUL">#REF!</definedName>
    <definedName name="PaymentType">#REF!</definedName>
    <definedName name="PAYROLL">#REF!</definedName>
    <definedName name="PC">#REF!</definedName>
    <definedName name="PC_Hrs1">#REF!</definedName>
    <definedName name="PC_HRS2">#REF!</definedName>
    <definedName name="PcProvs">#REF!</definedName>
    <definedName name="PCWBS">#REF!</definedName>
    <definedName name="PD_Daily">#REF!</definedName>
    <definedName name="PD_Monthly">#REF!</definedName>
    <definedName name="pdvol">#REF!</definedName>
    <definedName name="pdvol_1">#N/A</definedName>
    <definedName name="PD점검구관련" hidden="1">{#N/A,#N/A,FALSE,"물량산출"}</definedName>
    <definedName name="ped_no">#REF!</definedName>
    <definedName name="PER">#REF!</definedName>
    <definedName name="Per_Diem_Rate">#REF!</definedName>
    <definedName name="perbox">#REF!</definedName>
    <definedName name="perbox_1">#N/A</definedName>
    <definedName name="performance">#REF!</definedName>
    <definedName name="periimported">#REF!</definedName>
    <definedName name="periimported_1">#N/A</definedName>
    <definedName name="Period">#REF!</definedName>
    <definedName name="Period_Const">#REF!</definedName>
    <definedName name="Period_Excav">#REF!</definedName>
    <definedName name="period_names">#REF!</definedName>
    <definedName name="period_selected">#REF!</definedName>
    <definedName name="Period_Struc">#REF!</definedName>
    <definedName name="Pertama">#REF!</definedName>
    <definedName name="PEST_LIST">#REF!</definedName>
    <definedName name="PFSR">#REF!</definedName>
    <definedName name="PGLabt">#REF!</definedName>
    <definedName name="PGLabt_1">#N/A</definedName>
    <definedName name="Phase">#REF!</definedName>
    <definedName name="Phaserange">OFFSET(#REF!,0,0,COUNTA(#REF!),1)</definedName>
    <definedName name="Physical_Scope">#REF!</definedName>
    <definedName name="pier2">#REF!</definedName>
    <definedName name="pier2_1">#N/A</definedName>
    <definedName name="pierpiles">#REF!</definedName>
    <definedName name="pierpiles_1">#N/A</definedName>
    <definedName name="piervol1">#REF!</definedName>
    <definedName name="piervol1_1">#N/A</definedName>
    <definedName name="piervol2">#REF!</definedName>
    <definedName name="piervol2_1">#N/A</definedName>
    <definedName name="Pile_cut">#REF!</definedName>
    <definedName name="pile_no">#REF!</definedName>
    <definedName name="piledia1">#REF!</definedName>
    <definedName name="piledia1_1">#N/A</definedName>
    <definedName name="piledia2">#REF!</definedName>
    <definedName name="piledia2_1">#N/A</definedName>
    <definedName name="piledia3">#REF!</definedName>
    <definedName name="piledia3_1">#N/A</definedName>
    <definedName name="Piletipele">#REF!</definedName>
    <definedName name="Piletipele_1">#N/A</definedName>
    <definedName name="PinkSlip">#REF!</definedName>
    <definedName name="PIPE">#REF!</definedName>
    <definedName name="PIPE_CLASS">#REF!</definedName>
    <definedName name="PIPE_RACK_TRAY">#REF!</definedName>
    <definedName name="PIPE_SMLS_CS_A106_B_SCH80_T_C_SRL">#REF!</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CPsacDSGN">#REF!</definedName>
    <definedName name="PipeCulverts">#REF!</definedName>
    <definedName name="piping">#REF!</definedName>
    <definedName name="Pkg_1A">#REF!</definedName>
    <definedName name="Pkg_1B">#REF!</definedName>
    <definedName name="Pkg_2">#REF!</definedName>
    <definedName name="Pkg_2A">#REF!</definedName>
    <definedName name="Pkg_2B">#REF!</definedName>
    <definedName name="Pkg_3">#REF!</definedName>
    <definedName name="Pkg_4">#REF!</definedName>
    <definedName name="Pkg_5">#REF!</definedName>
    <definedName name="Pkg_6">#REF!</definedName>
    <definedName name="Pkg_P">#REF!</definedName>
    <definedName name="Pkgs">#REF!</definedName>
    <definedName name="PLabor">#REF!</definedName>
    <definedName name="PlantName">#REF!</definedName>
    <definedName name="PlantPPH">#REF!</definedName>
    <definedName name="PlantType">#REF!</definedName>
    <definedName name="PLUG">#REF!</definedName>
    <definedName name="PM">#REF!</definedName>
    <definedName name="PM_Daily">#REF!</definedName>
    <definedName name="PM_Hrs">#REF!</definedName>
    <definedName name="PM_Monthly">#REF!</definedName>
    <definedName name="PM_Rev">#REF!</definedName>
    <definedName name="PMVVes">#REF!</definedName>
    <definedName name="PO_HRS">#REF!</definedName>
    <definedName name="POARTM0TB0TB0TB0TB4.8TB55TB200R">#REF!</definedName>
    <definedName name="POARTSQKS15C5LRTRT">#REF!</definedName>
    <definedName name="POS.">#REF!</definedName>
    <definedName name="Positions">#REF!</definedName>
    <definedName name="Positionss">#REF!</definedName>
    <definedName name="PositiveFeedback">OFFSET(#REF!,0,0,COUNTA(#REF!)-1)</definedName>
    <definedName name="pound">#REF!</definedName>
    <definedName name="POY" hidden="1">#REF!</definedName>
    <definedName name="PPP">#REF!</definedName>
    <definedName name="PR">#REF!</definedName>
    <definedName name="PR_PREV">#REF!</definedName>
    <definedName name="PR_TODATE">#REF!</definedName>
    <definedName name="PRDump">#REF!</definedName>
    <definedName name="PRE_TRACED_TUBE">#REF!</definedName>
    <definedName name="Precomm">#REF!</definedName>
    <definedName name="PreContReport">#REF!</definedName>
    <definedName name="Preliminary">#REF!</definedName>
    <definedName name="Preparation">#REF!</definedName>
    <definedName name="PREST">#REF!</definedName>
    <definedName name="Previous">#N/A</definedName>
    <definedName name="prevMonth">#REF!</definedName>
    <definedName name="prevMonthName">#REF!</definedName>
    <definedName name="price">'[1]KEY Data – do not delete –'!#REF!</definedName>
    <definedName name="Price_Acoust._Ceil">#REF!</definedName>
    <definedName name="Price_Block">#REF!</definedName>
    <definedName name="Price_Brick">#REF!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menu">#REF!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Unit01">#REF!</definedName>
    <definedName name="Price_Unit01_esc">#REF!</definedName>
    <definedName name="Price_Unit02">#REF!</definedName>
    <definedName name="Price_Unit02_esc">#REF!</definedName>
    <definedName name="Price_Unit03">#REF!</definedName>
    <definedName name="Price_Unit03_esc">#REF!</definedName>
    <definedName name="Price_Unit04">#REF!</definedName>
    <definedName name="Price_Unit04_esc">#REF!</definedName>
    <definedName name="Price_Unit05">#REF!</definedName>
    <definedName name="Price_Unit07">#REF!</definedName>
    <definedName name="Price_Unit08">#REF!</definedName>
    <definedName name="Price_Unit09">#REF!</definedName>
    <definedName name="Price_Unit10">#REF!</definedName>
    <definedName name="Price_Unit12">#REF!</definedName>
    <definedName name="Price_Unit14">#REF!</definedName>
    <definedName name="Price_Wd.Door_D">#REF!</definedName>
    <definedName name="Price_Wd.Door_S">#REF!</definedName>
    <definedName name="PRICELIST">#REF!</definedName>
    <definedName name="PrimeCoat">#REF!</definedName>
    <definedName name="print">#REF!</definedName>
    <definedName name="PRINT_1">#REF!</definedName>
    <definedName name="Print_Are">#REF!</definedName>
    <definedName name="PRINT_AREA_MI">#N/A</definedName>
    <definedName name="Print_Setup_Quants_Generator">#N/A</definedName>
    <definedName name="PRINT_TITLES_MI">#N/A</definedName>
    <definedName name="PrintTotal">#REF!</definedName>
    <definedName name="PRJ_CODE">#REF!</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J_NAME">#REF!</definedName>
    <definedName name="PrjN">#REF!</definedName>
    <definedName name="Proc_Hrs">#REF!</definedName>
    <definedName name="Proc_Rev">#REF!</definedName>
    <definedName name="Programmed_Contribution">#REF!</definedName>
    <definedName name="Programmed_Contribution1">#REF!</definedName>
    <definedName name="progress">#REF!</definedName>
    <definedName name="PROJ_OFF_HRS">#REF!</definedName>
    <definedName name="PROJ_OFF_LAB">#REF!</definedName>
    <definedName name="project">#REF!</definedName>
    <definedName name="Project_Term">#REF!</definedName>
    <definedName name="Project_Title">#REF!</definedName>
    <definedName name="Project_Type">#REF!</definedName>
    <definedName name="ProjectCalendar">#REF!</definedName>
    <definedName name="ProjectResource">#REF!</definedName>
    <definedName name="ProjExp">#REF!</definedName>
    <definedName name="PROJLOC">#REF!</definedName>
    <definedName name="projmonthmax">OFFSET(#REF!,0,0,MATCH(#REF!,#REF!,0),1)</definedName>
    <definedName name="PROJNAME">#REF!</definedName>
    <definedName name="Proname">#REF!</definedName>
    <definedName name="Proname_1">#N/A</definedName>
    <definedName name="prov_sums">#REF!</definedName>
    <definedName name="PS">#REF!</definedName>
    <definedName name="PT">#REF!</definedName>
    <definedName name="PTMaceStartDate">#REF!</definedName>
    <definedName name="PUMP">#REF!</definedName>
    <definedName name="PVC_FLEXIBLE_PIPE">#REF!</definedName>
    <definedName name="PVC_PIPE">#REF!</definedName>
    <definedName name="PWR_BLK_TRAY">#REF!</definedName>
    <definedName name="Q">#REF!</definedName>
    <definedName name="qa_graph">#REF!</definedName>
    <definedName name="qa_schedule">#REF!</definedName>
    <definedName name="QAC">#REF!</definedName>
    <definedName name="qar">#REF!</definedName>
    <definedName name="qor" hidden="1">#REF!</definedName>
    <definedName name="qq">#REF!</definedName>
    <definedName name="QQQ">#REF!</definedName>
    <definedName name="qqqq" hidden="1">{"'장비'!$A$3:$M$12"}</definedName>
    <definedName name="qqqqq" hidden="1">{#N/A,#N/A,TRUE,"Basic";#N/A,#N/A,TRUE,"EXT-TABLE";#N/A,#N/A,TRUE,"STEEL";#N/A,#N/A,TRUE,"INT-Table";#N/A,#N/A,TRUE,"STEEL";#N/A,#N/A,TRUE,"Door"}</definedName>
    <definedName name="qr" hidden="1">{#N/A,#N/A,TRUE,"Cover";#N/A,#N/A,TRUE,"Conts";#N/A,#N/A,TRUE,"VOS";#N/A,#N/A,TRUE,"Warrington";#N/A,#N/A,TRUE,"Widnes"}</definedName>
    <definedName name="QR.">#REF!</definedName>
    <definedName name="QR_to_LB_Sterling">#REF!</definedName>
    <definedName name="qry_HMS_Extract_Roli_Kho">#REF!</definedName>
    <definedName name="QS_adjustment_P1___P4">#REF!</definedName>
    <definedName name="QS_Expenses">735350</definedName>
    <definedName name="QS_Fee_P5_P6">#REF!</definedName>
    <definedName name="QS_fee_per_Package_1_4">#REF!</definedName>
    <definedName name="QTY">input</definedName>
    <definedName name="Qty.">#REF!</definedName>
    <definedName name="Qty_1">#REF!</definedName>
    <definedName name="Qty_Ceiling">#REF!</definedName>
    <definedName name="Qty_Cntl_Valves">ROUND(IF(VLOOKUP(#REF!,ConDesIntCert,9,FALSE())=0,0,VLOOKUP(#REF!,ConDesIntCert,9,FALSE())),0)</definedName>
    <definedName name="Qty_Conc">#REF!</definedName>
    <definedName name="QTY_DISC_MV">#REF!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Unit09">#REF!</definedName>
    <definedName name="Qty_Unit10">#REF!</definedName>
    <definedName name="Qty_Wall">#REF!</definedName>
    <definedName name="QUANTITY">#REF!,#REF!,#REF!,#REF!,#REF!,#REF!,#REF!</definedName>
    <definedName name="Quotation">#REF!</definedName>
    <definedName name="Quote">#REF!</definedName>
    <definedName name="Quote_Cowi">#REF!</definedName>
    <definedName name="Quote_dapo">#REF!</definedName>
    <definedName name="Quote_Hal">#REF!</definedName>
    <definedName name="Quote_Hyd">#REF!</definedName>
    <definedName name="Quote_other">#REF!</definedName>
    <definedName name="qw">IF(VLOOKUP(#REF!,claim,16,FALSE())=0,0,VLOOKUP(#REF!,claim,16,FALSE()))</definedName>
    <definedName name="QWE">#REF!</definedName>
    <definedName name="qweas">#REF!</definedName>
    <definedName name="qwesd1">#REF!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_DATA">#REF!</definedName>
    <definedName name="R_I_Q_A_S">#N/A</definedName>
    <definedName name="RA">#REF!</definedName>
    <definedName name="RAB">#REF!</definedName>
    <definedName name="raj">#REF!</definedName>
    <definedName name="RAJESH">#REF!</definedName>
    <definedName name="RANGE">#REF!</definedName>
    <definedName name="RAPS">#REF!</definedName>
    <definedName name="RASCO__3">#N/A</definedName>
    <definedName name="RASCO__A">#N/A</definedName>
    <definedName name="Rate">#REF!</definedName>
    <definedName name="Rate_Lookup">#REF!</definedName>
    <definedName name="Rate_Rank">#REF!</definedName>
    <definedName name="RATE1">#REF!</definedName>
    <definedName name="rate2">#REF!</definedName>
    <definedName name="RateCard">#REF!</definedName>
    <definedName name="Rates">#REF!</definedName>
    <definedName name="Rates_CO">#REF!</definedName>
    <definedName name="Rates1">#REF!</definedName>
    <definedName name="RATIO">#REF!</definedName>
    <definedName name="ratio1">#REF!</definedName>
    <definedName name="ratio2">#REF!</definedName>
    <definedName name="RawAgencyPrice">#REF!</definedName>
    <definedName name="ray">#REF!</definedName>
    <definedName name="RBData">#REF!</definedName>
    <definedName name="RBUSchedule">#REF!</definedName>
    <definedName name="RC_">#REF!</definedName>
    <definedName name="Rc_Costs">#REF!</definedName>
    <definedName name="RC_Mhrs">#REF!</definedName>
    <definedName name="RCD">#REF!</definedName>
    <definedName name="rClient">#REF!</definedName>
    <definedName name="RCROOF">#REF!</definedName>
    <definedName name="RCS">#REF!</definedName>
    <definedName name="rDate">#REF!</definedName>
    <definedName name="rDesc">#REF!</definedName>
    <definedName name="re_bar">#REF!</definedName>
    <definedName name="RE_SIZE">#REF!</definedName>
    <definedName name="Rebar_unitprice">#REF!</definedName>
    <definedName name="RebarQty">IF(Bitumen=1,(#REF!*#REF!)/2000,(#REF!*#REF!)/1685.552931)</definedName>
    <definedName name="RebarQty1">IF(Bitumen=1,(#REF!*#REF!)/2000,(#REF!*#REF!)/1685.552931)</definedName>
    <definedName name="RECEPT">#REF!</definedName>
    <definedName name="_xlnm.Recorder">#REF!</definedName>
    <definedName name="RECOUT">#N/A</definedName>
    <definedName name="RED">#REF!</definedName>
    <definedName name="reeyte" hidden="1">{#N/A,#N/A,FALSE,"배수1"}</definedName>
    <definedName name="REF">#REF!</definedName>
    <definedName name="RefData">#REF!</definedName>
    <definedName name="RefDate">#REF!</definedName>
    <definedName name="RefMWeGross">#REF!</definedName>
    <definedName name="RefPlant">#REF!</definedName>
    <definedName name="RefPlantBasis">#REF!</definedName>
    <definedName name="RefPlantDate">#REF!</definedName>
    <definedName name="RefPlantPPH">#REF!</definedName>
    <definedName name="RefSite">#REF!</definedName>
    <definedName name="region">#REF!</definedName>
    <definedName name="Regional_Expense_Factor">#REF!</definedName>
    <definedName name="reimb">#REF!</definedName>
    <definedName name="ReinforcementSteel">#REF!</definedName>
    <definedName name="Reinstate">#REF!</definedName>
    <definedName name="Relocation_Allowance">#REF!</definedName>
    <definedName name="Remaining_districts">#REF!</definedName>
    <definedName name="Remote">#REF!</definedName>
    <definedName name="Remote1">#REF!</definedName>
    <definedName name="Repair" hidden="1">#REF!</definedName>
    <definedName name="ReportPg1">#REF!</definedName>
    <definedName name="ReportPg2">#REF!</definedName>
    <definedName name="ReqNo">#REF!</definedName>
    <definedName name="RES">#REF!</definedName>
    <definedName name="Reselects">#REF!</definedName>
    <definedName name="ResourceAllocation">#REF!</definedName>
    <definedName name="ResourceAllocationID">#REF!</definedName>
    <definedName name="ResourceFinishDate">#REF!</definedName>
    <definedName name="ResourceIndex">#REF!</definedName>
    <definedName name="ResourceStartDate">#REF!</definedName>
    <definedName name="REST" hidden="1">#REF!</definedName>
    <definedName name="rEstimator">#REF!</definedName>
    <definedName name="Retention_percentage1">#REF!</definedName>
    <definedName name="Retention_period1">#REF!</definedName>
    <definedName name="retert" hidden="1">{#N/A,#N/A,FALSE,"조골재"}</definedName>
    <definedName name="retetet" hidden="1">{#N/A,#N/A,FALSE,"CAM-G7";#N/A,#N/A,FALSE,"SPL";#N/A,#N/A,FALSE,"butt-in G7";#N/A,#N/A,FALSE,"dia-in G7";#N/A,#N/A,FALSE,"추가-STA G7"}</definedName>
    <definedName name="retewt" hidden="1">{#N/A,#N/A,FALSE,"CAM-G7";#N/A,#N/A,FALSE,"SPL";#N/A,#N/A,FALSE,"butt-in G7";#N/A,#N/A,FALSE,"dia-in G7";#N/A,#N/A,FALSE,"추가-STA G7"}</definedName>
    <definedName name="REV">#REF!</definedName>
    <definedName name="Rev_No">#REF!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Date">#REF!</definedName>
    <definedName name="reytryert" hidden="1">{#N/A,#N/A,FALSE,"단가표지"}</definedName>
    <definedName name="reyyrteyw" hidden="1">{#N/A,#N/A,FALSE,"2~8번"}</definedName>
    <definedName name="Rform_unitprice">#REF!</definedName>
    <definedName name="rfp">'[1]KEY Data – do not delete –'!#REF!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_">#REF!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ICC">#REF!</definedName>
    <definedName name="RICG">#REF!</definedName>
    <definedName name="riser">#REF!</definedName>
    <definedName name="Risk">#REF!</definedName>
    <definedName name="Risk_rating">#REF!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CorrelationSheet">#REF!</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Level">#REF!</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L">#REF!</definedName>
    <definedName name="rLocation">#REF!</definedName>
    <definedName name="RLPS">#REF!</definedName>
    <definedName name="RNR">#REF!</definedName>
    <definedName name="Road">#REF!</definedName>
    <definedName name="ROADWAY_FIXT">#REF!</definedName>
    <definedName name="RoomLight">#REF!</definedName>
    <definedName name="RoundUpSOR">#REF!</definedName>
    <definedName name="RoundUpSORPosition">#REF!</definedName>
    <definedName name="rout_t">#REF!</definedName>
    <definedName name="rProjectNo">#REF!</definedName>
    <definedName name="rr" hidden="1">{#N/A,#N/A,FALSE,"SumD";#N/A,#N/A,FALSE,"ElecD";#N/A,#N/A,FALSE,"MechD";#N/A,#N/A,FALSE,"GeotD";#N/A,#N/A,FALSE,"PrcsD";#N/A,#N/A,FALSE,"TunnD";#N/A,#N/A,FALSE,"CivlD";#N/A,#N/A,FALSE,"NtwkD";#N/A,#N/A,FALSE,"EstgD";#N/A,#N/A,FALSE,"PEngD"}</definedName>
    <definedName name="RRR">#REF!</definedName>
    <definedName name="rrrrrr" hidden="1">#REF!</definedName>
    <definedName name="RSRC">#REF!</definedName>
    <definedName name="rter" hidden="1">{#N/A,#N/A,FALSE,"물량산출"}</definedName>
    <definedName name="RTV">#REF!</definedName>
    <definedName name="RTVD">#REF!</definedName>
    <definedName name="rtwt" hidden="1">{#N/A,#N/A,FALSE,"물량산출"}</definedName>
    <definedName name="rtyr4" hidden="1">{#N/A,#N/A,FALSE,"혼합골재"}</definedName>
    <definedName name="rtytryery" hidden="1">{#N/A,#N/A,FALSE,"구조2"}</definedName>
    <definedName name="rWorkWeek">#REF!</definedName>
    <definedName name="S">#REF!</definedName>
    <definedName name="S_1">#N/A</definedName>
    <definedName name="S_M_D_S">#N/A</definedName>
    <definedName name="s_rate">#REF!</definedName>
    <definedName name="S41M">#REF!</definedName>
    <definedName name="S41Y">#REF!</definedName>
    <definedName name="S43M">#REF!</definedName>
    <definedName name="S43Y">#REF!</definedName>
    <definedName name="SAD" hidden="1">#REF!</definedName>
    <definedName name="sad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 hidden="1">{#N/A,#N/A,FALSE,"물량산출"}</definedName>
    <definedName name="saf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l">#REF!</definedName>
    <definedName name="Sal.Escal_Korean">#REF!</definedName>
    <definedName name="Sal.Escal_Local.Reg">#REF!</definedName>
    <definedName name="Sal.Escal_Third.N">#REF!</definedName>
    <definedName name="Salary_Korean">#REF!</definedName>
    <definedName name="Salary_Local.Reg">#REF!</definedName>
    <definedName name="Salary_Third.N">#REF!</definedName>
    <definedName name="salCivilRp">#REF!</definedName>
    <definedName name="salCivilUSD">#REF!</definedName>
    <definedName name="SalCommRp">#REF!</definedName>
    <definedName name="SalCommUSD">#REF!</definedName>
    <definedName name="SalElecRp">#REF!</definedName>
    <definedName name="SalElecUSD">#REF!</definedName>
    <definedName name="SALESPLAN">#REF!</definedName>
    <definedName name="SalesTotal">#REF!</definedName>
    <definedName name="SalMechRp">#REF!</definedName>
    <definedName name="SalMechUSD">#REF!</definedName>
    <definedName name="SalPreRp">#REF!</definedName>
    <definedName name="SalPreUSD">#REF!</definedName>
    <definedName name="SAN">#REF!</definedName>
    <definedName name="SANITARY">#REF!</definedName>
    <definedName name="sarea1">#REF!</definedName>
    <definedName name="sarea1_1">#N/A</definedName>
    <definedName name="SBG_OPERATION___MAINTENANCE_DIVISION">#REF!</definedName>
    <definedName name="SC">#N/A</definedName>
    <definedName name="SC_MAT_EQUIP">#REF!</definedName>
    <definedName name="SC02Finish">#REF!</definedName>
    <definedName name="SC02Start">#REF!</definedName>
    <definedName name="Scaffolding" hidden="1">{"'Break down'!$A$4"}</definedName>
    <definedName name="scale">#REF!</definedName>
    <definedName name="SCALE_UP">#REF!</definedName>
    <definedName name="scarce" hidden="1">{#N/A,#N/A,FALSE,"Summary";#N/A,#N/A,FALSE,"3TJ";#N/A,#N/A,FALSE,"3TN";#N/A,#N/A,FALSE,"3TP";#N/A,#N/A,FALSE,"3SJ";#N/A,#N/A,FALSE,"3CJ";#N/A,#N/A,FALSE,"3CN";#N/A,#N/A,FALSE,"3CP";#N/A,#N/A,FALSE,"3A"}</definedName>
    <definedName name="schd">#REF!</definedName>
    <definedName name="SCHrs">#N/A</definedName>
    <definedName name="SCHrs1">#N/A</definedName>
    <definedName name="sd" hidden="1">{#N/A,#N/A,FALSE,"SumG";#N/A,#N/A,FALSE,"ElecG";#N/A,#N/A,FALSE,"MechG";#N/A,#N/A,FALSE,"GeotG";#N/A,#N/A,FALSE,"PrcsG";#N/A,#N/A,FALSE,"TunnG";#N/A,#N/A,FALSE,"CivlG";#N/A,#N/A,FALSE,"NtwkG";#N/A,#N/A,FALSE,"EstgG";#N/A,#N/A,FALSE,"PEngG"}</definedName>
    <definedName name="sdafadsf">OFFSET(#REF!,,,MATCH("",#REF!,0)-ROW(#REF!))</definedName>
    <definedName name="SDFE" hidden="1">{#N/A,#N/A,FALSE,"CAM-G7";#N/A,#N/A,FALSE,"SPL";#N/A,#N/A,FALSE,"butt-in G7";#N/A,#N/A,FALSE,"dia-in G7";#N/A,#N/A,FALSE,"추가-STA G7"}</definedName>
    <definedName name="sdfghjkl">#REF!</definedName>
    <definedName name="sdfsdfsd">#REF!</definedName>
    <definedName name="sdfsdfsdfsdfsd">#REF!</definedName>
    <definedName name="sdfsdfsdvv">#REF!</definedName>
    <definedName name="sdg" hidden="1">#REF!</definedName>
    <definedName name="sds" hidden="1">{#N/A,#N/A,FALSE,"포장2"}</definedName>
    <definedName name="SEC___INCIDENT">#REF!</definedName>
    <definedName name="selection">'[1]KEY Data – do not delete –'!#REF!</definedName>
    <definedName name="Services_FM">#REF!</definedName>
    <definedName name="Services2" hidden="1">{#N/A,#N/A,FALSE,"Pricing";#N/A,#N/A,FALSE,"Summary";#N/A,#N/A,FALSE,"CompProd";#N/A,#N/A,FALSE,"CompJobhrs";#N/A,#N/A,FALSE,"Escalation";#N/A,#N/A,FALSE,"Contingency";#N/A,#N/A,FALSE,"GM";#N/A,#N/A,FALSE,"CompWage";#N/A,#N/A,FALSE,"costSum"}</definedName>
    <definedName name="set_out">#REF!</definedName>
    <definedName name="SETUP">#REF!</definedName>
    <definedName name="sfas" hidden="1">{#N/A,#N/A,FALSE,"골재소요량";#N/A,#N/A,FALSE,"골재소요량"}</definedName>
    <definedName name="sffff" hidden="1">{#N/A,#N/A,FALSE,"SumD";#N/A,#N/A,FALSE,"ElecD";#N/A,#N/A,FALSE,"MechD";#N/A,#N/A,FALSE,"GeotD";#N/A,#N/A,FALSE,"PrcsD";#N/A,#N/A,FALSE,"TunnD";#N/A,#N/A,FALSE,"CivlD";#N/A,#N/A,FALSE,"NtwkD";#N/A,#N/A,FALSE,"EstgD";#N/A,#N/A,FALSE,"PEngD"}</definedName>
    <definedName name="SFR">#REF!</definedName>
    <definedName name="sfsafas" hidden="1">{#N/A,#N/A,FALSE,"물량산출"}</definedName>
    <definedName name="sfsd">#REF!</definedName>
    <definedName name="SGD">#REF!</definedName>
    <definedName name="sgsg" hidden="1">{#N/A,#N/A,FALSE,"CAM-G7";#N/A,#N/A,FALSE,"SPL";#N/A,#N/A,FALSE,"butt-in G7";#N/A,#N/A,FALSE,"dia-in G7";#N/A,#N/A,FALSE,"추가-STA G7"}</definedName>
    <definedName name="sgsrgr" hidden="1">{#N/A,#N/A,FALSE,"물량산출"}</definedName>
    <definedName name="SHEAR">#REF!</definedName>
    <definedName name="Sheet">#REF!</definedName>
    <definedName name="sheet1" hidden="1">{#N/A,#N/A,FALSE,"SumD";#N/A,#N/A,FALSE,"ElecD";#N/A,#N/A,FALSE,"MechD";#N/A,#N/A,FALSE,"GeotD";#N/A,#N/A,FALSE,"PrcsD";#N/A,#N/A,FALSE,"TunnD";#N/A,#N/A,FALSE,"CivlD";#N/A,#N/A,FALSE,"NtwkD";#N/A,#N/A,FALSE,"EstgD";#N/A,#N/A,FALSE,"PEngD"}</definedName>
    <definedName name="shjhj" hidden="1">{#N/A,#N/A,FALSE,"CAM-G7";#N/A,#N/A,FALSE,"SPL";#N/A,#N/A,FALSE,"butt-in G7";#N/A,#N/A,FALSE,"dia-in G7";#N/A,#N/A,FALSE,"추가-STA G7"}</definedName>
    <definedName name="SHORT">#REF!</definedName>
    <definedName name="ShoulderEmb.">#REF!</definedName>
    <definedName name="ShoulderSubbase">#REF!</definedName>
    <definedName name="shpe">#REF!</definedName>
    <definedName name="shs" hidden="1">{#N/A,#N/A,FALSE,"CAM-G7";#N/A,#N/A,FALSE,"SPL";#N/A,#N/A,FALSE,"butt-in G7";#N/A,#N/A,FALSE,"dia-in G7";#N/A,#N/A,FALSE,"추가-STA G7"}</definedName>
    <definedName name="sidewalk">#REF!</definedName>
    <definedName name="sidewalk_1">#N/A</definedName>
    <definedName name="SimOpt_AccountDomain" hidden="1">""</definedName>
    <definedName name="SimOpt_AccountName" hidden="1">""</definedName>
    <definedName name="SimOpt_AccountPassword" hidden="1">""</definedName>
    <definedName name="SimOpt_CheckPrecisionAfter" hidden="1">100</definedName>
    <definedName name="SimOpt_GotoSample" hidden="1">0</definedName>
    <definedName name="SimOpt_Macros0" hidden="1">""</definedName>
    <definedName name="SimOpt_Macros1" hidden="1">""</definedName>
    <definedName name="SimOpt_Macros2" hidden="1">""</definedName>
    <definedName name="SimOpt_Macros3" hidden="1">""</definedName>
    <definedName name="SimOpt_MacrosUsage" hidden="1">0</definedName>
    <definedName name="SimOpt_MinSimBufferSize" hidden="1">5000000</definedName>
    <definedName name="SimOpt_RefreshExcel" hidden="1">0</definedName>
    <definedName name="SimOpt_RefreshRate" hidden="1">10</definedName>
    <definedName name="SimOpt_SamplesCount" hidden="1">5000</definedName>
    <definedName name="SimOpt_Seed0" hidden="1">1</definedName>
    <definedName name="SimOpt_SeedFixed" hidden="1">0</definedName>
    <definedName name="SimOpt_SeedMultiplyType" hidden="1">0</definedName>
    <definedName name="SimOpt_ServerAddress" hidden="1">""</definedName>
    <definedName name="SimOpt_ShowResultsAtEnd" hidden="1">1</definedName>
    <definedName name="SimOpt_SimName0" hidden="1">""</definedName>
    <definedName name="SimOpt_SimsCount" hidden="1">1</definedName>
    <definedName name="SimOpt_StopOnOutputError" hidden="1">0</definedName>
    <definedName name="SimOpt_UploadEnabled" hidden="1">0</definedName>
    <definedName name="SimOpt_UploadModel" hidden="1">0</definedName>
    <definedName name="SimOpt_UploadProfile" hidden="1">""</definedName>
    <definedName name="SimOpt_UploadRemotely" hidden="1">0</definedName>
    <definedName name="sing_dollrs">#REF!</definedName>
    <definedName name="single_month">#REF!</definedName>
    <definedName name="site">#REF!</definedName>
    <definedName name="SiteArea">#REF!</definedName>
    <definedName name="SiteexRatio">#REF!</definedName>
    <definedName name="size">#REF!</definedName>
    <definedName name="size_1">#N/A</definedName>
    <definedName name="SIZEC">#REF!</definedName>
    <definedName name="Skew">#REF!</definedName>
    <definedName name="Skew_1">#N/A</definedName>
    <definedName name="SKR">#REF!</definedName>
    <definedName name="SKU">#REF!</definedName>
    <definedName name="slab">#REF!</definedName>
    <definedName name="SLabor">#REF!</definedName>
    <definedName name="Slist">#REF!</definedName>
    <definedName name="slope">#REF!</definedName>
    <definedName name="SMT_Expenses">1543094.04</definedName>
    <definedName name="SN_Salary">#REF!</definedName>
    <definedName name="SNM_EXPAT">#REF!</definedName>
    <definedName name="SNM_EXPAT_HRS">#REF!</definedName>
    <definedName name="SNM_FOREIGN">#REF!</definedName>
    <definedName name="SNM_FOREIGN_HRS">#REF!</definedName>
    <definedName name="SNM_HRS">#REF!</definedName>
    <definedName name="SNM_LAB">#REF!</definedName>
    <definedName name="SOF_Alternative">#REF!</definedName>
    <definedName name="soffitl">#REF!</definedName>
    <definedName name="soffitl_1">#N/A</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R">#REF!</definedName>
    <definedName name="SORResourceID">#REF!</definedName>
    <definedName name="SOURCE">#REF!</definedName>
    <definedName name="Southern">#REF!</definedName>
    <definedName name="SozlesmeRsYenParitesi">#REF!</definedName>
    <definedName name="SozlesmeYenUSDParitesi">#REF!</definedName>
    <definedName name="spacing">#REF!</definedName>
    <definedName name="spacingL">#REF!</definedName>
    <definedName name="SpBarge">#REF!</definedName>
    <definedName name="spec">'[1]KEY Data – do not delete –'!#REF!</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MV">#REF!</definedName>
    <definedName name="SRC">#REF!</definedName>
    <definedName name="SS" hidden="1">{#N/A,#N/A,FALSE,"CAM-G7";#N/A,#N/A,FALSE,"SPL";#N/A,#N/A,FALSE,"butt-in G7";#N/A,#N/A,FALSE,"dia-in G7";#N/A,#N/A,FALSE,"추가-STA G7"}</definedName>
    <definedName name="sss">#REF!</definedName>
    <definedName name="ssshhh" hidden="1">{#N/A,#N/A,FALSE,"SumG";#N/A,#N/A,FALSE,"ElecG";#N/A,#N/A,FALSE,"MechG";#N/A,#N/A,FALSE,"GeotG";#N/A,#N/A,FALSE,"PrcsG";#N/A,#N/A,FALSE,"TunnG";#N/A,#N/A,FALSE,"CivlG";#N/A,#N/A,FALSE,"NtwkG";#N/A,#N/A,FALSE,"EstgG";#N/A,#N/A,FALSE,"PEngG"}</definedName>
    <definedName name="sssss" hidden="1">{#N/A,#N/A,FALSE,"SumD";#N/A,#N/A,FALSE,"ElecD";#N/A,#N/A,FALSE,"MechD";#N/A,#N/A,FALSE,"GeotD";#N/A,#N/A,FALSE,"PrcsD";#N/A,#N/A,FALSE,"TunnD";#N/A,#N/A,FALSE,"CivlD";#N/A,#N/A,FALSE,"NtwkD";#N/A,#N/A,FALSE,"EstgD";#N/A,#N/A,FALSE,"PEngD"}</definedName>
    <definedName name="Staff">#REF!</definedName>
    <definedName name="staff1">#REF!</definedName>
    <definedName name="Stage_2___Design_Development">#REF!</definedName>
    <definedName name="Stage_2___Schematic_Design">#REF!</definedName>
    <definedName name="Stage_2___Tender_Documents">#REF!</definedName>
    <definedName name="Stage_2___Working_Drawings">#REF!</definedName>
    <definedName name="StageCode02">#REF!</definedName>
    <definedName name="STAIR">#REF!</definedName>
    <definedName name="Start_date1">#REF!</definedName>
    <definedName name="startDate">#REF!</definedName>
    <definedName name="startDayOfWeek">#REF!</definedName>
    <definedName name="StateDams">#REF!</definedName>
    <definedName name="StateRet_NSC">#REF!</definedName>
    <definedName name="Status">#REF!</definedName>
    <definedName name="STATUS_3">#REF!</definedName>
    <definedName name="StatusList">#REF!</definedName>
    <definedName name="steam_trap">#REF!</definedName>
    <definedName name="STEEL">#REF!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EL_WAGE">#REF!</definedName>
    <definedName name="steels">#REF!</definedName>
    <definedName name="Story_Basement">#REF!</definedName>
    <definedName name="Story_Podium">#REF!</definedName>
    <definedName name="Story_Total">#REF!</definedName>
    <definedName name="Story_Tower">#REF!</definedName>
    <definedName name="STP">#REF!</definedName>
    <definedName name="stri1">#REF!</definedName>
    <definedName name="stri1_1">#N/A</definedName>
    <definedName name="stri2">#REF!</definedName>
    <definedName name="stri2_1">#N/A</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ruct_Type">#REF!</definedName>
    <definedName name="structures" hidden="1">{#N/A,#N/A,FALSE,"SumD";#N/A,#N/A,FALSE,"ElecD";#N/A,#N/A,FALSE,"MechD";#N/A,#N/A,FALSE,"GeotD";#N/A,#N/A,FALSE,"PrcsD";#N/A,#N/A,FALSE,"TunnD";#N/A,#N/A,FALSE,"CivlD";#N/A,#N/A,FALSE,"NtwkD";#N/A,#N/A,FALSE,"EstgD";#N/A,#N/A,FALSE,"PEngD"}</definedName>
    <definedName name="stump">#REF!</definedName>
    <definedName name="Sub_Fac_old">#REF!</definedName>
    <definedName name="Subbase">#REF!</definedName>
    <definedName name="SUBCONTRACT_MTRL_UNIT_COST">#REF!,#REF!,#REF!,#REF!,#REF!,#REF!,#REF!</definedName>
    <definedName name="Submission">#REF!</definedName>
    <definedName name="SUBR_A">#REF!</definedName>
    <definedName name="SUBR_AR">#REF!</definedName>
    <definedName name="SUBR_C">#REF!</definedName>
    <definedName name="SUBR_ERR">#REF!</definedName>
    <definedName name="SUBR_L">#REF!</definedName>
    <definedName name="SUBR_LC">#REF!</definedName>
    <definedName name="SUBR_R">#REF!</definedName>
    <definedName name="SUBR_TK">#REF!</definedName>
    <definedName name="Sum">#REF!</definedName>
    <definedName name="SUM_DATA">#REF!</definedName>
    <definedName name="SumBN1">#REF!</definedName>
    <definedName name="SumBN2">#REF!</definedName>
    <definedName name="SumBN3">#REF!</definedName>
    <definedName name="SumBN4">#REF!</definedName>
    <definedName name="SumBN5">#REF!</definedName>
    <definedName name="SumBN6">#REF!</definedName>
    <definedName name="SumBN7">#REF!</definedName>
    <definedName name="SumBN8">#REF!</definedName>
    <definedName name="SumBN9">#REF!</definedName>
    <definedName name="SumCurrentBN1">#REF!</definedName>
    <definedName name="SumCurrentBN2">#REF!</definedName>
    <definedName name="SumCurrentBN3">#REF!</definedName>
    <definedName name="SumCurrentBN4">#REF!</definedName>
    <definedName name="SumCurrentBN5">#REF!</definedName>
    <definedName name="SumCurrentBN6">#REF!</definedName>
    <definedName name="SumCurrentBN7">#REF!</definedName>
    <definedName name="SumCurrentBN8">#REF!</definedName>
    <definedName name="SUMM">#REF!</definedName>
    <definedName name="SUMMARY">#REF!</definedName>
    <definedName name="SumPrevBN1">#REF!</definedName>
    <definedName name="SumPrevBN2">#REF!</definedName>
    <definedName name="SumPrevBN3">#REF!</definedName>
    <definedName name="SumPrevBN4">#REF!</definedName>
    <definedName name="SumPrevBN5">#REF!</definedName>
    <definedName name="SumPrevBN6">#REF!</definedName>
    <definedName name="SumPrevBN7">#REF!</definedName>
    <definedName name="SumPrevBN8">#REF!</definedName>
    <definedName name="SumTodateBN1">#REF!</definedName>
    <definedName name="SumTodateBN2">#REF!</definedName>
    <definedName name="SumTodateBN3">#REF!</definedName>
    <definedName name="SumTodateBN4">#REF!</definedName>
    <definedName name="SumTodateBN5">#REF!</definedName>
    <definedName name="SumTodateBN6">#REF!</definedName>
    <definedName name="SumTodateBN7">#REF!</definedName>
    <definedName name="SumTodateBN8">#REF!</definedName>
    <definedName name="Supp_Auth">#REF!</definedName>
    <definedName name="surarea2">#REF!</definedName>
    <definedName name="surarea2_1">#N/A</definedName>
    <definedName name="SUS">#REF!</definedName>
    <definedName name="suspended">#REF!</definedName>
    <definedName name="swi">#REF!</definedName>
    <definedName name="SWITCH">#REF!</definedName>
    <definedName name="SWYD_DUCT_SIZE">#REF!</definedName>
    <definedName name="Swyd_Scope">#REF!</definedName>
    <definedName name="SWYD_TYPE">#REF!</definedName>
    <definedName name="SYS">#REF!</definedName>
    <definedName name="System">#REF!</definedName>
    <definedName name="Systemrange">OFFSET(#REF!,0,0,COUNTA(#REF!),1)</definedName>
    <definedName name="T">#REF!</definedName>
    <definedName name="T_2">#N/A</definedName>
    <definedName name="T_3">#N/A</definedName>
    <definedName name="T_4">#N/A</definedName>
    <definedName name="T2_">#N/A</definedName>
    <definedName name="TA" hidden="1">{#N/A,#N/A,FALSE,"CAM-G7";#N/A,#N/A,FALSE,"SPL";#N/A,#N/A,FALSE,"butt-in G7";#N/A,#N/A,FALSE,"dia-in G7";#N/A,#N/A,FALSE,"추가-STA G7"}</definedName>
    <definedName name="TABEL1">#REF!</definedName>
    <definedName name="Table">#REF!</definedName>
    <definedName name="Table1">#REF!</definedName>
    <definedName name="Table2">#REF!</definedName>
    <definedName name="Table3">#REF!</definedName>
    <definedName name="TABLE5KV">#REF!</definedName>
    <definedName name="tabtdp">#REF!</definedName>
    <definedName name="tabtdp_1">#N/A</definedName>
    <definedName name="TackCoat">#REF!</definedName>
    <definedName name="TankPit_Elect_Const">#REF!</definedName>
    <definedName name="Task_1">#REF!</definedName>
    <definedName name="Task_2">#REF!</definedName>
    <definedName name="Task_3">#REF!</definedName>
    <definedName name="TASKRSRC">#REF!</definedName>
    <definedName name="tasor">#REF!</definedName>
    <definedName name="Taxes">#REF!</definedName>
    <definedName name="tbarri">#REF!</definedName>
    <definedName name="tbarri_1">#N/A</definedName>
    <definedName name="Tbc">#REF!</definedName>
    <definedName name="Tbc_1">#N/A</definedName>
    <definedName name="TC">QTY*unit</definedName>
    <definedName name="tcant">#REF!</definedName>
    <definedName name="tcant_1">#N/A</definedName>
    <definedName name="tcpdp">#REF!</definedName>
    <definedName name="tcpdp_1">#N/A</definedName>
    <definedName name="TC임대" hidden="1">{#N/A,#N/A,FALSE,"물량산출"}</definedName>
    <definedName name="TE">#REF!</definedName>
    <definedName name="TEE">#REF!</definedName>
    <definedName name="TEEN">#REF!</definedName>
    <definedName name="TELE_CABLE">#REF!</definedName>
    <definedName name="TELE_CONDUIT">#REF!</definedName>
    <definedName name="TELE_EQUIP">#REF!</definedName>
    <definedName name="TEM">#REF!</definedName>
    <definedName name="temp">#REF!,#REF!,#REF!,#REF!,#REF!</definedName>
    <definedName name="temp_strainer">#REF!</definedName>
    <definedName name="Temporary">#REF!</definedName>
    <definedName name="TempRatio">#REF!</definedName>
    <definedName name="TENDER">#REF!</definedName>
    <definedName name="TERMS_5KV">#REF!</definedName>
    <definedName name="TERMS_600V">#REF!</definedName>
    <definedName name="test" hidden="1">{#N/A,#N/A,FALSE,"Pricing";#N/A,#N/A,FALSE,"Summary";#N/A,#N/A,FALSE,"CompProd";#N/A,#N/A,FALSE,"CompJobhrs";#N/A,#N/A,FALSE,"Escalation";#N/A,#N/A,FALSE,"Contingency";#N/A,#N/A,FALSE,"GM";#N/A,#N/A,FALSE,"CompWage";#N/A,#N/A,FALSE,"costSum"}</definedName>
    <definedName name="thikwing">#REF!</definedName>
    <definedName name="thikwing_1">#N/A</definedName>
    <definedName name="THK">#REF!</definedName>
    <definedName name="ThurdaySANG">OFFSET(#REF!,0,0,COUNTA(#REF!),COUNTA(#REF!))</definedName>
    <definedName name="Thursday_Dynamic_Print_Area">OFFSET(#REF!,0,0,COUNTA(#REF!),COUNTA(#REF!))</definedName>
    <definedName name="tim">#REF!</definedName>
    <definedName name="Time_per_district">#REF!</definedName>
    <definedName name="TIN" hidden="1">#REF!</definedName>
    <definedName name="TIT">#REF!</definedName>
    <definedName name="TITLE">#REF!</definedName>
    <definedName name="TITLE_2">#REF!</definedName>
    <definedName name="TITLES_A_HRS">#REF!</definedName>
    <definedName name="TITLES_PRINT">#REF!</definedName>
    <definedName name="Tl">#REF!</definedName>
    <definedName name="Tl_1">#N/A</definedName>
    <definedName name="TM">#REF!</definedName>
    <definedName name="TMH">QTY*UMH</definedName>
    <definedName name="tmp" hidden="1">{"'Break down'!$A$4"}</definedName>
    <definedName name="TOL">#REF!</definedName>
    <definedName name="top">#REF!</definedName>
    <definedName name="TOP_DIMS">#REF!</definedName>
    <definedName name="toparea1">#REF!</definedName>
    <definedName name="toparea1_1">#N/A</definedName>
    <definedName name="TOT">#REF!</definedName>
    <definedName name="Tot.Cost_SiteExp">#REF!</definedName>
    <definedName name="Tot.Cost_TempWk">#REF!</definedName>
    <definedName name="TOT_CV">#REF!</definedName>
    <definedName name="TOT_EXP_COND">#REF!</definedName>
    <definedName name="TOT_FIXTURES">#REF!</definedName>
    <definedName name="TOT_PVC_COND">#REF!</definedName>
    <definedName name="TOTAL">#REF!</definedName>
    <definedName name="Total_Burden">#REF!</definedName>
    <definedName name="Total_Curb_Length">#REF!</definedName>
    <definedName name="TOTAL_DIRECTS">#REF!</definedName>
    <definedName name="Total_Floor_Area">#REF!</definedName>
    <definedName name="total_graph">#REF!</definedName>
    <definedName name="Total_hours">#REF!</definedName>
    <definedName name="TOTAL_INDIRECTS">#REF!</definedName>
    <definedName name="total_net_rent_for_cashflow">#REF!</definedName>
    <definedName name="TOTAL_PRICE_PAYABLE">#REF!</definedName>
    <definedName name="Total_Regional_Expenses">#REF!</definedName>
    <definedName name="total_schedule">#REF!</definedName>
    <definedName name="TOTAL1">#REF!</definedName>
    <definedName name="TotalequipmentkW">#REF!</definedName>
    <definedName name="TotalForecastFee">#REF!</definedName>
    <definedName name="totalsum">#REF!</definedName>
    <definedName name="tr">#REF!</definedName>
    <definedName name="TrafficSings">#REF!</definedName>
    <definedName name="TRAY">#REF!</definedName>
    <definedName name="TRAY_PRICING">#REF!</definedName>
    <definedName name="TRAY_TYPE">#REF!</definedName>
    <definedName name="Tray_Width">IF(VLOOKUP(#REF!,TSD,2,FALSE())=0,0,VLOOKUP(#REF!,TSD,2,FALSE()))</definedName>
    <definedName name="Tray1_Width">IF(VLOOKUP(#REF!,TSD,2,FALSE())=0,0,VLOOKUP(#REF!,TSD,2,FALSE()))</definedName>
    <definedName name="tread">#REF!</definedName>
    <definedName name="TRENCHES">#REF!</definedName>
    <definedName name="tretew" hidden="1">{#N/A,#N/A,FALSE,"CAM-G7";#N/A,#N/A,FALSE,"SPL";#N/A,#N/A,FALSE,"butt-in G7";#N/A,#N/A,FALSE,"dia-in G7";#N/A,#N/A,FALSE,"추가-STA G7"}</definedName>
    <definedName name="TSC">#REF!</definedName>
    <definedName name="TSD">#REF!</definedName>
    <definedName name="tsidewlk">#REF!</definedName>
    <definedName name="tsidewlk_1">#N/A</definedName>
    <definedName name="TSK">#REF!</definedName>
    <definedName name="TSS">#REF!</definedName>
    <definedName name="tt" hidden="1">#REF!</definedName>
    <definedName name="TTStandard">#REF!</definedName>
    <definedName name="ttt" hidden="1">#REF!</definedName>
    <definedName name="tttt" hidden="1">#REF!</definedName>
    <definedName name="ttttt">#REF!</definedName>
    <definedName name="tube_test_press1_12">#REF!</definedName>
    <definedName name="TUBED_INST">#REF!</definedName>
    <definedName name="TUBE계획">#REF!</definedName>
    <definedName name="Tuesday_Dynamic_Print_Area">OFFSET(#REF!,0,0,COUNTA(#REF!),COUNTA(#REF!))</definedName>
    <definedName name="TuesdaySANG_Dynamic_Print_Area">OFFSET(#REF!,0,0,COUNTA(#REF!),COUNTA(#REF!))</definedName>
    <definedName name="Turk">#REF!</definedName>
    <definedName name="tw4t3" hidden="1">{#N/A,#N/A,FALSE,"포장2"}</definedName>
    <definedName name="tweterwt" hidden="1">{#N/A,#N/A,FALSE,"CAM-G7";#N/A,#N/A,FALSE,"SPL";#N/A,#N/A,FALSE,"butt-in G7";#N/A,#N/A,FALSE,"dia-in G7";#N/A,#N/A,FALSE,"추가-STA G7"}</definedName>
    <definedName name="twetewt" hidden="1">{#N/A,#N/A,FALSE,"물량산출"}</definedName>
    <definedName name="twetwet" hidden="1">{#N/A,#N/A,FALSE,"전력간선"}</definedName>
    <definedName name="twetwetw" hidden="1">{#N/A,#N/A,FALSE,"물량산출"}</definedName>
    <definedName name="twetwt" hidden="1">{#N/A,#N/A,FALSE,"구조1"}</definedName>
    <definedName name="twwt" hidden="1">{#N/A,#N/A,FALSE,"단가표지"}</definedName>
    <definedName name="TY">#REF!</definedName>
    <definedName name="Type">'[1]2.Meeting Minutes'!#REF!</definedName>
    <definedName name="U">#REF!</definedName>
    <definedName name="U_G">#REF!</definedName>
    <definedName name="ue____I¨￡">#N/A</definedName>
    <definedName name="ue____Iª">#N/A</definedName>
    <definedName name="UHrs_Civil">IF(VLOOKUP(#REF!,'QIC_ Actual_LP'!_xlnm.Print_Area,9,FALSE())=0,0,VLOOKUP(#REF!,'QIC_ Actual_LP'!_xlnm.Print_Area,9,FALSE()))</definedName>
    <definedName name="Uhrs_Cntl_Valves">ROUND(IF(VLOOKUP(#REF!,ConDesIntCert,12,FALSE())=0,0,VLOOKUP(#REF!,ConDesIntCert,12,FALSE())),2)</definedName>
    <definedName name="UHrs_Conduit">IF(VLOOKUP(#REF!,ConDesStRetn,12,FALSE())=0,0,VLOOKUP(#REF!,ConDesStRetn,12,FALSE()))</definedName>
    <definedName name="Uhrs_DB">IF(VLOOKUP(#REF!,DELETE,12,FALSE())=0,0,VLOOKUP(#REF!,DELETE,12,FALSE()))</definedName>
    <definedName name="UHrs_MV_Cable">IF(VLOOKUP(#REF!,claim,10,FALSE())=0,0,VLOOKUP(#REF!,claim,10,FALSE()))</definedName>
    <definedName name="UHrs_Other">IF(VLOOKUP(#REF!,PA_CABLE,10,FALSE())=0,0,VLOOKUP(#REF!,PA_CABLE,10,FALSE()))</definedName>
    <definedName name="UHrs_tray">IF(VLOOKUP(#REF!,TSD,14,FALSE())=0,0,VLOOKUP(#REF!,TSD,14,FALSE()))</definedName>
    <definedName name="Uhrs1_Civil">IF(VLOOKUP(#REF!,SHADAB,9,FALSE())=0,0,VLOOKUP(#REF!,'QIC_ Actual_LP'!_xlnm.Print_Area,9,FALSE()))</definedName>
    <definedName name="UHrs1_Conduit">IF(VLOOKUP(#REF!,ConDesStRetn,10,FALSE())=0,0,VLOOKUP(#REF!,ConDesStRetn,10,FALSE()))</definedName>
    <definedName name="UHrs1_MV_Cable">IF(VLOOKUP(#REF!,claim,10,FALSE())=0,0,VLOOKUP(#REF!,claim,10,FALSE()))</definedName>
    <definedName name="UHrs1_Other">IF(VLOOKUP(#REF!,PA_CABLE,10,FALSE())=0,0,VLOOKUP(#REF!,PA_CABLE,10,FALSE()))</definedName>
    <definedName name="UHrs1_tray">IF(VLOOKUP(#REF!,TSD,12,FALSE())=0,0,VLOOKUP(#REF!,TSD,12,FALSE()))</definedName>
    <definedName name="uj" hidden="1">{#N/A,#N/A,FALSE,"SumG";#N/A,#N/A,FALSE,"ElecG";#N/A,#N/A,FALSE,"MechG";#N/A,#N/A,FALSE,"GeotG";#N/A,#N/A,FALSE,"PrcsG";#N/A,#N/A,FALSE,"TunnG";#N/A,#N/A,FALSE,"CivlG";#N/A,#N/A,FALSE,"NtwkG";#N/A,#N/A,FALSE,"EstgG";#N/A,#N/A,FALSE,"PEngG"}</definedName>
    <definedName name="uk_in_uk">#REF!</definedName>
    <definedName name="ulcost">#REF!-#REF!</definedName>
    <definedName name="ULD">#REF!</definedName>
    <definedName name="ululyul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atl_Civil">IF(VLOOKUP(#REF!,'QIC_ Actual_LP'!_xlnm.Print_Area,7,FALSE())=0,0,VLOOKUP(#REF!,'QIC_ Actual_LP'!_xlnm.Print_Area,7,FALSE()))</definedName>
    <definedName name="UMatl_Cntl_Valves">ROUND(IF(VLOOKUP(#REF!,ConDesIntCert,10,FALSE())=0,0,VLOOKUP(#REF!,ConDesIntCert,10,FALSE())),-2)</definedName>
    <definedName name="UMatl_Conduit">IF(VLOOKUP(#REF!,ConDesStRetn,11,FALSE())=0,0,VLOOKUP(#REF!,ConDesStRetn,11,FALSE()))</definedName>
    <definedName name="UMatl_DB">IF(VLOOKUP(#REF!,DELETE,11,FALSE())=0,0,VLOOKUP(#REF!,DELETE,11,FALSE()))</definedName>
    <definedName name="UMatl_MV_Cable">IF(VLOOKUP(#REF!,claim,9,FALSE())=0,0,VLOOKUP(#REF!,claim,9,FALSE()))</definedName>
    <definedName name="UMatl_Other">IF(VLOOKUP(#REF!,PA_CABLE,9,FALSE())=0,0,VLOOKUP(#REF!,PA_CABLE,9,FALSE()))</definedName>
    <definedName name="UMatl_Tray">IF(VLOOKUP(#REF!,TSD,13,FALSE())=0,0,VLOOKUP(#REF!,TSD,13,FALSE()))</definedName>
    <definedName name="UMatl1_Civil">IF(VLOOKUP(#REF!,'QIC_ Actual_LP'!_xlnm.Print_Area,7,FALSE())=0,0,VLOOKUP(#REF!,'QIC_ Actual_LP'!_xlnm.Print_Area,7,FALSE()))</definedName>
    <definedName name="UMatl1_Conduit">IF(VLOOKUP(#REF!,ConDesStRetn,9,FALSE())=0,0,VLOOKUP(#REF!,ConDesStRetn,9,FALSE()))</definedName>
    <definedName name="UMatl1_MV_Cable">IF(VLOOKUP(#REF!,claim,9,FALSE())=0,0,VLOOKUP(#REF!,claim,9,FALSE()))</definedName>
    <definedName name="UMatl1_Other">IF(VLOOKUP(#REF!,PA_CABLE,9,FALSE())=0,0,VLOOKUP(#REF!,PA_CABLE,9,FALSE()))</definedName>
    <definedName name="UMatl1_Tray">IF(VLOOKUP(#REF!,TSD,11,FALSE())=0,0,VLOOKUP(#REF!,TSD,11,FALSE()))</definedName>
    <definedName name="UMH">#REF!</definedName>
    <definedName name="uniformat">#REF!</definedName>
    <definedName name="UNION">#REF!</definedName>
    <definedName name="unit">#REF!</definedName>
    <definedName name="UNIT1">IF(USC_MV_Cable=1,VLOOKUP(#REF!,CumulativePercentCompletion,3),VLOOKUP(#REF!,CumulativePercentCompletion,4))</definedName>
    <definedName name="unitname">#REF!</definedName>
    <definedName name="unspsc">'[1]KEY Data – do not delete –'!#REF!</definedName>
    <definedName name="UOM">#REF!</definedName>
    <definedName name="UPDATE">#REF!</definedName>
    <definedName name="uppipeabt">#REF!</definedName>
    <definedName name="uppipeabt_1">#N/A</definedName>
    <definedName name="uppipebox">#REF!</definedName>
    <definedName name="uppipebox_1">#N/A</definedName>
    <definedName name="US_C_Civil">IF(VLOOKUP(#REF!,'QIC_ Actual_LP'!_xlnm.Print_Area,8,FALSE())=0,0,VLOOKUP(#REF!,'QIC_ Actual_LP'!_xlnm.Print_Area,8,FALSE()))</definedName>
    <definedName name="US_C1_Civil">IF(VLOOKUP(#REF!,'QIC_ Actual_LP'!_xlnm.Print_Area,8)=0,0,VLOOKUP(#REF!,'QIC_ Actual_LP'!_xlnm.Print_Area,8))</definedName>
    <definedName name="USC_Cntl_Valves">ROUND(IF(VLOOKUP(#REF!,ConDesIntCert,11,FALSE())=0,0,VLOOKUP(#REF!,ConDesIntCert,11,FALSE())),0)</definedName>
    <definedName name="USC_Conduit">ROUND(IF(VLOOKUP(#REF!,ConDesStRetn,19,FALSE())=0,0,VLOOKUP(#REF!,ConDesStRetn,19,FALSE())),0)</definedName>
    <definedName name="USC_DB">ROUND(IF(VLOOKUP(#REF!,DELETE,17,FALSE())=0,0,VLOOKUP(#REF!,DELETE,17,FALSE())),0)</definedName>
    <definedName name="USC_MV_Cable">ROUND(IF(VLOOKUP(#REF!,claim,15,FALSE())=0,0,VLOOKUP(#REF!,claim,15,FALSE())),0)</definedName>
    <definedName name="USC_Other">ROUND(IF(VLOOKUP(#REF!,PA_CABLE,15,FALSE())=0,0,VLOOKUP(#REF!,PA_CABLE,15,FALSE())),0)</definedName>
    <definedName name="USC_Tray">ROUND(IF(VLOOKUP(#REF!,TSD,21,FALSE())=0,0,VLOOKUP(#REF!,TSD,21,FALSE())),0)</definedName>
    <definedName name="USC1_Conduit">ROUND(IF(VLOOKUP(#REF!,ConDesStRetn,15,FALSE())=0,0,VLOOKUP(#REF!,ConDesStRetn,15,FALSE())),0)</definedName>
    <definedName name="USC1_MV_Cable">ROUND(IF(VLOOKUP(#REF!,claim,15,FALSE())=0,0,VLOOKUP(#REF!,claim,15,FALSE())),0)</definedName>
    <definedName name="USC1_Other">ROUND(IF(VLOOKUP(#REF!,PA_CABLE,15,FALSE())=0,0,VLOOKUP(#REF!,PA_CABLE,15,FALSE())),0)</definedName>
    <definedName name="USC1_Tray">ROUND(IF(VLOOKUP(#REF!,TSD,17,FALSE())=0,0,VLOOKUP(#REF!,TSD,17,FALSE())),0)</definedName>
    <definedName name="USCHrs_Civil">IF(VLOOKUP(#REF!,'QIC_ Actual_LP'!_xlnm.Print_Area,10,FALSE())=0,0,VLOOKUP(#REF!,'QIC_ Actual_LP'!_xlnm.Print_Area,10,FALSE()))</definedName>
    <definedName name="USChrs_Cntl_Valves">ROUND(IF(VLOOKUP(#REF!,ConDesIntCert,13,FALSE())=0,0,VLOOKUP(#REF!,ConDesIntCert,13,FALSE())),2)</definedName>
    <definedName name="USChrs_Conduit">IF(VLOOKUP(#REF!,ConDesStRetn,18,FALSE())=0,0,VLOOKUP(#REF!,ConDesStRetn,18,FALSE()))</definedName>
    <definedName name="USChrs_DB">ROUND(IF(VLOOKUP(#REF!,DELETE,18,FALSE())=0,0,VLOOKUP(#REF!,DELETE,18,FALSE())),2)</definedName>
    <definedName name="USChrs_MV_Cable">IF(VLOOKUP(#REF!,claim,16,FALSE())=0,0,VLOOKUP(#REF!,claim,16,FALSE()))</definedName>
    <definedName name="USChrs_Other">IF(VLOOKUP(#REF!,PA_CABLE,16,FALSE())=0,0,VLOOKUP(#REF!,PA_CABLE,16,FALSE()))</definedName>
    <definedName name="USChrs_tray">IF(VLOOKUP(#REF!,TSD,20,FALSE())=0,0,VLOOKUP(#REF!,TSD,20,FALSE()))</definedName>
    <definedName name="USChrs1_Civil">IF(VLOOKUP(#REF!,'QIC_ Actual_LP'!_xlnm.Print_Area,10,FALSE())=0,0,VLOOKUP(#REF!,'QIC_ Actual_LP'!_xlnm.Print_Area,10,FALSE()))</definedName>
    <definedName name="USChrs1_Conduit">IF(VLOOKUP(#REF!,ConDesStRetn,16,FALSE())=0,0,VLOOKUP(#REF!,ConDesStRetn,16,FALSE()))</definedName>
    <definedName name="USChrs1_MV_Cable">IF(VLOOKUP(#REF!,claim,16,FALSE())=0,0,VLOOKUP(#REF!,claim,16,FALSE()))</definedName>
    <definedName name="USChrs1_Other">IF(VLOOKUP(#REF!,PA_CABLE,16,FALSE())=0,0,VLOOKUP(#REF!,PA_CABLE,16,FALSE()))</definedName>
    <definedName name="USChrs1_tray">IF(VLOOKUP(#REF!,TSD,18,FALSE())=0,0,VLOOKUP(#REF!,TSD,18,FALSE()))</definedName>
    <definedName name="USD">#REF!</definedName>
    <definedName name="USDRs">#REF!</definedName>
    <definedName name="USDYen">#REF!</definedName>
    <definedName name="USERDATA">#REF!</definedName>
    <definedName name="uskw">#REF!</definedName>
    <definedName name="usro">0.385</definedName>
    <definedName name="Utility">#REF!</definedName>
    <definedName name="Utility_Effort_MB_LB">#REF!</definedName>
    <definedName name="Utillty_Reduction_Factor">#REF!</definedName>
    <definedName name="utos12">#REF!</definedName>
    <definedName name="utos234">#REF!</definedName>
    <definedName name="UUN">#N/A</definedName>
    <definedName name="UUU">#REF!</definedName>
    <definedName name="V">#REF!</definedName>
    <definedName name="V.E금액1">#REF!</definedName>
    <definedName name="ValEdits">#REF!</definedName>
    <definedName name="Valesco">#REF!</definedName>
    <definedName name="valHighlight">#REF!</definedName>
    <definedName name="VALIDCURR">#REF!</definedName>
    <definedName name="VALPRINT">#REF!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91">#REF!</definedName>
    <definedName name="VALUES">#REF!</definedName>
    <definedName name="valuevx">42.314159</definedName>
    <definedName name="VALVE">#REF!</definedName>
    <definedName name="Variation" hidden="1">{#N/A,#N/A,FALSE,"SumD";#N/A,#N/A,FALSE,"ElecD";#N/A,#N/A,FALSE,"MechD";#N/A,#N/A,FALSE,"GeotD";#N/A,#N/A,FALSE,"PrcsD";#N/A,#N/A,FALSE,"TunnD";#N/A,#N/A,FALSE,"CivlD";#N/A,#N/A,FALSE,"NtwkD";#N/A,#N/A,FALSE,"EstgD";#N/A,#N/A,FALSE,"PEngD"}</definedName>
    <definedName name="VATaddresses">#REF!</definedName>
    <definedName name="VCA">QTY*UMH</definedName>
    <definedName name="VCD">#REF!</definedName>
    <definedName name="vdgdfgdf">#REF!</definedName>
    <definedName name="ve">#REF!</definedName>
    <definedName name="Vendor">#REF!</definedName>
    <definedName name="verpile">#REF!</definedName>
    <definedName name="verpile_1">#N/A</definedName>
    <definedName name="VEST" hidden="1">#REF!</definedName>
    <definedName name="vffsfs" hidden="1">{#N/A,#N/A,TRUE,"Basic";#N/A,#N/A,TRUE,"EXT-TABLE";#N/A,#N/A,TRUE,"STEEL";#N/A,#N/A,TRUE,"INT-Table";#N/A,#N/A,TRUE,"STEEL";#N/A,#N/A,TRUE,"Door"}</definedName>
    <definedName name="VIEW">#REF!</definedName>
    <definedName name="vital5">#REF!</definedName>
    <definedName name="VLV_DESUP_HTRS">#REF!</definedName>
    <definedName name="volww">#REF!</definedName>
    <definedName name="volww_1">#N/A</definedName>
    <definedName name="VS">#REF!</definedName>
    <definedName name="vv" hidden="1">{#N/A,#N/A,FALSE,"SumD";#N/A,#N/A,FALSE,"ElecD";#N/A,#N/A,FALSE,"MechD";#N/A,#N/A,FALSE,"GeotD";#N/A,#N/A,FALSE,"PrcsD";#N/A,#N/A,FALSE,"TunnD";#N/A,#N/A,FALSE,"CivlD";#N/A,#N/A,FALSE,"NtwkD";#N/A,#N/A,FALSE,"EstgD";#N/A,#N/A,FALSE,"PEngD"}</definedName>
    <definedName name="VVV">#REF!</definedName>
    <definedName name="W">#REF!</definedName>
    <definedName name="w_rate">#REF!</definedName>
    <definedName name="W15_">#N/A</definedName>
    <definedName name="W3_">#N/A</definedName>
    <definedName name="w3t344t" hidden="1">{#N/A,#N/A,FALSE,"표지목차"}</definedName>
    <definedName name="W6_">#N/A</definedName>
    <definedName name="WAC">#REF!</definedName>
    <definedName name="WAGE">#REF!</definedName>
    <definedName name="WASTE_FACTOR">#REF!</definedName>
    <definedName name="WATER_ANAL_SYS">#REF!</definedName>
    <definedName name="Waterfront">#REF!</definedName>
    <definedName name="WCAP">#REF!</definedName>
    <definedName name="WCV">#REF!</definedName>
    <definedName name="WCVD">#REF!</definedName>
    <definedName name="wdw">#REF!</definedName>
    <definedName name="WE">#REF!</definedName>
    <definedName name="WearingCourse">#REF!</definedName>
    <definedName name="week">#REF!</definedName>
    <definedName name="week1">#REF!</definedName>
    <definedName name="weekday">{1,2,3,4,5,6,7}</definedName>
    <definedName name="weekday_dates">#REF!,#REF!,#REF!,#REF!,#REF!,#REF!,#REF!,#REF!,#REF!,#REF!,#REF!,#REF!,#REF!,#REF!,#REF!,#REF!,#REF!,#REF!,#REF!,#REF!,#REF!,#REF!,#REF!,#REF!,#REF!,#REF!</definedName>
    <definedName name="weekend_dates">#REF!,#REF!,#REF!,#REF!,#REF!,#REF!,#REF!,#REF!,#REF!,#REF!,#REF!</definedName>
    <definedName name="WeekNo">{1;2;3;4;5;6}</definedName>
    <definedName name="Weeks_Per_Month">4.33</definedName>
    <definedName name="wegWE" hidden="1">{#N/A,#N/A,TRUE,"Cover";#N/A,#N/A,TRUE,"Conts";#N/A,#N/A,TRUE,"VOS";#N/A,#N/A,TRUE,"Warrington";#N/A,#N/A,TRUE,"Widnes"}</definedName>
    <definedName name="WEIGHT">#REF!</definedName>
    <definedName name="weight2">#REF!</definedName>
    <definedName name="Welding">#REF!</definedName>
    <definedName name="weq" hidden="1">{#N/A,#N/A,FALSE,"SumD";#N/A,#N/A,FALSE,"ElecD";#N/A,#N/A,FALSE,"MechD";#N/A,#N/A,FALSE,"GeotD";#N/A,#N/A,FALSE,"PrcsD";#N/A,#N/A,FALSE,"TunnD";#N/A,#N/A,FALSE,"CivlD";#N/A,#N/A,FALSE,"NtwkD";#N/A,#N/A,FALSE,"EstgD";#N/A,#N/A,FALSE,"PEngD"}</definedName>
    <definedName name="wer">#REF!</definedName>
    <definedName name="WET">#REF!</definedName>
    <definedName name="wetrtyret" hidden="1">{#N/A,#N/A,FALSE,"운반시간"}</definedName>
    <definedName name="wetwety" hidden="1">{#N/A,#N/A,FALSE,"CAM-G7";#N/A,#N/A,FALSE,"SPL";#N/A,#N/A,FALSE,"butt-in G7";#N/A,#N/A,FALSE,"dia-in G7";#N/A,#N/A,FALSE,"추가-STA G7"}</definedName>
    <definedName name="WGEW" hidden="1">{#N/A,#N/A,TRUE,"Cover";#N/A,#N/A,TRUE,"Conts";#N/A,#N/A,TRUE,"VOS";#N/A,#N/A,TRUE,"Warrington";#N/A,#N/A,TRUE,"Widnes"}</definedName>
    <definedName name="wgWE" hidden="1">{#N/A,#N/A,TRUE,"Cover";#N/A,#N/A,TRUE,"Conts";#N/A,#N/A,TRUE,"VOS";#N/A,#N/A,TRUE,"Warrington";#N/A,#N/A,TRUE,"Widnes"}</definedName>
    <definedName name="widabt">#REF!</definedName>
    <definedName name="widabt_1">#N/A</definedName>
    <definedName name="Width">#REF!</definedName>
    <definedName name="Width_1">#N/A</definedName>
    <definedName name="widwing">#REF!</definedName>
    <definedName name="widwing_1">#N/A</definedName>
    <definedName name="Window">#REF!</definedName>
    <definedName name="wm.조골재1" hidden="1">{#N/A,#N/A,FALSE,"조골재"}</definedName>
    <definedName name="WOL">#REF!</definedName>
    <definedName name="WOOOOOO" hidden="1">#REF!</definedName>
    <definedName name="Work_Days">#REF!</definedName>
    <definedName name="Work_Months">#REF!</definedName>
    <definedName name="WorkDays">#REF!</definedName>
    <definedName name="WorkDays1">#REF!</definedName>
    <definedName name="WORKNO">#REF!</definedName>
    <definedName name="Worsley_Alumina_Expansion_Project___23747">#REF!</definedName>
    <definedName name="wrapping">#REF!</definedName>
    <definedName name="WREP_PREV">#REF!</definedName>
    <definedName name="WREP_TODATE">#REF!</definedName>
    <definedName name="wrn.2번." hidden="1">{#N/A,#N/A,FALSE,"2~8번"}</definedName>
    <definedName name="wrn.AA." hidden="1">{#N/A,#N/A,FALSE,"CAM-G7";#N/A,#N/A,FALSE,"SPL";#N/A,#N/A,FALSE,"butt-in G7";#N/A,#N/A,FALSE,"dia-in G7";#N/A,#N/A,FALSE,"추가-STA G7"}</definedName>
    <definedName name="wrn.ALL." hidden="1">{#N/A,#N/A,FALSE,"Pro-forma claim";#N/A,#N/A,FALSE,"Summary sheet";#N/A,#N/A,FALSE,"SITE INSTRUCTIONS";#N/A,#N/A,FALSE,"DAY WORKS CIVILS";#N/A,#N/A,FALSE,"DAY WORKS STEEL"}</definedName>
    <definedName name="wrn.all._.lines." hidden="1">{#N/A,#N/A,FALSE,"Summary";#N/A,#N/A,FALSE,"3TJ";#N/A,#N/A,FALSE,"3TN";#N/A,#N/A,FALSE,"3TP";#N/A,#N/A,FALSE,"3SJ";#N/A,#N/A,FALSE,"3CJ";#N/A,#N/A,FALSE,"3CN";#N/A,#N/A,FALSE,"3CP";#N/A,#N/A,FALSE,"3A"}</definedName>
    <definedName name="wrn.Barbara._.Modular._.Indirects." hidden="1">{#N/A,#N/A,FALSE,"COVER";#N/A,#N/A,FALSE,"RECAP";#N/A,#N/A,FALSE,"SANTA BARBARA NONMANUAL";#N/A,#N/A,FALSE,"CEQUIP";#N/A,#N/A,FALSE,"WRATE";#N/A,#N/A,FALSE,"INDIRECT";#N/A,#N/A,FALSE,"TRAIN";#N/A,#N/A,FALSE,"MANLOADED SCHEDULE"}</definedName>
    <definedName name="wrn.BM." hidden="1">{#N/A,#N/A,TRUE,"Basic";#N/A,#N/A,TRUE,"EXT-TABLE";#N/A,#N/A,TRUE,"STEEL";#N/A,#N/A,TRUE,"INT-Table";#N/A,#N/A,TRUE,"STEEL";#N/A,#N/A,TRUE,"Door"}</definedName>
    <definedName name="wrn.CHIEF._.REVIEW." hidden="1">{#N/A,#N/A,FALSE,"Q&amp;AE";#N/A,#N/A,FALSE,"Params";#N/A,#N/A,FALSE,"ReconE";#N/A,#N/A,FALSE,"CostCompE";#N/A,#N/A,FALSE,"SummaryE";#N/A,#N/A,FALSE,"Detail";#N/A,#N/A,FALSE,"PayItem"}</definedName>
    <definedName name="wrn.CIRCUITS." hidden="1">{"DBANK",#N/A,FALSE,"PriceE";"CKTS",#N/A,FALSE,"PriceE"}</definedName>
    <definedName name="wrn.COST_SHEETS." hidden="1">{#N/A,#N/A,FALSE,"WBS 1.06";#N/A,#N/A,FALSE,"WBS 1.14";#N/A,#N/A,FALSE,"WBS 1.17";#N/A,#N/A,FALSE,"WBS 1.18"}</definedName>
    <definedName name="wrn.FINAL._.ESTIMATE." hidden="1">{#N/A,#N/A,FALSE,"ProjInfo";#N/A,#N/A,FALSE,"Params";#N/A,#N/A,FALSE,"Q&amp;AE";#N/A,#N/A,FALSE,"CostCompE";#N/A,#N/A,FALSE,"SummaryE";#N/A,#N/A,FALSE,"PayItem";#N/A,#N/A,FALSE,"Detail";#N/A,#N/A,FALSE,"ReconE"}</definedName>
    <definedName name="wrn.Fuel._.oil._.option." hidden="1">{"FUEL OIL",#N/A,FALSE,"Option"}</definedName>
    <definedName name="wrn.Print._.Output." hidden="1">{#N/A,#N/A,FALSE,"OUTPUT SHEET "}</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x." hidden="1">{#N/A,#N/A,TRUE,"Page de garde";#N/A,#N/A,TRUE,"Estimation ingénierie";#N/A,#N/A,TRUE,"Synthése des heures";#N/A,#N/A,TRUE,"Etudes préliminaires";#N/A,#N/A,TRUE,"Avant projet";#N/A,#N/A,TRUE,"Projet";#N/A,#N/A,TRUE,"Approvisionnement";#N/A,#N/A,TRUE,"Construction";#N/A,#N/A,TRUE,"Essais  mise en route"}</definedName>
    <definedName name="wrn.prix1." hidden="1">{#N/A,#N/A,TRUE,"Page de garde";#N/A,#N/A,TRUE,"Estimation ingénierie";#N/A,#N/A,TRUE,"Synthése des heures";#N/A,#N/A,TRUE,"Etudes préliminaires";#N/A,#N/A,TRUE,"Avant projet";#N/A,#N/A,TRUE,"Projet";#N/A,#N/A,TRUE,"Approvisionnement";#N/A,#N/A,TRUE,"Construction";#N/A,#N/A,TRUE,"Essais  mise en route"}</definedName>
    <definedName name="wrn.Redundant._.Equipment._.Option." hidden="1">{"pumps",#N/A,FALSE,"Option"}</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STG._.BLDG._.ENCLOSURE." hidden="1">{"turbine",#N/A,FALSE,"Option"}</definedName>
    <definedName name="wrn.struckgi." hidden="1">{#N/A,#N/A,TRUE,"arnitower";#N/A,#N/A,TRUE,"arnigarage "}</definedName>
    <definedName name="wrn.Warrington._.Widnes._.QS._.Costs." hidden="1">{#N/A,#N/A,TRUE,"Cover";#N/A,#N/A,TRUE,"Conts";#N/A,#N/A,TRUE,"VOS";#N/A,#N/A,TRUE,"Warrington";#N/A,#N/A,TRUE,"Widnes"}</definedName>
    <definedName name="wrn.WHOUSE._.CT." hidden="1">{"WESTINGHOUSE",#N/A,FALSE,"Option"}</definedName>
    <definedName name="wrn.골재소요량." hidden="1">{#N/A,#N/A,FALSE,"골재소요량";#N/A,#N/A,FALSE,"골재소요량"}</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hidden="1">{#N/A,#N/A,FALSE,"속도"}</definedName>
    <definedName name="wrn.실행품의." hidden="1">{#N/A,#N/A,FALSE,"갑지";#N/A,#N/A,FALSE,"개요";#N/A,#N/A,FALSE,"비목별";#N/A,#N/A,FALSE,"건물별";#N/A,#N/A,FALSE,"기구표";#N/A,#N/A,FALSE,"직원투입"}</definedName>
    <definedName name="wrn.운반시간." hidden="1">{#N/A,#N/A,FALSE,"운반시간"}</definedName>
    <definedName name="wrn.이인주." hidden="1">{#N/A,#N/A,FALSE,"물량산출"}</definedName>
    <definedName name="wrn.이정표." hidden="1">{#N/A,#N/A,FALSE,"이정표"}</definedName>
    <definedName name="wrn.조골재." hidden="1">{#N/A,#N/A,FALSE,"조골재"}</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T">#REF!</definedName>
    <definedName name="wtewtwet" hidden="1">{#N/A,#N/A,FALSE,"이정표"}</definedName>
    <definedName name="Wtotal">#REF!</definedName>
    <definedName name="wtrtwt" hidden="1">{#N/A,#N/A,FALSE,"조골재"}</definedName>
    <definedName name="wtwet" hidden="1">{#N/A,#N/A,FALSE,"물량산출"}</definedName>
    <definedName name="wtwetert" hidden="1">{#N/A,#N/A,FALSE,"CAM-G7";#N/A,#N/A,FALSE,"SPL";#N/A,#N/A,FALSE,"butt-in G7";#N/A,#N/A,FALSE,"dia-in G7";#N/A,#N/A,FALSE,"추가-STA G7"}</definedName>
    <definedName name="wtwt" hidden="1">{#N/A,#N/A,FALSE,"CAM-G7";#N/A,#N/A,FALSE,"SPL";#N/A,#N/A,FALSE,"butt-in G7";#N/A,#N/A,FALSE,"dia-in G7";#N/A,#N/A,FALSE,"추가-STA G7"}</definedName>
    <definedName name="WWW">#REF!</definedName>
    <definedName name="X">#REF!</definedName>
    <definedName name="xc" hidden="1">{#N/A,#N/A,FALSE,"SumD";#N/A,#N/A,FALSE,"ElecD";#N/A,#N/A,FALSE,"MechD";#N/A,#N/A,FALSE,"GeotD";#N/A,#N/A,FALSE,"PrcsD";#N/A,#N/A,FALSE,"TunnD";#N/A,#N/A,FALSE,"CivlD";#N/A,#N/A,FALSE,"NtwkD";#N/A,#N/A,FALSE,"EstgD";#N/A,#N/A,FALSE,"PEngD"}</definedName>
    <definedName name="xfgvxcf">#REF!</definedName>
    <definedName name="xls." hidden="1">{"'Break down'!$A$4"}</definedName>
    <definedName name="XMTRS">#REF!</definedName>
    <definedName name="xx">#REF!</definedName>
    <definedName name="xxx">#REF!</definedName>
    <definedName name="xxxx">#REF!</definedName>
    <definedName name="xyz">#REF!</definedName>
    <definedName name="Y">#REF!</definedName>
    <definedName name="y_strainer">#REF!</definedName>
    <definedName name="yandudes">#REF!</definedName>
    <definedName name="YARD_INS">IF(#REF!="INS",VLOOKUP(#REF!,IntCertCW_NSC,HLOOKUP(#REF!,Year,2)+1,FALSE()),0)</definedName>
    <definedName name="YARD_LAB">(VLOOKUP(#REF!,zpr,HLOOKUP(#REF!,Year,2),FALSE())+(VLOOKUP(#REF!,zpr,HLOOKUP(#REF!,Year,2)+1,FALSE())-VLOOKUP(#REF!,zpr,HLOOKUP(#REF!,Year,2),FALSE()))*(#REF!-HLOOKUP(#REF!,Year,1))/(HLOOKUP(#REF!+2,Year,1)-HLOOKUP(#REF!,Year,1)))</definedName>
    <definedName name="YARD_MAT">VLOOKUP(#REF!,zse,HLOOKUP(#REF!,Year,2)+1,FALSE())+(VLOOKUP(#REF!,zse,HLOOKUP(#REF!,Year,2)+1+1,FALSE())-VLOOKUP(#REF!,zse,HLOOKUP(#REF!,Year,2)+1,FALSE()))*(#REF!-HLOOKUP(#REF!,Year,1))/(HLOOKUP(#REF!+2,Year,1)-HLOOKUP(#REF!,Year,1))</definedName>
    <definedName name="Year">#REF!</definedName>
    <definedName name="YearSplit">#REF!</definedName>
    <definedName name="YEN">#REF!</definedName>
    <definedName name="yes">#REF!</definedName>
    <definedName name="yrety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teyyew" hidden="1">{#N/A,#N/A,FALSE,"골재소요량";#N/A,#N/A,FALSE,"골재소요량"}</definedName>
    <definedName name="yrtyerye" hidden="1">{#N/A,#N/A,FALSE,"전력간선"}</definedName>
    <definedName name="YSB">#REF!</definedName>
    <definedName name="ytwetw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S">#REF!</definedName>
    <definedName name="YY" hidden="1">{#N/A,#N/A,TRUE,"Page de garde";#N/A,#N/A,TRUE,"Estimation ingénierie";#N/A,#N/A,TRUE,"Synthése des heures";#N/A,#N/A,TRUE,"Etudes préliminaires";#N/A,#N/A,TRUE,"Avant projet";#N/A,#N/A,TRUE,"Projet";#N/A,#N/A,TRUE,"Approvisionnement";#N/A,#N/A,TRUE,"Construction";#N/A,#N/A,TRUE,"Essais  mise en route"}</definedName>
    <definedName name="YYY">#REF!</definedName>
    <definedName name="YYYY">#REF!</definedName>
    <definedName name="Z">#REF!</definedName>
    <definedName name="Z_0E6C0679_0029_4781_B169_1A8C8DABFBF8_.wvu.Cols_18">#REF!</definedName>
    <definedName name="Z_0E6C0679_0029_4781_B169_1A8C8DABFBF8_.wvu.Cols_5">#REF!</definedName>
    <definedName name="Z_4887C7E8_C2BA_4F8F_A1B2_D26CA05EE10E_.wvu.Cols_18">#REF!</definedName>
    <definedName name="Z_4887C7E8_C2BA_4F8F_A1B2_D26CA05EE10E_.wvu.Cols_5">#REF!</definedName>
    <definedName name="Z_4887C7E8_C2BA_4F8F_A1B2_D26CA05EE10E_.wvu.PrintArea_3">#REF!</definedName>
    <definedName name="Z_69C7EDC4_4654_4BA1_A322_7C3E72B6E417_.wvu.Cols">(#REF!,#REF!)</definedName>
    <definedName name="Z_69CB8650_B747_4FE4_8403_241F756CCB38_.wvu.Cols">(#REF!,#REF!)</definedName>
    <definedName name="Z_69F49408_E8AA_4C55_9DD5_1B87E94DC7AF_.wvu.Cols">(#REF!,#REF!)</definedName>
    <definedName name="Z_69F49408_E8AA_4C55_9DD5_1B87E94DC7AF_.wvu.Cols_1">(#REF!,#REF!)</definedName>
    <definedName name="Z_69F49408_E8AA_4C55_9DD5_1B87E94DC7AF_.wvu.Cols_10">(#REF!,#REF!)</definedName>
    <definedName name="Z_69F49408_E8AA_4C55_9DD5_1B87E94DC7AF_.wvu.Cols_11">(#REF!,#REF!)</definedName>
    <definedName name="Z_69F49408_E8AA_4C55_9DD5_1B87E94DC7AF_.wvu.Cols_12">(#REF!,#REF!)</definedName>
    <definedName name="Z_69F49408_E8AA_4C55_9DD5_1B87E94DC7AF_.wvu.Cols_2">(#REF!,#REF!)</definedName>
    <definedName name="Z_69F49408_E8AA_4C55_9DD5_1B87E94DC7AF_.wvu.Cols_3">(#REF!,#REF!)</definedName>
    <definedName name="Z_69F49408_E8AA_4C55_9DD5_1B87E94DC7AF_.wvu.Cols_4">(#REF!,#REF!)</definedName>
    <definedName name="Z_69F49408_E8AA_4C55_9DD5_1B87E94DC7AF_.wvu.Cols_5">(#REF!,#REF!)</definedName>
    <definedName name="Z_69F49408_E8AA_4C55_9DD5_1B87E94DC7AF_.wvu.Cols_6">(#REF!,#REF!)</definedName>
    <definedName name="Z_69F49408_E8AA_4C55_9DD5_1B87E94DC7AF_.wvu.Cols_7">(#REF!,#REF!)</definedName>
    <definedName name="Z_69F49408_E8AA_4C55_9DD5_1B87E94DC7AF_.wvu.Cols_8">(#REF!,#REF!)</definedName>
    <definedName name="Z_69F49408_E8AA_4C55_9DD5_1B87E94DC7AF_.wvu.Cols_9">(#REF!,#REF!)</definedName>
    <definedName name="Z_8A657B5B_2367_4B9A_B6DF_437ACE718F0F_.wvu.Cols">(#REF!,#REF!)</definedName>
    <definedName name="Z_E571E582_44C4_467A_9514_F539692DA651_.wvu.Cols">(#REF!,#REF!)</definedName>
    <definedName name="Z_L_I_T_E_N">#N/A</definedName>
    <definedName name="za" hidden="1">#REF!</definedName>
    <definedName name="ze">#REF!</definedName>
    <definedName name="zpr">#REF!</definedName>
    <definedName name="zse" hidden="1">{#N/A,#N/A,FALSE,"SumG";#N/A,#N/A,FALSE,"ElecG";#N/A,#N/A,FALSE,"MechG";#N/A,#N/A,FALSE,"GeotG";#N/A,#N/A,FALSE,"PrcsG";#N/A,#N/A,FALSE,"TunnG";#N/A,#N/A,FALSE,"CivlG";#N/A,#N/A,FALSE,"NtwkG";#N/A,#N/A,FALSE,"EstgG";#N/A,#N/A,FALSE,"PEngG"}</definedName>
    <definedName name="zx">#REF!</definedName>
    <definedName name="zy">#REF!</definedName>
    <definedName name="ZZ">#REF!</definedName>
    <definedName name="ZZZ">#REF!</definedName>
    <definedName name="zzzzzz">#REF!</definedName>
    <definedName name="zzzzzzzzzzzz" hidden="1">#REF!</definedName>
    <definedName name="ㄱ미" hidden="1">{#N/A,#N/A,TRUE,"Basic";#N/A,#N/A,TRUE,"EXT-TABLE";#N/A,#N/A,TRUE,"STEEL";#N/A,#N/A,TRUE,"INT-Table";#N/A,#N/A,TRUE,"STEEL";#N/A,#N/A,TRUE,"Door"}</definedName>
    <definedName name="ㄱㅈㅎ" hidden="1">#REF!</definedName>
    <definedName name="가구공사소계">#REF!</definedName>
    <definedName name="가나라">#REF!</definedName>
    <definedName name="가설경비">#REF!</definedName>
    <definedName name="가설계획" hidden="1">{#N/A,#N/A,FALSE,"갑지";#N/A,#N/A,FALSE,"개요";#N/A,#N/A,FALSE,"비목별";#N/A,#N/A,FALSE,"건물별";#N/A,#N/A,FALSE,"기구표";#N/A,#N/A,FALSE,"직원투입"}</definedName>
    <definedName name="가설공사">#REF!</definedName>
    <definedName name="가설노무">#REF!</definedName>
    <definedName name="가설재료">#REF!</definedName>
    <definedName name="가시나무R4">#REF!</definedName>
    <definedName name="가시나무R5">#REF!</definedName>
    <definedName name="가시나무R6">#REF!</definedName>
    <definedName name="가시나무R8">#REF!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중나무B10">#REF!</definedName>
    <definedName name="가중나무B4">#REF!</definedName>
    <definedName name="가중나무B5">#REF!</definedName>
    <definedName name="가중나무B6">#REF!</definedName>
    <definedName name="가중나무B8">#REF!</definedName>
    <definedName name="간노">#REF!</definedName>
    <definedName name="간노1">#REF!</definedName>
    <definedName name="간노2">#REF!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개나리12">#REF!</definedName>
    <definedName name="개나리3">#REF!</definedName>
    <definedName name="개나리5">#REF!</definedName>
    <definedName name="개나리7">#REF!</definedName>
    <definedName name="개나리9">#REF!</definedName>
    <definedName name="개쉬땅1204">#REF!</definedName>
    <definedName name="개쉬땅1506">#REF!</definedName>
    <definedName name="건">#N/A</definedName>
    <definedName name="건축">#REF!</definedName>
    <definedName name="견적기준">#REF!</definedName>
    <definedName name="견적조건" hidden="1">#REF!</definedName>
    <definedName name="견적집계">#REF!</definedName>
    <definedName name="겹동백1002">#REF!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계수B5">#REF!</definedName>
    <definedName name="계수B6">#REF!</definedName>
    <definedName name="계수B8">#REF!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광3">#REF!</definedName>
    <definedName name="고광5">#REF!</definedName>
    <definedName name="고용">#REF!</definedName>
    <definedName name="고용1">#REF!</definedName>
    <definedName name="골재" hidden="1">{#N/A,#N/A,FALSE,"골재소요량";#N/A,#N/A,FALSE,"골재소요량"}</definedName>
    <definedName name="골조" hidden="1">{#N/A,#N/A,FALSE,"물량산출"}</definedName>
    <definedName name="곰솔2508">#REF!</definedName>
    <definedName name="곰솔3010">#REF!</definedName>
    <definedName name="곰솔R10">#REF!</definedName>
    <definedName name="곰솔R12">#REF!</definedName>
    <definedName name="곰솔R15">#REF!</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#REF!</definedName>
    <definedName name="공명">#REF!</definedName>
    <definedName name="공명1">#REF!</definedName>
    <definedName name="공사감리율">#REF!</definedName>
    <definedName name="공사명">#REF!</definedName>
    <definedName name="공사비산출">#REF!</definedName>
    <definedName name="공일">#REF!</definedName>
    <definedName name="공정" hidden="1">{#N/A,#N/A,FALSE,"물량산출"}</definedName>
    <definedName name="공종">#REF!</definedName>
    <definedName name="공통가설공사">#REF!</definedName>
    <definedName name="공통경비">#REF!</definedName>
    <definedName name="공통노무비">#REF!</definedName>
    <definedName name="공통재료비">#REF!</definedName>
    <definedName name="관리비2" hidden="1">{#N/A,#N/A,FALSE,"갑지";#N/A,#N/A,FALSE,"개요";#N/A,#N/A,FALSE,"비목별";#N/A,#N/A,FALSE,"건물별";#N/A,#N/A,FALSE,"기구표";#N/A,#N/A,FALSE,"직원투입"}</definedName>
    <definedName name="광" hidden="1">{#N/A,#N/A,FALSE,"물량산출"}</definedName>
    <definedName name="광나무1003">#REF!</definedName>
    <definedName name="광나무1203">#REF!</definedName>
    <definedName name="광나무1506">#REF!</definedName>
    <definedName name="광덕기업" hidden="1">{#N/A,#N/A,FALSE,"물량산출"}</definedName>
    <definedName name="광편백0405">#REF!</definedName>
    <definedName name="광편백0507">#REF!</definedName>
    <definedName name="광편백0509">#REF!</definedName>
    <definedName name="교육" hidden="1">{#N/A,#N/A,FALSE,"전력간선"}</definedName>
    <definedName name="구매자재비">#REF!</definedName>
    <definedName name="구분">#REF!</definedName>
    <definedName name="구상나무1505">#REF!</definedName>
    <definedName name="구상나무2008">#REF!</definedName>
    <definedName name="구상나무2510">#REF!</definedName>
    <definedName name="구상나무3012">#REF!</definedName>
    <definedName name="금강" hidden="1">{#N/A,#N/A,FALSE,"물량산출"}</definedName>
    <definedName name="금강고려" hidden="1">{#N/A,#N/A,FALSE,"물량산출"}</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#REF!</definedName>
    <definedName name="금송1208">#REF!</definedName>
    <definedName name="금송1510">#REF!</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경">#REF!</definedName>
    <definedName name="기경1">#REF!</definedName>
    <definedName name="기계">#REF!</definedName>
    <definedName name="기노">#REF!</definedName>
    <definedName name="기노1">#REF!</definedName>
    <definedName name="기이">#REF!</definedName>
    <definedName name="기재">#REF!</definedName>
    <definedName name="기재1">#REF!</definedName>
    <definedName name="기존도로상태" hidden="1">{#N/A,#N/A,FALSE,"혼합골재"}</definedName>
    <definedName name="기초공사">#REF!</definedName>
    <definedName name="기타">#REF!</definedName>
    <definedName name="기타1">#REF!</definedName>
    <definedName name="기타2">#REF!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꽃복숭아R3">#REF!</definedName>
    <definedName name="꽃복숭아R4">#REF!</definedName>
    <definedName name="꽃복숭아R5">#REF!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꽝꽝0304">#REF!</definedName>
    <definedName name="꽝꽝0406">#REF!</definedName>
    <definedName name="꽝꽝0508">#REF!</definedName>
    <definedName name="꽝꽝0610">#REF!</definedName>
    <definedName name="ㄴㄱㄹ" hidden="1">#REF!</definedName>
    <definedName name="ㄴㄴ" hidden="1">{#N/A,#N/A,FALSE,"물량산출"}</definedName>
    <definedName name="ㄴㄴㄴ">#N/A</definedName>
    <definedName name="ㄴㄴㄴㄴㅇ">#N/A</definedName>
    <definedName name="ㄴㅁ" hidden="1">#REF!</definedName>
    <definedName name="ㄴㅁㅁㄴㄴㅁ">#N/A</definedName>
    <definedName name="ㄴㅇ" hidden="1">{#N/A,#N/A,FALSE,"물량산출"}</definedName>
    <definedName name="낙상홍1004">#REF!</definedName>
    <definedName name="낙상홍1506">#REF!</definedName>
    <definedName name="낙상홍1808">#REF!</definedName>
    <definedName name="낙상홍2010">#REF!</definedName>
    <definedName name="낙상홍2515">#REF!</definedName>
    <definedName name="낙우송R10">#REF!</definedName>
    <definedName name="낙우송R12">#REF!</definedName>
    <definedName name="낙우송R5">#REF!</definedName>
    <definedName name="낙우송R6">#REF!</definedName>
    <definedName name="낙우송R8">#REF!</definedName>
    <definedName name="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고가" hidden="1">{#N/A,#N/A,FALSE,"물량산출"}</definedName>
    <definedName name="내역">#REF!</definedName>
    <definedName name="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전">#REF!</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눈향L06">#REF!</definedName>
    <definedName name="눈향L08">#REF!</definedName>
    <definedName name="눈향L10">#REF!</definedName>
    <definedName name="눈향L14">#REF!</definedName>
    <definedName name="눈향L20">#REF!</definedName>
    <definedName name="느릅R10">#REF!</definedName>
    <definedName name="느릅R4">#REF!</definedName>
    <definedName name="느릅R5">#REF!</definedName>
    <definedName name="느릅R8">#REF!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능소화R2">#REF!</definedName>
    <definedName name="능소화R4">#REF!</definedName>
    <definedName name="능소화R6">#REF!</definedName>
    <definedName name="ㄷㄷ">#N/A</definedName>
    <definedName name="다음" hidden="1">{#N/A,#N/A,FALSE,"갑지";#N/A,#N/A,FALSE,"개요";#N/A,#N/A,FALSE,"비목별";#N/A,#N/A,FALSE,"건물별";#N/A,#N/A,FALSE,"기구표";#N/A,#N/A,FALSE,"직원투입"}</definedName>
    <definedName name="단가분석">#REF!</definedName>
    <definedName name="단가표4">#REF!</definedName>
    <definedName name="담쟁이L03">#REF!</definedName>
    <definedName name="당초계획" hidden="1">#REF!</definedName>
    <definedName name="대">#REF!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비">#REF!</definedName>
    <definedName name="대비표">#REF!</definedName>
    <definedName name="대왕참R10">#REF!</definedName>
    <definedName name="대왕참R4">#REF!</definedName>
    <definedName name="대왕참R6">#REF!</definedName>
    <definedName name="대왕참R8">#REF!</definedName>
    <definedName name="대추R10">#REF!</definedName>
    <definedName name="대추R4">#REF!</definedName>
    <definedName name="대추R5">#REF!</definedName>
    <definedName name="대추R6">#REF!</definedName>
    <definedName name="대추R8">#REF!</definedName>
    <definedName name="덩굴장미3">#REF!</definedName>
    <definedName name="덩굴장미4">#REF!</definedName>
    <definedName name="덩굴장미5">#REF!</definedName>
    <definedName name="도급가">#REF!</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#REF!</definedName>
    <definedName name="도로" hidden="1">{#N/A,#N/A,FALSE,"2~8번"}</definedName>
    <definedName name="도배소계">#REF!</definedName>
    <definedName name="도장경비">#REF!</definedName>
    <definedName name="도장공사">#REF!</definedName>
    <definedName name="도장노무">#REF!</definedName>
    <definedName name="도장소계">#REF!</definedName>
    <definedName name="도장재료">#REF!</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나무0504">#REF!</definedName>
    <definedName name="돈나무0805">#REF!</definedName>
    <definedName name="돈나무1007">#REF!</definedName>
    <definedName name="돈나무1210">#REF!</definedName>
    <definedName name="동백1002">#REF!</definedName>
    <definedName name="동백1204">#REF!</definedName>
    <definedName name="동백1506">#REF!</definedName>
    <definedName name="동백1808">#REF!</definedName>
    <definedName name="동별내역">#REF!</definedName>
    <definedName name="동별설계">#REF!</definedName>
    <definedName name="등R2">#REF!</definedName>
    <definedName name="등R4">#REF!</definedName>
    <definedName name="등R6">#REF!</definedName>
    <definedName name="등R8">#REF!</definedName>
    <definedName name="때죽R10">#REF!</definedName>
    <definedName name="때죽R4">#REF!</definedName>
    <definedName name="때죽R6">#REF!</definedName>
    <definedName name="때죽R8">#REF!</definedName>
    <definedName name="뚜껑">#REF!</definedName>
    <definedName name="띠장">#REF!</definedName>
    <definedName name="ㄹㄹㄹㄹㅀㅎ">#N/A</definedName>
    <definedName name="ㄹㅇㅁ">#REF!</definedName>
    <definedName name="ㄹㅇㅎㄹㅀ" hidden="1">{#N/A,#N/A,FALSE,"골재소요량";#N/A,#N/A,FALSE,"골재소요량"}</definedName>
    <definedName name="ㄹ호" hidden="1">#REF!</definedName>
    <definedName name="라미우드" hidden="1">{#N/A,#N/A,FALSE,"물량산출"}</definedName>
    <definedName name="롯데안">#REF!</definedName>
    <definedName name="ㄻㄴㄹ" hidden="1">{#N/A,#N/A,FALSE,"물량산출"}</definedName>
    <definedName name="ㅁ">#N/A</definedName>
    <definedName name="ㅁㄴㅁㅁ">#N/A</definedName>
    <definedName name="ㅁㅁ" hidden="1">{#N/A,#N/A,FALSE,"운반시간"}</definedName>
    <definedName name="ㅁㅁㅁ">#REF!</definedName>
    <definedName name="ㅁㅁㅁㅁ" hidden="1">{#N/A,#N/A,FALSE,"혼합골재"}</definedName>
    <definedName name="ㅁㅁㅁㅁㅁㅁ" hidden="1">#REF!</definedName>
    <definedName name="마가목R3">#REF!</definedName>
    <definedName name="마가목R5">#REF!</definedName>
    <definedName name="마가목R7">#REF!</definedName>
    <definedName name="말발도리1003">#REF!</definedName>
    <definedName name="말발도리1204">#REF!</definedName>
    <definedName name="말발도리1506">#REF!</definedName>
    <definedName name="매자0804">#REF!</definedName>
    <definedName name="매자1005">#REF!</definedName>
    <definedName name="매화R10">#REF!</definedName>
    <definedName name="매화R4">#REF!</definedName>
    <definedName name="매화R6">#REF!</definedName>
    <definedName name="매화R8">#REF!</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명자0604">#REF!</definedName>
    <definedName name="명자0805">#REF!</definedName>
    <definedName name="명자1006">#REF!</definedName>
    <definedName name="명자1208">#REF!</definedName>
    <definedName name="모감주R10">#REF!</definedName>
    <definedName name="모감주R4">#REF!</definedName>
    <definedName name="모감주R6">#REF!</definedName>
    <definedName name="모감주R8">#REF!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란5가지">#REF!</definedName>
    <definedName name="모란6가지">#REF!</definedName>
    <definedName name="목공경비">#REF!</definedName>
    <definedName name="목공노무">#REF!</definedName>
    <definedName name="목공사">#REF!</definedName>
    <definedName name="목공사소계">#REF!</definedName>
    <definedName name="목공재료">#REF!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무궁화1003">#REF!</definedName>
    <definedName name="무궁화1203">#REF!</definedName>
    <definedName name="무궁화1504">#REF!</definedName>
    <definedName name="무궁화1805">#REF!</definedName>
    <definedName name="무궁화2006">#REF!</definedName>
    <definedName name="무안">#REF!</definedName>
    <definedName name="물푸레R5">#REF!</definedName>
    <definedName name="물푸레R6">#REF!</definedName>
    <definedName name="물푸레R8">#REF!</definedName>
    <definedName name="미선0804">#REF!</definedName>
    <definedName name="미선1206">#REF!</definedName>
    <definedName name="미장B공과잡비">#REF!</definedName>
    <definedName name="미장B소계">#REF!</definedName>
    <definedName name="미장C소계">#REF!</definedName>
    <definedName name="미장경비">#REF!</definedName>
    <definedName name="미장공과잡비">#REF!</definedName>
    <definedName name="미장공사">#REF!</definedName>
    <definedName name="미장노무">#REF!</definedName>
    <definedName name="미장소계">#REF!</definedName>
    <definedName name="미장재료">#REF!</definedName>
    <definedName name="미제">#REF!</definedName>
    <definedName name="민">#REF!</definedName>
    <definedName name="ㅂ">#N/A</definedName>
    <definedName name="ㅂㅂㅂ">#N/A</definedName>
    <definedName name="ㅂㅂㅂㅂㅂ">#N/A</definedName>
    <definedName name="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닥재소계">#REF!</definedName>
    <definedName name="바보" hidden="1">{#N/A,#N/A,FALSE,"표지목차"}</definedName>
    <definedName name="바보2" hidden="1">{#N/A,#N/A,FALSE,"운반시간"}</definedName>
    <definedName name="반송1012">#REF!</definedName>
    <definedName name="반송1215">#REF!</definedName>
    <definedName name="반송1518">#REF!</definedName>
    <definedName name="반송1520">#REF!</definedName>
    <definedName name="반송2022">#REF!</definedName>
    <definedName name="발송문">#REF!</definedName>
    <definedName name="발코니난간" hidden="1">{#N/A,#N/A,FALSE,"물량산출"}</definedName>
    <definedName name="밥보" hidden="1">{#N/A,#N/A,FALSE,"표지목차"}</definedName>
    <definedName name="방수경비">#REF!</definedName>
    <definedName name="방수공과잡비">#REF!</definedName>
    <definedName name="방수공사">#REF!</definedName>
    <definedName name="방수노무">#REF!</definedName>
    <definedName name="방수소계">#REF!</definedName>
    <definedName name="방수재료">#REF!</definedName>
    <definedName name="배부기준">#REF!</definedName>
    <definedName name="배부내역">#REF!</definedName>
    <definedName name="보라" hidden="1">{#N/A,#N/A,FALSE,"갑지";#N/A,#N/A,FALSE,"개요";#N/A,#N/A,FALSE,"비목별";#N/A,#N/A,FALSE,"건물별";#N/A,#N/A,FALSE,"기구표";#N/A,#N/A,FALSE,"직원투입"}</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통인부">#REF!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험">#REF!</definedName>
    <definedName name="본동경비">#REF!</definedName>
    <definedName name="본동계">#REF!</definedName>
    <definedName name="본동노무">#REF!</definedName>
    <definedName name="본동재료">#REF!</definedName>
    <definedName name="부대공사" hidden="1">#REF!</definedName>
    <definedName name="사" hidden="1">#REF!</definedName>
    <definedName name="사업관리율">#REF!</definedName>
    <definedName name="사진">#REF!</definedName>
    <definedName name="산보">#REF!</definedName>
    <definedName name="산재">#REF!</definedName>
    <definedName name="산재1">#REF!</definedName>
    <definedName name="산재2">#REF!</definedName>
    <definedName name="삼성급여">#REF!</definedName>
    <definedName name="생경">#REF!</definedName>
    <definedName name="생경1">#REF!</definedName>
    <definedName name="생노">#REF!</definedName>
    <definedName name="생노1">#REF!</definedName>
    <definedName name="생이">#REF!</definedName>
    <definedName name="생재">#REF!</definedName>
    <definedName name="생재1">#REF!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설계">#REF!</definedName>
    <definedName name="세부설계율">#REF!</definedName>
    <definedName name="소모비">#REF!</definedName>
    <definedName name="소요">#REF!</definedName>
    <definedName name="수" hidden="1">{#N/A,#N/A,TRUE,"Basic";#N/A,#N/A,TRUE,"EXT-TABLE";#N/A,#N/A,TRUE,"STEEL";#N/A,#N/A,TRUE,"INT-Table";#N/A,#N/A,TRUE,"STEEL";#N/A,#N/A,TRUE,"Door"}</definedName>
    <definedName name="수장경비">#REF!</definedName>
    <definedName name="수장공사">#REF!</definedName>
    <definedName name="수장노무">#REF!</definedName>
    <definedName name="수장재료">#REF!</definedName>
    <definedName name="순공">#REF!</definedName>
    <definedName name="시행내역">#REF!</definedName>
    <definedName name="식재">#REF!</definedName>
    <definedName name="ㅇ">#N/A</definedName>
    <definedName name="ㅇ48">#REF!</definedName>
    <definedName name="ㅇㄴㅁ" hidden="1">#REF!</definedName>
    <definedName name="ㅇㄴㅁㄴㅁㄴㅇㄴㅇㅁㄴㅇㅁㄴㅇㅁㄴㅇㅇㄴㄴㅇㅇㄴㅁ">#N/A</definedName>
    <definedName name="ㅇㄴㅇ">#N/A</definedName>
    <definedName name="ㅇㄹ" hidden="1">#REF!</definedName>
    <definedName name="ㅇㄹㄹ">#N/A</definedName>
    <definedName name="ㅇㅇ" hidden="1">{#N/A,#N/A,FALSE,"물량산출"}</definedName>
    <definedName name="ㅇㅇㅇ">#N/A</definedName>
    <definedName name="ㅇㅇㅇㅇ">#N/A</definedName>
    <definedName name="아경">#REF!</definedName>
    <definedName name="아경1">#REF!</definedName>
    <definedName name="아노">#REF!</definedName>
    <definedName name="아노1">#REF!</definedName>
    <definedName name="아이">#REF!</definedName>
    <definedName name="아재">#REF!</definedName>
    <definedName name="아재1">#REF!</definedName>
    <definedName name="안전">#REF!</definedName>
    <definedName name="안전1">#REF!</definedName>
    <definedName name="안전2">#REF!</definedName>
    <definedName name="양매자0403">#REF!</definedName>
    <definedName name="양매자0505">#REF!</definedName>
    <definedName name="양매자0606">#REF!</definedName>
    <definedName name="억이상" hidden="1">{#N/A,#N/A,FALSE,"2~8번"}</definedName>
    <definedName name="업체" hidden="1">#REF!</definedName>
    <definedName name="오" hidden="1">#REF!</definedName>
    <definedName name="요울">#REF!</definedName>
    <definedName name="요울1">#REF!</definedName>
    <definedName name="요율">#REF!</definedName>
    <definedName name="울산" hidden="1">{#N/A,#N/A,FALSE,"물량산출"}</definedName>
    <definedName name="원가" hidden="1">{#N/A,#N/A,FALSE,"운반시간"}</definedName>
    <definedName name="원가계산">#REF!</definedName>
    <definedName name="원기경">#REF!</definedName>
    <definedName name="원기노">#REF!</definedName>
    <definedName name="원기재">#REF!</definedName>
    <definedName name="원남내역" hidden="1">#REF!</definedName>
    <definedName name="원복경">#REF!</definedName>
    <definedName name="원복노">#REF!</definedName>
    <definedName name="원복재">#REF!</definedName>
    <definedName name="원상경">#REF!</definedName>
    <definedName name="원상노">#REF!</definedName>
    <definedName name="원상재">#REF!</definedName>
    <definedName name="원아경">#REF!</definedName>
    <definedName name="원아노">#REF!</definedName>
    <definedName name="원아재">#REF!</definedName>
    <definedName name="원지경">#REF!</definedName>
    <definedName name="원지노">#REF!</definedName>
    <definedName name="원지재">#REF!</definedName>
    <definedName name="월별영업">#REF!</definedName>
    <definedName name="유리A소계">#REF!</definedName>
    <definedName name="유리B소계">#REF!</definedName>
    <definedName name="유리경비">#REF!</definedName>
    <definedName name="유리공사">#REF!</definedName>
    <definedName name="유리노무">#REF!</definedName>
    <definedName name="유리재료">#REF!</definedName>
    <definedName name="의" hidden="1">{#N/A,#N/A,FALSE,"운반시간"}</definedName>
    <definedName name="이윤">#REF!</definedName>
    <definedName name="이윤1">#REF!</definedName>
    <definedName name="이윤2">#REF!</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관">#REF!</definedName>
    <definedName name="일관1">#REF!</definedName>
    <definedName name="일반" hidden="1">{#N/A,#N/A,FALSE,"갑지";#N/A,#N/A,FALSE,"개요";#N/A,#N/A,FALSE,"비목별";#N/A,#N/A,FALSE,"건물별";#N/A,#N/A,FALSE,"기구표";#N/A,#N/A,FALSE,"직원투입"}</definedName>
    <definedName name="일반1">#REF!</definedName>
    <definedName name="일반2">#REF!</definedName>
    <definedName name="일반조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입찰금액안" hidden="1">#REF!</definedName>
    <definedName name="ㅈㄷ" hidden="1">{#N/A,#N/A,FALSE,"물량산출"}</definedName>
    <definedName name="ㅈㄷㅈㄱㅈㅂ" hidden="1">{#N/A,#N/A,FALSE,"갑지";#N/A,#N/A,FALSE,"개요";#N/A,#N/A,FALSE,"비목별";#N/A,#N/A,FALSE,"건물별";#N/A,#N/A,FALSE,"기구표";#N/A,#N/A,FALSE,"직원투입"}</definedName>
    <definedName name="ㅈㄷㅈㄷ">#N/A</definedName>
    <definedName name="자재경비">#REF!</definedName>
    <definedName name="자재공사">#REF!</definedName>
    <definedName name="자재노무">#REF!</definedName>
    <definedName name="자재비">#REF!</definedName>
    <definedName name="자재수">#REF!</definedName>
    <definedName name="자재재료">#REF!</definedName>
    <definedName name="자재평">#REF!</definedName>
    <definedName name="작업계획">#REF!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전">#REF!</definedName>
    <definedName name="전기계장">#REF!</definedName>
    <definedName name="전체sum">#REF!</definedName>
    <definedName name="조경공">#REF!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#REF!</definedName>
    <definedName name="조원공_1.1_1.5">#REF!</definedName>
    <definedName name="조적경비">#REF!</definedName>
    <definedName name="조적공과잡비">#REF!</definedName>
    <definedName name="조적공사">#REF!</definedName>
    <definedName name="조적노무">#REF!</definedName>
    <definedName name="조적소계">#REF!</definedName>
    <definedName name="조적재료">#REF!</definedName>
    <definedName name="조형가이즈까3010">#REF!</definedName>
    <definedName name="조형가이즈까3012">#REF!</definedName>
    <definedName name="조형가이즈까3014">#REF!</definedName>
    <definedName name="조형가이즈까3516">#REF!</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경">#REF!</definedName>
    <definedName name="주경1">#REF!</definedName>
    <definedName name="주노">#REF!</definedName>
    <definedName name="주노1">#REF!</definedName>
    <definedName name="주요공종">#REF!</definedName>
    <definedName name="주이">#REF!</definedName>
    <definedName name="주재">#REF!</definedName>
    <definedName name="주재1">#REF!</definedName>
    <definedName name="주택사업본부">#REF!</definedName>
    <definedName name="중기">#REF!</definedName>
    <definedName name="지경">#REF!</definedName>
    <definedName name="지경1">#REF!</definedName>
    <definedName name="지노">#REF!</definedName>
    <definedName name="지노1">#REF!</definedName>
    <definedName name="지붕경비">#REF!</definedName>
    <definedName name="지붕노무">#REF!</definedName>
    <definedName name="지붕및홈통공사">#REF!</definedName>
    <definedName name="지붕재료">#REF!</definedName>
    <definedName name="지이">#REF!</definedName>
    <definedName name="지재">#REF!</definedName>
    <definedName name="지재1">#REF!</definedName>
    <definedName name="직원소요계획">#REF!</definedName>
    <definedName name="집계">#REF!</definedName>
    <definedName name="집계SHEET">#REF!</definedName>
    <definedName name="집행내역">#REF!</definedName>
    <definedName name="창호경비">#REF!</definedName>
    <definedName name="창호공사">#REF!</definedName>
    <definedName name="창호노무">#REF!</definedName>
    <definedName name="창호소계">#REF!</definedName>
    <definedName name="창호재료">#REF!</definedName>
    <definedName name="철골경비">#REF!</definedName>
    <definedName name="철골공사">#REF!</definedName>
    <definedName name="철골노무">#REF!</definedName>
    <definedName name="철골재료">#REF!</definedName>
    <definedName name="철구사업본부">#REF!</definedName>
    <definedName name="철근콘크리트공사">#REF!</definedName>
    <definedName name="철콘경비">#REF!</definedName>
    <definedName name="철콘노무">#REF!</definedName>
    <definedName name="철콘재료">#REF!</definedName>
    <definedName name="최종조정">#REF!</definedName>
    <definedName name="칠">#REF!</definedName>
    <definedName name="콘_크_리_트_진_동_기">#REF!</definedName>
    <definedName name="클_레_임">#N/A</definedName>
    <definedName name="ㅌ">#REF!</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토" hidden="1">#REF!</definedName>
    <definedName name="토공경비">#REF!</definedName>
    <definedName name="토공노무">#REF!</definedName>
    <definedName name="토공사">#REF!</definedName>
    <definedName name="토공재료">#REF!</definedName>
    <definedName name="토류판">#REF!</definedName>
    <definedName name="토목">#REF!</definedName>
    <definedName name="토목설계" hidden="1">{#N/A,#N/A,FALSE,"골재소요량";#N/A,#N/A,FALSE,"골재소요량"}</definedName>
    <definedName name="토목지입재료비">#REF!</definedName>
    <definedName name="토목집계">#REF!</definedName>
    <definedName name="통내">#REF!</definedName>
    <definedName name="통설">#REF!</definedName>
    <definedName name="ㅍㅍㅍ">#N/A</definedName>
    <definedName name="팔" hidden="1">#REF!</definedName>
    <definedName name="표지1">#REF!</definedName>
    <definedName name="품의개요">#REF!</definedName>
    <definedName name="플">#N/A</definedName>
    <definedName name="플라타너스B8">#REF!</definedName>
    <definedName name="ㅎㅎ">#N/A</definedName>
    <definedName name="하기경">#REF!</definedName>
    <definedName name="하기노">#REF!</definedName>
    <definedName name="하기재">#REF!</definedName>
    <definedName name="하늘" hidden="1">{#N/A,#N/A,FALSE,"물량산출"}</definedName>
    <definedName name="하도급일반조건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복경">#REF!</definedName>
    <definedName name="하복노">#REF!</definedName>
    <definedName name="하복재">#REF!</definedName>
    <definedName name="하상경">#REF!</definedName>
    <definedName name="하상노">#REF!</definedName>
    <definedName name="하상재">#REF!</definedName>
    <definedName name="하아경">#REF!</definedName>
    <definedName name="하아노">#REF!</definedName>
    <definedName name="하아재">#REF!</definedName>
    <definedName name="하지경">#REF!</definedName>
    <definedName name="하지노">#REF!</definedName>
    <definedName name="하지재">#REF!</definedName>
    <definedName name="현경">#REF!</definedName>
    <definedName name="현장별출고현황_가동_List">#REF!</definedName>
    <definedName name="현장별출고현황_가동_List1">#REF!</definedName>
    <definedName name="호이스느" hidden="1">{#N/A,#N/A,FALSE,"물량산출"}</definedName>
    <definedName name="호ㅓㅕㅏ6ㅅ서ㅛㅓ" hidden="1">#REF!</definedName>
    <definedName name="ㅏㅏㅏㅏㅏ">#N/A</definedName>
    <definedName name="ㅓㄴㄱ" hidden="1">#REF!</definedName>
    <definedName name="ㅓㅓㅓㅓㅓ">#N/A</definedName>
    <definedName name="ㅓㅓㅗ라ㅓㄴ오라ㅓㅁㄴ오라넘오람ㄴ엄ㄴㅇㅇㄴㅁㅁㄴㅇㅇㄴㄴㅇㅁ">#N/A</definedName>
    <definedName name="ㅔㅔ" hidden="1">#REF!</definedName>
    <definedName name="ㅔㅔㅔㅔ">#REF!</definedName>
    <definedName name="ㅗㅗㅗㅗ">#N/A</definedName>
    <definedName name="ㅛㅕㅕㅕ">#N/A</definedName>
    <definedName name="ㅜㅜㅜ">#N/A</definedName>
    <definedName name="ㅠ1066">#REF!</definedName>
    <definedName name="ㅠㅜㅠㅜㅜㅜ">#N/A</definedName>
    <definedName name="ㅠㅠ" hidden="1">{#N/A,#N/A,FALSE,"포장2"}</definedName>
    <definedName name="合____計">#N/A</definedName>
    <definedName name="完了">#N/A</definedName>
    <definedName name="完工工事_計">#N/A</definedName>
    <definedName name="新規工事_計">#N/A</definedName>
    <definedName name="空調労務割掛">#N/A</definedName>
    <definedName name="_________SHT2" localSheetId="0">[0]!TMH*[0]!ulcost</definedName>
    <definedName name="__123Graph_D" localSheetId="0" hidden="1">#REF!</definedName>
    <definedName name="Amount" localSheetId="0">#REF!</definedName>
    <definedName name="Amt_prev_paid" localSheetId="0">#REF!</definedName>
    <definedName name="Amt_prev_paid_range" localSheetId="0">#REF!</definedName>
    <definedName name="ATF" localSheetId="0">[0]!QTY*[0]!UMH</definedName>
    <definedName name="BOP_INS" localSheetId="0">IF(#REF!="INS",VLOOKUP(#REF!,insb,HLOOKUP(#REF!,bop,2)+1,FALSE()),0)</definedName>
    <definedName name="BOP_LAB" localSheetId="0">VLOOKUP(#REF!,boplab,HLOOKUP(#REF!,bop,2),FALSE())+(VLOOKUP(#REF!,boplab,HLOOKUP(#REF!,bop,2)+1,FALSE())-VLOOKUP(#REF!,boplab,HLOOKUP(#REF!,bop,2),FALSE()))*(#REF!-HLOOKUP(#REF!,bop,1))/(HLOOKUP(#REF!+2,bop,1)-HLOOKUP(#REF!,bop,1))</definedName>
    <definedName name="BOP_MAT" localSheetId="0">VLOOKUP(#REF!,bopmat,HLOOKUP(#REF!,bop,2)+1,FALSE())+(VLOOKUP(#REF!,bopmat,HLOOKUP(#REF!,bop,2)+1+1,FALSE())-VLOOKUP(#REF!,bopmat,HLOOKUP(#REF!,bop,2)+1,FALSE()))*(#REF!-HLOOKUP(#REF!,bop,1))</definedName>
    <definedName name="Budget" localSheetId="0">#REF!</definedName>
    <definedName name="C_" localSheetId="0">#REF!</definedName>
    <definedName name="Civ_Det_Des" localSheetId="0">IF(VLOOKUP(#REF!,price_civil,1,FALSE())=0,0,VLOOKUP(#REF!,price_civil,2,FALSE()))</definedName>
    <definedName name="Civ_Det_Des1" localSheetId="0">IF(VLOOKUP(#REF!,price_civil,1,FALSE())=0,0,VLOOKUP(#REF!,price_civil,2,FALSE()))</definedName>
    <definedName name="Cleaning_List" localSheetId="0">#REF!</definedName>
    <definedName name="cmm" localSheetId="0">'TOTAL- LP , UP, 5&amp;6 &amp; PGC'!#REF!</definedName>
    <definedName name="dblookup4analysis" localSheetId="0">dbreferencia&amp;dbano&amp;dbsemana&amp;dbproveedor</definedName>
    <definedName name="dblookup4chart1" localSheetId="0">dbano&amp;dbsemana&amp;dbproveedor&amp;dbreferencia&amp;dbcontrato</definedName>
    <definedName name="Delivery" localSheetId="0">#REF!</definedName>
    <definedName name="DV_area_0" localSheetId="0">#REF!</definedName>
    <definedName name="DV_area_1" localSheetId="0">#REF!</definedName>
    <definedName name="Ele" localSheetId="0" hidden="1">{"'Break down'!$A$4"}</definedName>
    <definedName name="FeedNEG" localSheetId="0">OFFSET(#REF!,0,0,COUNTA(#REF!)-1)</definedName>
    <definedName name="ffffffffffffffffffffffffff" localSheetId="0">IF(#REF!="INS",VLOOKUP(#REF!,insb,HLOOKUP(#REF!,bop,2)+1,FALSE()),0)</definedName>
    <definedName name="fgdfg" localSheetId="0" hidden="1">{#N/A,#N/A,FALSE,"SumD";#N/A,#N/A,FALSE,"ElecD";#N/A,#N/A,FALSE,"MechD";#N/A,#N/A,FALSE,"GeotD";#N/A,#N/A,FALSE,"PrcsD";#N/A,#N/A,FALSE,"TunnD";#N/A,#N/A,FALSE,"CivlD";#N/A,#N/A,FALSE,"NtwkD";#N/A,#N/A,FALSE,"EstgD";#N/A,#N/A,FALSE,"PEngD"}</definedName>
    <definedName name="HAND.incidents" localSheetId="0">MATCH(TRUE(),LEN(#REF!)&lt;&gt;0,0)</definedName>
    <definedName name="hello" localSheetId="0">#REF!</definedName>
    <definedName name="Holidays" localSheetId="0">#REF!</definedName>
    <definedName name="HTML_Control" localSheetId="0" hidden="1">{"'Break down'!$A$4"}</definedName>
    <definedName name="Index_Sheet_Kutools" localSheetId="0">#REF!</definedName>
    <definedName name="k" localSheetId="0">#REF!</definedName>
    <definedName name="kk" localSheetId="0">#REF!</definedName>
    <definedName name="lcost" localSheetId="0">[0]!TMH*[0]!ulcost</definedName>
    <definedName name="markup" localSheetId="0">#REF!</definedName>
    <definedName name="NegativeFeedback" localSheetId="0">OFFSET(#REF!,0,0,COUNTA(#REF!)-1)</definedName>
    <definedName name="New" localSheetId="0" hidden="1">{#N/A,#N/A,TRUE,"Page de garde";#N/A,#N/A,TRUE,"Estimation ingénierie";#N/A,#N/A,TRUE,"Synthése des heures";#N/A,#N/A,TRUE,"Etudes préliminaires";#N/A,#N/A,TRUE,"Avant projet";#N/A,#N/A,TRUE,"Projet";#N/A,#N/A,TRUE,"Approvisionnement";#N/A,#N/A,TRUE,"Construction";#N/A,#N/A,TRUE,"Essais  mise en route"}</definedName>
    <definedName name="PEST_LIST" localSheetId="0">#REF!</definedName>
    <definedName name="PositiveFeedback" localSheetId="0">OFFSET(#REF!,0,0,COUNTA(#REF!)-1)</definedName>
    <definedName name="Print_Are" localSheetId="0">#REF!</definedName>
    <definedName name="Print_Area_MI" localSheetId="0">#REF!</definedName>
    <definedName name="PRINT_TITLES_MI" localSheetId="0">#REF!</definedName>
    <definedName name="QTY" localSheetId="0">input</definedName>
    <definedName name="Qty." localSheetId="0">#REF!</definedName>
    <definedName name="raj" localSheetId="0">#REF!</definedName>
    <definedName name="RAJESH" localSheetId="0">#REF!</definedName>
    <definedName name="Rate" localSheetId="0">#REF!</definedName>
    <definedName name="RSRC" localSheetId="0">#REF!</definedName>
    <definedName name="Scaffolding" localSheetId="0" hidden="1">{"'Break down'!$A$4"}</definedName>
    <definedName name="SEC___INCIDENT" localSheetId="0">#REF!</definedName>
    <definedName name="STATUS_3" localSheetId="0">#REF!</definedName>
    <definedName name="StatusList" localSheetId="0">#REF!</definedName>
    <definedName name="TASKRSRC" localSheetId="0">#REF!</definedName>
    <definedName name="TC" localSheetId="0">'TOTAL- LP , UP, 5&amp;6 &amp; PGC'!QTY*[0]!unit</definedName>
    <definedName name="TMH" localSheetId="0">'TOTAL- LP , UP, 5&amp;6 &amp; PGC'!QTY*[0]!UMH</definedName>
    <definedName name="tmp" localSheetId="0" hidden="1">{"'Break down'!$A$4"}</definedName>
    <definedName name="type" localSheetId="0">#REF!</definedName>
    <definedName name="Uhrs1_Civil" localSheetId="0">#N/A</definedName>
    <definedName name="UPDATE" localSheetId="0">#REF!</definedName>
    <definedName name="USERDATA" localSheetId="0">#REF!</definedName>
    <definedName name="Valesco" localSheetId="0">#REF!</definedName>
    <definedName name="VCA" localSheetId="0">'TOTAL- LP , UP, 5&amp;6 &amp; PGC'!QTY*[0]!UMH</definedName>
    <definedName name="wrn.ALL." localSheetId="0" hidden="1">{#N/A,#N/A,FALSE,"Pro-forma claim";#N/A,#N/A,FALSE,"Summary sheet";#N/A,#N/A,FALSE,"SITE INSTRUCTIONS";#N/A,#N/A,FALSE,"DAY WORKS CIVILS";#N/A,#N/A,FALSE,"DAY WORKS STEEL"}</definedName>
    <definedName name="xls." localSheetId="0" hidden="1">{"'Break down'!$A$4"}</definedName>
    <definedName name="XX" localSheetId="0" hidden="1">{#N/A,#N/A,TRUE,"Page de garde";#N/A,#N/A,TRUE,"Estimation ingénierie";#N/A,#N/A,TRUE,"Synthése des heures";#N/A,#N/A,TRUE,"Etudes préliminaires";#N/A,#N/A,TRUE,"Avant projet";#N/A,#N/A,TRUE,"Projet";#N/A,#N/A,TRUE,"Approvisionnement";#N/A,#N/A,TRUE,"Construction";#N/A,#N/A,TRUE,"Essais  mise en route"}</definedName>
    <definedName name="_xlnm._FilterDatabase" localSheetId="1" hidden="1">'QIC_ Actual_LP'!$A$3:$L$32</definedName>
    <definedName name="_xlnm.Print_Titles" localSheetId="1">'QIC_ Actual_LP'!$1:$3</definedName>
    <definedName name="_xlnm.Print_Area" localSheetId="1">'QIC_ Actual_LP'!$A$1:$P$637</definedName>
    <definedName name="__123Graph_D" localSheetId="2" hidden="1">#REF!</definedName>
    <definedName name="Amount" localSheetId="2">#REF!</definedName>
    <definedName name="Amt_prev_paid" localSheetId="2">#REF!</definedName>
    <definedName name="Amt_prev_paid_range" localSheetId="2">#REF!</definedName>
    <definedName name="Budget" localSheetId="2">#REF!</definedName>
    <definedName name="C_" localSheetId="2">#REF!</definedName>
    <definedName name="Cleaning_List" localSheetId="2">#REF!</definedName>
    <definedName name="cmm" localSheetId="2">'QIC_Contractual_ LP'!#REF!</definedName>
    <definedName name="dblookup4analysis" localSheetId="2">dbreferencia&amp;dbano&amp;dbsemana&amp;dbproveedor</definedName>
    <definedName name="dblookup4chart1" localSheetId="2">dbano&amp;dbsemana&amp;dbproveedor&amp;dbreferencia&amp;dbcontrato</definedName>
    <definedName name="Delivery" localSheetId="2">#REF!</definedName>
    <definedName name="DV_area_0" localSheetId="2">#REF!</definedName>
    <definedName name="DV_area_1" localSheetId="2">#REF!</definedName>
    <definedName name="Ele" localSheetId="2" hidden="1">{"'Break down'!$A$4"}</definedName>
    <definedName name="FeedNEG" localSheetId="2">OFFSET(#REF!,0,0,COUNTA(#REF!)-1)</definedName>
    <definedName name="fgdfg" localSheetId="2" hidden="1">{#N/A,#N/A,FALSE,"SumD";#N/A,#N/A,FALSE,"ElecD";#N/A,#N/A,FALSE,"MechD";#N/A,#N/A,FALSE,"GeotD";#N/A,#N/A,FALSE,"PrcsD";#N/A,#N/A,FALSE,"TunnD";#N/A,#N/A,FALSE,"CivlD";#N/A,#N/A,FALSE,"NtwkD";#N/A,#N/A,FALSE,"EstgD";#N/A,#N/A,FALSE,"PEngD"}</definedName>
    <definedName name="HAND.incidents" localSheetId="2">MATCH(TRUE(),LEN(#REF!)&lt;&gt;0,0)</definedName>
    <definedName name="hello" localSheetId="2">#REF!</definedName>
    <definedName name="Holidays" localSheetId="2">#REF!</definedName>
    <definedName name="HTML_Control" localSheetId="2" hidden="1">{"'Break down'!$A$4"}</definedName>
    <definedName name="Index_Sheet_Kutools" localSheetId="2">#REF!</definedName>
    <definedName name="k" localSheetId="2">#REF!</definedName>
    <definedName name="kk" localSheetId="2">#REF!</definedName>
    <definedName name="markup" localSheetId="2">#REF!</definedName>
    <definedName name="NegativeFeedback" localSheetId="2">OFFSET(#REF!,0,0,COUNTA(#REF!)-1)</definedName>
    <definedName name="New" localSheetId="2" hidden="1">{#N/A,#N/A,TRUE,"Page de garde";#N/A,#N/A,TRUE,"Estimation ingénierie";#N/A,#N/A,TRUE,"Synthése des heures";#N/A,#N/A,TRUE,"Etudes préliminaires";#N/A,#N/A,TRUE,"Avant projet";#N/A,#N/A,TRUE,"Projet";#N/A,#N/A,TRUE,"Approvisionnement";#N/A,#N/A,TRUE,"Construction";#N/A,#N/A,TRUE,"Essais  mise en route"}</definedName>
    <definedName name="PEST_LIST" localSheetId="2">#REF!</definedName>
    <definedName name="PositiveFeedback" localSheetId="2">OFFSET(#REF!,0,0,COUNTA(#REF!)-1)</definedName>
    <definedName name="Print_Are" localSheetId="2">#REF!</definedName>
    <definedName name="Print_Area_MI" localSheetId="2">#REF!</definedName>
    <definedName name="PRINT_TITLES_MI" localSheetId="2">#REF!</definedName>
    <definedName name="Qty." localSheetId="2">#REF!</definedName>
    <definedName name="raj" localSheetId="2">#REF!</definedName>
    <definedName name="RAJESH" localSheetId="2">#REF!</definedName>
    <definedName name="Rate" localSheetId="2">#REF!</definedName>
    <definedName name="RSRC" localSheetId="2">#REF!</definedName>
    <definedName name="Scaffolding" localSheetId="2" hidden="1">{"'Break down'!$A$4"}</definedName>
    <definedName name="SEC___INCIDENT" localSheetId="2">#REF!</definedName>
    <definedName name="STATUS_3" localSheetId="2">#REF!</definedName>
    <definedName name="StatusList" localSheetId="2">#REF!</definedName>
    <definedName name="TASKRSRC" localSheetId="2">#REF!</definedName>
    <definedName name="tmp" localSheetId="2" hidden="1">{"'Break down'!$A$4"}</definedName>
    <definedName name="type" localSheetId="2">#REF!</definedName>
    <definedName name="UPDATE" localSheetId="2">#REF!</definedName>
    <definedName name="USERDATA" localSheetId="2">#REF!</definedName>
    <definedName name="Valesco" localSheetId="2">#REF!</definedName>
    <definedName name="wrn.ALL." localSheetId="2" hidden="1">{#N/A,#N/A,FALSE,"Pro-forma claim";#N/A,#N/A,FALSE,"Summary sheet";#N/A,#N/A,FALSE,"SITE INSTRUCTIONS";#N/A,#N/A,FALSE,"DAY WORKS CIVILS";#N/A,#N/A,FALSE,"DAY WORKS STEEL"}</definedName>
    <definedName name="xls." localSheetId="2" hidden="1">{"'Break down'!$A$4"}</definedName>
    <definedName name="XX" localSheetId="2" hidden="1">{#N/A,#N/A,TRUE,"Page de garde";#N/A,#N/A,TRUE,"Estimation ingénierie";#N/A,#N/A,TRUE,"Synthése des heures";#N/A,#N/A,TRUE,"Etudes préliminaires";#N/A,#N/A,TRUE,"Avant projet";#N/A,#N/A,TRUE,"Projet";#N/A,#N/A,TRUE,"Approvisionnement";#N/A,#N/A,TRUE,"Construction";#N/A,#N/A,TRUE,"Essais  mise en route"}</definedName>
    <definedName name="\0" localSheetId="3">#REF!</definedName>
    <definedName name="\00" localSheetId="3">#REF!</definedName>
    <definedName name="_________SHT2" localSheetId="3">[0]!TMH*[0]!ulcost</definedName>
    <definedName name="_______CON1" localSheetId="3">#REF!</definedName>
    <definedName name="_______CON2" localSheetId="3">#REF!</definedName>
    <definedName name="_______ph1" localSheetId="3">#REF!</definedName>
    <definedName name="____as1" localSheetId="3" hidden="1">{#N/A,#N/A,FALSE,"SumD";#N/A,#N/A,FALSE,"ElecD";#N/A,#N/A,FALSE,"MechD";#N/A,#N/A,FALSE,"GeotD";#N/A,#N/A,FALSE,"PrcsD";#N/A,#N/A,FALSE,"TunnD";#N/A,#N/A,FALSE,"CivlD";#N/A,#N/A,FALSE,"NtwkD";#N/A,#N/A,FALSE,"EstgD";#N/A,#N/A,FALSE,"PEngD"}</definedName>
    <definedName name="___ab1" localSheetId="3"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TC1" localSheetId="3" hidden="1">{#N/A,#N/A,FALSE,"물량산출"}</definedName>
    <definedName name="__wet4" localSheetId="3" hidden="1">{#N/A,#N/A,FALSE,"포장1";#N/A,#N/A,FALSE,"포장1"}</definedName>
    <definedName name="_ab1" localSheetId="3" hidden="1">{#N/A,#N/A,FALSE,"SumD";#N/A,#N/A,FALSE,"ElecD";#N/A,#N/A,FALSE,"MechD";#N/A,#N/A,FALSE,"GeotD";#N/A,#N/A,FALSE,"PrcsD";#N/A,#N/A,FALSE,"TunnD";#N/A,#N/A,FALSE,"CivlD";#N/A,#N/A,FALSE,"NtwkD";#N/A,#N/A,FALSE,"EstgD";#N/A,#N/A,FALSE,"PEngD"}</definedName>
    <definedName name="_as1" localSheetId="3" hidden="1">{#N/A,#N/A,FALSE,"SumD";#N/A,#N/A,FALSE,"ElecD";#N/A,#N/A,FALSE,"MechD";#N/A,#N/A,FALSE,"GeotD";#N/A,#N/A,FALSE,"PrcsD";#N/A,#N/A,FALSE,"TunnD";#N/A,#N/A,FALSE,"CivlD";#N/A,#N/A,FALSE,"NtwkD";#N/A,#N/A,FALSE,"EstgD";#N/A,#N/A,FALSE,"PEngD"}</definedName>
    <definedName name="_ccr1" localSheetId="3" hidden="1">{#N/A,#N/A,TRUE,"Cover";#N/A,#N/A,TRUE,"Conts";#N/A,#N/A,TRUE,"VOS";#N/A,#N/A,TRUE,"Warrington";#N/A,#N/A,TRUE,"Widnes"}</definedName>
    <definedName name="_fos1" localSheetId="3">#REF!</definedName>
    <definedName name="_ilp1" localSheetId="3">#REF!</definedName>
    <definedName name="_J170094" localSheetId="3">#REF!</definedName>
    <definedName name="_old3" localSheetId="3" hidden="1">{#N/A,#N/A,FALSE,"Summary";#N/A,#N/A,FALSE,"3TJ";#N/A,#N/A,FALSE,"3TN";#N/A,#N/A,FALSE,"3TP";#N/A,#N/A,FALSE,"3SJ";#N/A,#N/A,FALSE,"3CJ";#N/A,#N/A,FALSE,"3CN";#N/A,#N/A,FALSE,"3CP";#N/A,#N/A,FALSE,"3A"}</definedName>
    <definedName name="_old5" localSheetId="3" hidden="1">{#N/A,#N/A,FALSE,"Summary";#N/A,#N/A,FALSE,"3TJ";#N/A,#N/A,FALSE,"3TN";#N/A,#N/A,FALSE,"3TP";#N/A,#N/A,FALSE,"3SJ";#N/A,#N/A,FALSE,"3CJ";#N/A,#N/A,FALSE,"3CN";#N/A,#N/A,FALSE,"3CP";#N/A,#N/A,FALSE,"3A"}</definedName>
    <definedName name="_old7" localSheetId="3" hidden="1">{#N/A,#N/A,FALSE,"Summary";#N/A,#N/A,FALSE,"3TJ";#N/A,#N/A,FALSE,"3TN";#N/A,#N/A,FALSE,"3TP";#N/A,#N/A,FALSE,"3SJ";#N/A,#N/A,FALSE,"3CJ";#N/A,#N/A,FALSE,"3CN";#N/A,#N/A,FALSE,"3CP";#N/A,#N/A,FALSE,"3A"}</definedName>
    <definedName name="_QTY1" localSheetId="3">IF([0]!USC_MV_Cable=Bitumen,#REF!,IF([0]!USC_MV_Cable=1,#REF!*VLOOKUP(#REF!,CumulativePercentCompletion,5),#REF!/VLOOKUP(#REF!,CumulativePercentCompletion,5)))</definedName>
    <definedName name="_R" localSheetId="3">#REF!</definedName>
    <definedName name="_RBS1" localSheetId="3">#REF!</definedName>
    <definedName name="_RE100" localSheetId="3">#REF!</definedName>
    <definedName name="_TC1" localSheetId="3" hidden="1">{#N/A,#N/A,FALSE,"물량산출"}</definedName>
    <definedName name="_wet4" localSheetId="3" hidden="1">{#N/A,#N/A,FALSE,"포장1";#N/A,#N/A,FALSE,"포장1"}</definedName>
    <definedName name="a\FGg" localSheetId="3" hidden="1">{#N/A,#N/A,TRUE,"Cover";#N/A,#N/A,TRUE,"Conts";#N/A,#N/A,TRUE,"VOS";#N/A,#N/A,TRUE,"Warrington";#N/A,#N/A,TRUE,"Widnes"}</definedName>
    <definedName name="aaaaa" localSheetId="3" hidden="1">{#N/A,#N/A,TRUE,"Basic";#N/A,#N/A,TRUE,"EXT-TABLE";#N/A,#N/A,TRUE,"STEEL";#N/A,#N/A,TRUE,"INT-Table";#N/A,#N/A,TRUE,"STEEL";#N/A,#N/A,TRUE,"Door"}</definedName>
    <definedName name="ab" localSheetId="3" hidden="1">{#N/A,#N/A,FALSE,"SumD";#N/A,#N/A,FALSE,"ElecD";#N/A,#N/A,FALSE,"MechD";#N/A,#N/A,FALSE,"GeotD";#N/A,#N/A,FALSE,"PrcsD";#N/A,#N/A,FALSE,"TunnD";#N/A,#N/A,FALSE,"CivlD";#N/A,#N/A,FALSE,"NtwkD";#N/A,#N/A,FALSE,"EstgD";#N/A,#N/A,FALSE,"PEngD"}</definedName>
    <definedName name="ada" localSheetId="3" hidden="1">{#N/A,#N/A,FALSE,"갑지";#N/A,#N/A,FALSE,"개요";#N/A,#N/A,FALSE,"비목별";#N/A,#N/A,FALSE,"건물별";#N/A,#N/A,FALSE,"기구표";#N/A,#N/A,FALSE,"직원투입"}</definedName>
    <definedName name="adadad" localSheetId="3" hidden="1">{#N/A,#N/A,TRUE,"Cover";#N/A,#N/A,TRUE,"Conts";#N/A,#N/A,TRUE,"VOS";#N/A,#N/A,TRUE,"Warrington";#N/A,#N/A,TRUE,"Widnes"}</definedName>
    <definedName name="addad" localSheetId="3" hidden="1">{#N/A,#N/A,TRUE,"Cover";#N/A,#N/A,TRUE,"Conts";#N/A,#N/A,TRUE,"VOS";#N/A,#N/A,TRUE,"Warrington";#N/A,#N/A,TRUE,"Widnes"}</definedName>
    <definedName name="aFDf" localSheetId="3" hidden="1">{#N/A,#N/A,FALSE,"혼합골재"}</definedName>
    <definedName name="agf" localSheetId="3" hidden="1">{#N/A,#N/A,FALSE,"CAM-G7";#N/A,#N/A,FALSE,"SPL";#N/A,#N/A,FALSE,"butt-in G7";#N/A,#N/A,FALSE,"dia-in G7";#N/A,#N/A,FALSE,"추가-STA G7"}</definedName>
    <definedName name="All_Reports" localSheetId="3">#REF!,#REF!</definedName>
    <definedName name="Allowance" localSheetId="3">#REF!</definedName>
    <definedName name="Amount" localSheetId="3">#REF!</definedName>
    <definedName name="Amount_of_repayment_due_from_previous_years" localSheetId="3">#REF!</definedName>
    <definedName name="Amt_Contingency" localSheetId="3">#REF!</definedName>
    <definedName name="appraisal" localSheetId="3" hidden="1">{#N/A,#N/A,TRUE,"Cover";#N/A,#N/A,TRUE,"Conts";#N/A,#N/A,TRUE,"VOS";#N/A,#N/A,TRUE,"Warrington";#N/A,#N/A,TRUE,"Widnes"}</definedName>
    <definedName name="as" localSheetId="3" hidden="1">{#N/A,#N/A,FALSE,"SumD";#N/A,#N/A,FALSE,"ElecD";#N/A,#N/A,FALSE,"MechD";#N/A,#N/A,FALSE,"GeotD";#N/A,#N/A,FALSE,"PrcsD";#N/A,#N/A,FALSE,"TunnD";#N/A,#N/A,FALSE,"CivlD";#N/A,#N/A,FALSE,"NtwkD";#N/A,#N/A,FALSE,"EstgD";#N/A,#N/A,FALSE,"PEngD"}</definedName>
    <definedName name="asadad" localSheetId="3" hidden="1">{#N/A,#N/A,TRUE,"Cover";#N/A,#N/A,TRUE,"Conts";#N/A,#N/A,TRUE,"VOS";#N/A,#N/A,TRUE,"Warrington";#N/A,#N/A,TRUE,"Widnes"}</definedName>
    <definedName name="ASDFASDF" localSheetId="3" hidden="1">{#N/A,#N/A,FALSE,"CAM-G7";#N/A,#N/A,FALSE,"SPL";#N/A,#N/A,FALSE,"butt-in G7";#N/A,#N/A,FALSE,"dia-in G7";#N/A,#N/A,FALSE,"추가-STA G7"}</definedName>
    <definedName name="ASSA" localSheetId="3" hidden="1">{#N/A,#N/A,TRUE,"Cover";#N/A,#N/A,TRUE,"Conts";#N/A,#N/A,TRUE,"VOS";#N/A,#N/A,TRUE,"Warrington";#N/A,#N/A,TRUE,"Widnes"}</definedName>
    <definedName name="asss" localSheetId="3" hidden="1">{#N/A,#N/A,TRUE,"Cover";#N/A,#N/A,TRUE,"Conts";#N/A,#N/A,TRUE,"VOS";#N/A,#N/A,TRUE,"Warrington";#N/A,#N/A,TRUE,"Widnes"}</definedName>
    <definedName name="ATF" localSheetId="3">[0]!QTY*UMH</definedName>
    <definedName name="atrisk_total_net_rent_for_cashflow" localSheetId="3">#REF!</definedName>
    <definedName name="ATS" localSheetId="3">#REF!</definedName>
    <definedName name="AUDCAD" localSheetId="3">#REF!</definedName>
    <definedName name="AuditMemo" localSheetId="3">#REF!</definedName>
    <definedName name="aux" localSheetId="3">#REF!</definedName>
    <definedName name="Base_Qty_DB" localSheetId="3">IF(VLOOKUP(#REF!,DB_PRICING,9,FALSE())=0,0,VLOOKUP(#REF!,DB_PRICING,9,FALSE()))</definedName>
    <definedName name="BDEF" localSheetId="3" hidden="1">{#N/A,#N/A,FALSE,"CAM-G7";#N/A,#N/A,FALSE,"SPL";#N/A,#N/A,FALSE,"butt-in G7";#N/A,#N/A,FALSE,"dia-in G7";#N/A,#N/A,FALSE,"추가-STA G7"}</definedName>
    <definedName name="Biju" localSheetId="3" hidden="1">{#N/A,#N/A,FALSE,"SumG";#N/A,#N/A,FALSE,"ElecG";#N/A,#N/A,FALSE,"MechG";#N/A,#N/A,FALSE,"GeotG";#N/A,#N/A,FALSE,"PrcsG";#N/A,#N/A,FALSE,"TunnG";#N/A,#N/A,FALSE,"CivlG";#N/A,#N/A,FALSE,"NtwkG";#N/A,#N/A,FALSE,"EstgG";#N/A,#N/A,FALSE,"PEngG"}</definedName>
    <definedName name="bob" localSheetId="3" hidden="1">{#N/A,#N/A,TRUE,"Page de garde";#N/A,#N/A,TRUE,"Estimation ingénierie";#N/A,#N/A,TRUE,"Synthése des heures";#N/A,#N/A,TRUE,"Etudes préliminaires";#N/A,#N/A,TRUE,"Avant projet";#N/A,#N/A,TRUE,"Projet";#N/A,#N/A,TRUE,"Approvisionnement";#N/A,#N/A,TRUE,"Construction";#N/A,#N/A,TRUE,"Essais  mise en route"}</definedName>
    <definedName name="bob.bob" localSheetId="3" hidden="1">{#N/A,#N/A,TRUE,"Page de garde";#N/A,#N/A,TRUE,"Estimation ingénierie";#N/A,#N/A,TRUE,"Synthése des heures";#N/A,#N/A,TRUE,"Etudes préliminaires";#N/A,#N/A,TRUE,"Avant projet";#N/A,#N/A,TRUE,"Projet";#N/A,#N/A,TRUE,"Approvisionnement";#N/A,#N/A,TRUE,"Construction";#N/A,#N/A,TRUE,"Essais  mise en route"}</definedName>
    <definedName name="BOP_INS" localSheetId="3">IF(#REF!="INS",VLOOKUP(#REF!,insb,HLOOKUP(#REF!,bop,2)+1,FALSE()),0)</definedName>
    <definedName name="BOP_LAB" localSheetId="3">VLOOKUP(#REF!,boplab,HLOOKUP(#REF!,bop,2),FALSE())+(VLOOKUP(#REF!,boplab,HLOOKUP(#REF!,bop,2)+1,FALSE())-VLOOKUP(#REF!,boplab,HLOOKUP(#REF!,bop,2),FALSE()))*(#REF!-HLOOKUP(#REF!,bop,1))/(HLOOKUP(#REF!+2,bop,1)-HLOOKUP(#REF!,bop,1))</definedName>
    <definedName name="BOP_MAT" localSheetId="3">VLOOKUP(#REF!,bopmat,HLOOKUP(#REF!,bop,2)+1,FALSE())+(VLOOKUP(#REF!,bopmat,HLOOKUP(#REF!,bop,2)+1+1,FALSE())-VLOOKUP(#REF!,bopmat,HLOOKUP(#REF!,bop,2)+1,FALSE()))*(#REF!-HLOOKUP(#REF!,bop,1))</definedName>
    <definedName name="BS" localSheetId="3" hidden="1">{#N/A,#N/A,FALSE,"CAM-G7";#N/A,#N/A,FALSE,"SPL";#N/A,#N/A,FALSE,"butt-in G7";#N/A,#N/A,FALSE,"dia-in G7";#N/A,#N/A,FALSE,"추가-STA G7"}</definedName>
    <definedName name="BSDF" localSheetId="3" hidden="1">{#N/A,#N/A,FALSE,"CAM-G7";#N/A,#N/A,FALSE,"SPL";#N/A,#N/A,FALSE,"butt-in G7";#N/A,#N/A,FALSE,"dia-in G7";#N/A,#N/A,FALSE,"추가-STA G7"}</definedName>
    <definedName name="budget" localSheetId="3">'[1]KEY Data – do not delete –'!#REF!</definedName>
    <definedName name="BudgetOriginal" localSheetId="3">#REF!</definedName>
    <definedName name="BUILDING" localSheetId="3">#REF!</definedName>
    <definedName name="BUILDINGS" localSheetId="3">#REF!</definedName>
    <definedName name="BULKMATERIAL_UNIT_COST" localSheetId="3">#REF!,#REF!,#REF!,#REF!,#REF!,#REF!,#REF!</definedName>
    <definedName name="BULKS80_CITY" localSheetId="3">#REF!</definedName>
    <definedName name="c_margin" localSheetId="3">#REF!</definedName>
    <definedName name="CA" localSheetId="3">#REF!</definedName>
    <definedName name="CA8Ganga" localSheetId="3">#REF!</definedName>
    <definedName name="cal_row" localSheetId="3">RANGE(#REF!,ROW())</definedName>
    <definedName name="Calc_Error" localSheetId="3">#REF!</definedName>
    <definedName name="Calc_OK" localSheetId="3">#REF!</definedName>
    <definedName name="CalcAgencyPrice" localSheetId="3">#REF!</definedName>
    <definedName name="Caldays" localSheetId="3">#REF!,#REF!,#REF!,#REF!,#REF!,#REF!,#REF!,#REF!,#REF!,#REF!,#REF!,#REF!,#REF!,#REF!,#REF!,#REF!,#REF!,#REF!,#REF!,#REF!,#REF!,#REF!,#REF!,#REF!,#REF!,#REF!,#REF!,#REF!,#REF!,#REF!,#REF!,#REF!,#REF!,#REF!,#REF!,#REF!,#REF!</definedName>
    <definedName name="calendarDays" localSheetId="3">#REF!,#REF!,#REF!,#REF!,#REF!,#REF!,#REF!,#REF!,#REF!,#REF!,#REF!,#REF!,#REF!,#REF!,#REF!,#REF!,#REF!,#REF!,#REF!,#REF!,#REF!,#REF!,#REF!,#REF!,#REF!,#REF!,#REF!,#REF!,#REF!,#REF!,#REF!,#REF!,#REF!,#REF!,#REF!,#REF!,#REF!</definedName>
    <definedName name="cashfl" localSheetId="3" hidden="1">{#N/A,#N/A,TRUE,"Cover";#N/A,#N/A,TRUE,"Conts";#N/A,#N/A,TRUE,"VOS";#N/A,#N/A,TRUE,"Warrington";#N/A,#N/A,TRUE,"Widnes"}</definedName>
    <definedName name="CB_VST" localSheetId="3" hidden="1">{#N/A,#N/A,FALSE,"CAM-G7";#N/A,#N/A,FALSE,"SPL";#N/A,#N/A,FALSE,"butt-in G7";#N/A,#N/A,FALSE,"dia-in G7";#N/A,#N/A,FALSE,"추가-STA G7"}</definedName>
    <definedName name="ccc" localSheetId="3" hidden="1">{#N/A,#N/A,FALSE,"SumD";#N/A,#N/A,FALSE,"ElecD";#N/A,#N/A,FALSE,"MechD";#N/A,#N/A,FALSE,"GeotD";#N/A,#N/A,FALSE,"PrcsD";#N/A,#N/A,FALSE,"TunnD";#N/A,#N/A,FALSE,"CivlD";#N/A,#N/A,FALSE,"NtwkD";#N/A,#N/A,FALSE,"EstgD";#N/A,#N/A,FALSE,"PEngD"}</definedName>
    <definedName name="cellsRightOfDay" localSheetId="3">#REF!,#REF!,#REF!,#REF!,#REF!,#REF!,#REF!,#REF!,#REF!,#REF!,#REF!,#REF!,#REF!,#REF!,#REF!,#REF!,#REF!,#REF!,#REF!,#REF!,#REF!,#REF!,#REF!,#REF!,#REF!,#REF!,#REF!,#REF!,#REF!,#REF!,#REF!,#REF!,#REF!,#REF!,#REF!,#REF!,#REF!</definedName>
    <definedName name="celltips_area" localSheetId="3">#REF!</definedName>
    <definedName name="chart1_1ano" localSheetId="3">OFFSET(#REF!,,,MATCH("",#REF!,0)-ROW(#REF!))</definedName>
    <definedName name="chart1_1mes" localSheetId="3">OFFSET(#REF!,,,MATCH("",#REF!,0)-ROW(#REF!))</definedName>
    <definedName name="Civ_Det_Des" localSheetId="3">IF(VLOOKUP(#REF!,price_civil,1,FALSE())=0,0,VLOOKUP(#REF!,price_civil,2,FALSE()))</definedName>
    <definedName name="Civ_Det_Des1" localSheetId="3">IF(VLOOKUP(#REF!,price_civil,1,FALSE())=0,0,VLOOKUP(#REF!,price_civil,2,FALSE()))</definedName>
    <definedName name="Cleaning_List" localSheetId="3">#REF!</definedName>
    <definedName name="CN" localSheetId="3">#REF!</definedName>
    <definedName name="cnpypaint" localSheetId="3">#REF!</definedName>
    <definedName name="CNTL_VALVE" localSheetId="3">#REF!</definedName>
    <definedName name="COMM_UOM" localSheetId="3">#REF!,#REF!,#REF!,#REF!,#REF!,#REF!,#REF!</definedName>
    <definedName name="COMMCODE" localSheetId="3">#REF!,#REF!,#REF!,#REF!,#REF!,#REF!,#REF!</definedName>
    <definedName name="Contract_sum1" localSheetId="3">#REF!</definedName>
    <definedName name="ContractAdministrator" localSheetId="3">#REF!</definedName>
    <definedName name="Contractor" localSheetId="3">#REF!</definedName>
    <definedName name="CORHourlyAdjustment" localSheetId="3">#REF!</definedName>
    <definedName name="Corporate" localSheetId="3">#REF!</definedName>
    <definedName name="CORRoundID" localSheetId="3">#REF!</definedName>
    <definedName name="cost" localSheetId="3" hidden="1">{#N/A,#N/A,TRUE,"Basic";#N/A,#N/A,TRUE,"EXT-TABLE";#N/A,#N/A,TRUE,"STEEL";#N/A,#N/A,TRUE,"INT-Table";#N/A,#N/A,TRUE,"STEEL";#N/A,#N/A,TRUE,"Door"}</definedName>
    <definedName name="COST2" localSheetId="3" hidden="1">{#N/A,#N/A,TRUE,"Basic";#N/A,#N/A,TRUE,"EXT-TABLE";#N/A,#N/A,TRUE,"STEEL";#N/A,#N/A,TRUE,"INT-Table";#N/A,#N/A,TRUE,"STEEL";#N/A,#N/A,TRUE,"Door"}</definedName>
    <definedName name="dada" localSheetId="3" hidden="1">{#N/A,#N/A,TRUE,"Cover";#N/A,#N/A,TRUE,"Conts";#N/A,#N/A,TRUE,"VOS";#N/A,#N/A,TRUE,"Warrington";#N/A,#N/A,TRUE,"Widnes"}</definedName>
    <definedName name="dblookup4analysis" localSheetId="3">dbreferencia&amp;dbano&amp;dbsemana&amp;dbproveedor</definedName>
    <definedName name="dblookup4chart1" localSheetId="3">dbano&amp;dbsemana&amp;dbproveedor&amp;dbreferencia&amp;dbcontrato</definedName>
    <definedName name="dbrwk1" localSheetId="3">#REF!</definedName>
    <definedName name="dbrwk10" localSheetId="3">#REF!</definedName>
    <definedName name="dbrwk11" localSheetId="3">#REF!</definedName>
    <definedName name="ddddd" localSheetId="3" hidden="1">{#N/A,#N/A,FALSE,"SumD";#N/A,#N/A,FALSE,"ElecD";#N/A,#N/A,FALSE,"MechD";#N/A,#N/A,FALSE,"GeotD";#N/A,#N/A,FALSE,"PrcsD";#N/A,#N/A,FALSE,"TunnD";#N/A,#N/A,FALSE,"CivlD";#N/A,#N/A,FALSE,"NtwkD";#N/A,#N/A,FALSE,"EstgD";#N/A,#N/A,FALSE,"PEngD"}</definedName>
    <definedName name="dddddddddddddd" localSheetId="3" hidden="1">{#N/A,#N/A,TRUE,"Basic";#N/A,#N/A,TRUE,"EXT-TABLE";#N/A,#N/A,TRUE,"STEEL";#N/A,#N/A,TRUE,"INT-Table";#N/A,#N/A,TRUE,"STEEL";#N/A,#N/A,TRUE,"Door"}</definedName>
    <definedName name="DelType" localSheetId="3">#REF!</definedName>
    <definedName name="Depth" localSheetId="3">#REF!</definedName>
    <definedName name="deptLookup" localSheetId="3">#REF!</definedName>
    <definedName name="Desc_Cntl_Valves" localSheetId="3">IF(VLOOKUP(#REF!,ConDesIntCert,2,FALSE())=0,0,VLOOKUP(#REF!,ConDesIntCert,2,FALSE()))</definedName>
    <definedName name="Desc_Conduit" localSheetId="3">IF(VLOOKUP(#REF!,ConDesStRetn,2,FALSE())=0,0,VLOOKUP(#REF!,ConDesStRetn,2,FALSE()))</definedName>
    <definedName name="Desc_DB" localSheetId="3">IF(VLOOKUP(#REF!,DELETE,2,FALSE())=0,0,VLOOKUP(#REF!,DELETE,2,FALSE()))</definedName>
    <definedName name="Desc_DB1" localSheetId="3">IF(VLOOKUP(#REF!,DELETE,3,FALSE())=0,0,VLOOKUP(#REF!,DELETE,3,FALSE()))</definedName>
    <definedName name="Desc_MV_Cable" localSheetId="3">IF(VLOOKUP(#REF!,claim,3,FALSE())=0,0,VLOOKUP(#REF!,claim,3,FALSE()))</definedName>
    <definedName name="Desc_Other" localSheetId="3">IF(VLOOKUP(#REF!,PA_CABLE,2,FALSE())=0,0,VLOOKUP(#REF!,PA_CABLE,2,FALSE()))</definedName>
    <definedName name="Desc_Par1_Conduit" localSheetId="3">IF(VLOOKUP(#REF!,ConDesStRetn,3,FALSE())=0,0,VLOOKUP(#REF!,ConDesStRetn,3,FALSE()))</definedName>
    <definedName name="Desc_Par1_DB" localSheetId="3">IF(VLOOKUP(#REF!,DELETE,5,FALSE())=0,0,VLOOKUP(#REF!,DELETE,5,FALSE()))</definedName>
    <definedName name="Desc_Par2_Conduit" localSheetId="3">IF(VLOOKUP(#REF!,ConDesStRetn,4,FALSE())=0,0,VLOOKUP(#REF!,ConDesStRetn,4,FALSE()))</definedName>
    <definedName name="Desc_Par3_DB" localSheetId="3">IF(VLOOKUP(#REF!,DELETE,6,FALSE())=0,0,VLOOKUP(#REF!,DELETE,6,FALSE()))</definedName>
    <definedName name="Desc_Par6_DB" localSheetId="3">IF(VLOOKUP(#REF!,DELETE,7,FALSE())=0,0,VLOOKUP(#REF!,DELETE,7,FALSE()))</definedName>
    <definedName name="Desc_Tray" localSheetId="3">IF(VLOOKUP(#REF!,TSD,3,FALSE())=0,0,VLOOKUP(#REF!,TSD,3,FALSE()))</definedName>
    <definedName name="Desc1_Conduit" localSheetId="3">IF(VLOOKUP(#REF!,ConDesStRetn,2,FALSE())=0,0,VLOOKUP(#REF!,ConDesStRetn,2,FALSE()))</definedName>
    <definedName name="Desc1_MV_Cable" localSheetId="3">IF(VLOOKUP(#REF!,claim,2,FALSE())=0,0,VLOOKUP(#REF!,claim,2,FALSE()))</definedName>
    <definedName name="Desc1_Other" localSheetId="3">IF(VLOOKUP(#REF!,PA_CABLE,2,FALSE())=0,0,VLOOKUP(#REF!,PA_CABLE,2,FALSE()))</definedName>
    <definedName name="Desc1_Par1_Conduit" localSheetId="3">IF(VLOOKUP(#REF!,ConDesStRetn,3,FALSE())=0,0,VLOOKUP(#REF!,ConDesStRetn,3,FALSE()))</definedName>
    <definedName name="Desc1_Tray" localSheetId="3">IF(VLOOKUP(#REF!,TSD,3,FALSE())=0,0,VLOOKUP(#REF!,TSD,3,FALSE()))</definedName>
    <definedName name="Desc2_MV_Cable" localSheetId="3">IF(VLOOKUP(#REF!,claim,3,FALSE())=0,0,VLOOKUP(#REF!,claim,3,FALSE()))</definedName>
    <definedName name="Desc2_Par2_Conduit" localSheetId="3">IF(VLOOKUP(#REF!,ConDesStRetn,4,FALSE())=0,0,VLOOKUP(#REF!,ConDesStRetn,4,FALSE()))</definedName>
    <definedName name="DESCRIPTION" localSheetId="3">#REF!,#REF!,#REF!,#REF!,#REF!,#REF!,#REF!</definedName>
    <definedName name="DESCRIPTION2" localSheetId="3">#REF!,#REF!,#REF!,#REF!,#REF!,#REF!,#REF!</definedName>
    <definedName name="dfdg" localSheetId="3" hidden="1">{#N/A,#N/A,FALSE,"골재소요량";#N/A,#N/A,FALSE,"골재소요량"}</definedName>
    <definedName name="dfffff" localSheetId="3" hidden="1">{#N/A,#N/A,FALSE,"SumG";#N/A,#N/A,FALSE,"ElecG";#N/A,#N/A,FALSE,"MechG";#N/A,#N/A,FALSE,"GeotG";#N/A,#N/A,FALSE,"PrcsG";#N/A,#N/A,FALSE,"TunnG";#N/A,#N/A,FALSE,"CivlG";#N/A,#N/A,FALSE,"NtwkG";#N/A,#N/A,FALSE,"EstgG";#N/A,#N/A,FALSE,"PEngG"}</definedName>
    <definedName name="DFK" localSheetId="3" hidden="1">{#N/A,#N/A,FALSE,"전력간선"}</definedName>
    <definedName name="dgfd" localSheetId="3" hidden="1">{#N/A,#N/A,FALSE,"SumG";#N/A,#N/A,FALSE,"ElecG";#N/A,#N/A,FALSE,"MechG";#N/A,#N/A,FALSE,"GeotG";#N/A,#N/A,FALSE,"PrcsG";#N/A,#N/A,FALSE,"TunnG";#N/A,#N/A,FALSE,"CivlG";#N/A,#N/A,FALSE,"NtwkG";#N/A,#N/A,FALSE,"EstgG";#N/A,#N/A,FALSE,"PEngG"}</definedName>
    <definedName name="dhdfh" localSheetId="3" hidden="1">{#N/A,#N/A,FALSE,"물량산출"}</definedName>
    <definedName name="dhdghh" localSheetId="3" hidden="1">{#N/A,#N/A,FALSE,"포장2"}</definedName>
    <definedName name="dhdhfh" localSheetId="3" hidden="1">{#N/A,#N/A,FALSE,"물량산출"}</definedName>
    <definedName name="dhd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fdh" localSheetId="3" hidden="1">{#N/A,#N/A,FALSE,"운반시간"}</definedName>
    <definedName name="dhghdh" localSheetId="3" hidden="1">{#N/A,#N/A,FALSE,"갑지";#N/A,#N/A,FALSE,"개요";#N/A,#N/A,FALSE,"비목별";#N/A,#N/A,FALSE,"건물별";#N/A,#N/A,FALSE,"기구표";#N/A,#N/A,FALSE,"직원투입"}</definedName>
    <definedName name="dhghjhg" localSheetId="3" hidden="1">{#N/A,#N/A,FALSE,"물량산출"}</definedName>
    <definedName name="d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IM" localSheetId="3" hidden="1">{#N/A,#N/A,FALSE,"CAM-G7";#N/A,#N/A,FALSE,"SPL";#N/A,#N/A,FALSE,"butt-in G7";#N/A,#N/A,FALSE,"dia-in G7";#N/A,#N/A,FALSE,"추가-STA G7"}</definedName>
    <definedName name="DIRECTHIRE_LABOR_UNIT_HOURS" localSheetId="3">#REF!,#REF!,#REF!,#REF!,#REF!,#REF!,#REF!</definedName>
    <definedName name="DIRECTHIRE_WAGE_RATE" localSheetId="3">#REF!,#REF!,#REF!,#REF!,#REF!,#REF!,#REF!</definedName>
    <definedName name="djhdgjd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gjghj" localSheetId="3" hidden="1">{#N/A,#N/A,FALSE,"2~8번"}</definedName>
    <definedName name="djhk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 localSheetId="3" hidden="1">{#N/A,#N/A,FALSE,"혼합골재"}</definedName>
    <definedName name="doorsill" localSheetId="3">#REF!,#REF!,#REF!</definedName>
    <definedName name="dP_INST" localSheetId="3">#REF!</definedName>
    <definedName name="DSA" localSheetId="3" hidden="1">{#N/A,#N/A,FALSE,"물량산출"}</definedName>
    <definedName name="dsd" localSheetId="3" hidden="1">{#N/A,#N/A,FALSE,"포장1";#N/A,#N/A,FALSE,"포장1"}</definedName>
    <definedName name="Duration1" localSheetId="3">#REF!</definedName>
    <definedName name="DV_area_0" localSheetId="3">#REF!</definedName>
    <definedName name="DV_area_1" localSheetId="3">#REF!</definedName>
    <definedName name="dvbgf" localSheetId="3" hidden="1">{#N/A,#N/A,FALSE,"SumD";#N/A,#N/A,FALSE,"ElecD";#N/A,#N/A,FALSE,"MechD";#N/A,#N/A,FALSE,"GeotD";#N/A,#N/A,FALSE,"PrcsD";#N/A,#N/A,FALSE,"TunnD";#N/A,#N/A,FALSE,"CivlD";#N/A,#N/A,FALSE,"NtwkD";#N/A,#N/A,FALSE,"EstgD";#N/A,#N/A,FALSE,"PEngD"}</definedName>
    <definedName name="Ele" localSheetId="3" hidden="1">{"'Break down'!$A$4"}</definedName>
    <definedName name="EmbedQty" localSheetId="3">IF(Bitumen=1,#REF!*#REF!,#REF!*#REF!/1.685552931)</definedName>
    <definedName name="EmbedQty1" localSheetId="3">IF(Bitumen=1,#REF!*#REF!,#REF!*#REF!/1.685552931)</definedName>
    <definedName name="Eng_Hrs" localSheetId="3">#REF!</definedName>
    <definedName name="Eng_Rev" localSheetId="3">#REF!</definedName>
    <definedName name="Engineer" localSheetId="3">#REF!</definedName>
    <definedName name="er" localSheetId="3" hidden="1">{#N/A,#N/A,FALSE,"SumG";#N/A,#N/A,FALSE,"ElecG";#N/A,#N/A,FALSE,"MechG";#N/A,#N/A,FALSE,"GeotG";#N/A,#N/A,FALSE,"PrcsG";#N/A,#N/A,FALSE,"TunnG";#N/A,#N/A,FALSE,"CivlG";#N/A,#N/A,FALSE,"NtwkG";#N/A,#N/A,FALSE,"EstgG";#N/A,#N/A,FALSE,"PEngG"}</definedName>
    <definedName name="eryrte" localSheetId="3" hidden="1">{#N/A,#N/A,FALSE,"속도"}</definedName>
    <definedName name="estimateb" localSheetId="3" hidden="1">{#N/A,#N/A,TRUE,"Cover";#N/A,#N/A,TRUE,"Conts";#N/A,#N/A,TRUE,"VOS";#N/A,#N/A,TRUE,"Warrington";#N/A,#N/A,TRUE,"Widnes"}</definedName>
    <definedName name="etgewt" localSheetId="3" hidden="1">{#N/A,#N/A,FALSE,"CAM-G7";#N/A,#N/A,FALSE,"SPL";#N/A,#N/A,FALSE,"butt-in G7";#N/A,#N/A,FALSE,"dia-in G7";#N/A,#N/A,FALSE,"추가-STA G7"}</definedName>
    <definedName name="etrytwe" localSheetId="3" hidden="1">{#N/A,#N/A,FALSE,"CAM-G7";#N/A,#N/A,FALSE,"SPL";#N/A,#N/A,FALSE,"butt-in G7";#N/A,#N/A,FALSE,"dia-in G7";#N/A,#N/A,FALSE,"추가-STA G7"}</definedName>
    <definedName name="etwrtwt" localSheetId="3" hidden="1">{#N/A,#N/A,FALSE,"물량산출"}</definedName>
    <definedName name="ewtewtew" localSheetId="3" hidden="1">{#N/A,#N/A,FALSE,"CAM-G7";#N/A,#N/A,FALSE,"SPL";#N/A,#N/A,FALSE,"butt-in G7";#N/A,#N/A,FALSE,"dia-in G7";#N/A,#N/A,FALSE,"추가-STA G7"}</definedName>
    <definedName name="ewtw453wt" localSheetId="3" hidden="1">{#N/A,#N/A,FALSE,"토공2"}</definedName>
    <definedName name="eXCLUSIONS" localSheetId="3" hidden="1">{#N/A,#N/A,TRUE,"Cover";#N/A,#N/A,TRUE,"Conts";#N/A,#N/A,TRUE,"VOS";#N/A,#N/A,TRUE,"Warrington";#N/A,#N/A,TRUE,"Widnes"}</definedName>
    <definedName name="eytryerety" localSheetId="3" hidden="1">{#N/A,#N/A,FALSE,"배수2"}</definedName>
    <definedName name="fasfsdfsdfasdfsdfsd" localSheetId="3" hidden="1">{#N/A,#N/A,TRUE,"Basic";#N/A,#N/A,TRUE,"EXT-TABLE";#N/A,#N/A,TRUE,"STEEL";#N/A,#N/A,TRUE,"INT-Table";#N/A,#N/A,TRUE,"STEEL";#N/A,#N/A,TRUE,"Door"}</definedName>
    <definedName name="fd" localSheetId="3" hidden="1">{#N/A,#N/A,FALSE,"표지목차"}</definedName>
    <definedName name="fdff" localSheetId="3" hidden="1">{#N/A,#N/A,FALSE,"SumG";#N/A,#N/A,FALSE,"ElecG";#N/A,#N/A,FALSE,"MechG";#N/A,#N/A,FALSE,"GeotG";#N/A,#N/A,FALSE,"PrcsG";#N/A,#N/A,FALSE,"TunnG";#N/A,#N/A,FALSE,"CivlG";#N/A,#N/A,FALSE,"NtwkG";#N/A,#N/A,FALSE,"EstgG";#N/A,#N/A,FALSE,"PEngG"}</definedName>
    <definedName name="fdghdfhg" localSheetId="3" hidden="1">{#N/A,#N/A,FALSE,"2~8번"}</definedName>
    <definedName name="fdhdh" localSheetId="3" hidden="1">{#N/A,#N/A,FALSE,"갑지";#N/A,#N/A,FALSE,"개요";#N/A,#N/A,FALSE,"비목별";#N/A,#N/A,FALSE,"건물별";#N/A,#N/A,FALSE,"기구표";#N/A,#N/A,FALSE,"직원투입"}</definedName>
    <definedName name="fdhfdh" localSheetId="3" hidden="1">{#N/A,#N/A,FALSE,"운반시간"}</definedName>
    <definedName name="fdhghdfh" localSheetId="3" hidden="1">{#N/A,#N/A,FALSE,"물량산출"}</definedName>
    <definedName name="FDSA" localSheetId="3" hidden="1">{#N/A,#N/A,FALSE,"물량산출"}</definedName>
    <definedName name="fdsfsd" localSheetId="3" hidden="1">{#N/A,#N/A,FALSE,"갑지";#N/A,#N/A,FALSE,"개요";#N/A,#N/A,FALSE,"비목별";#N/A,#N/A,FALSE,"건물별";#N/A,#N/A,FALSE,"기구표";#N/A,#N/A,FALSE,"직원투입"}</definedName>
    <definedName name="FeedNEG" localSheetId="3">OFFSET(#REF!,0,0,COUNTA(#REF!)-1)</definedName>
    <definedName name="fffff" localSheetId="3" hidden="1">{#N/A,#N/A,TRUE,"Basic";#N/A,#N/A,TRUE,"EXT-TABLE";#N/A,#N/A,TRUE,"STEEL";#N/A,#N/A,TRUE,"INT-Table";#N/A,#N/A,TRUE,"STEEL";#N/A,#N/A,TRUE,"Door"}</definedName>
    <definedName name="ffffffffffffffffffffffffff" localSheetId="3">IF(#REF!="INS",VLOOKUP(#REF!,insb,HLOOKUP(#REF!,bop,2)+1,FALSE()),0)</definedName>
    <definedName name="FFR" localSheetId="3">#REF!</definedName>
    <definedName name="fg" localSheetId="3" hidden="1">{#N/A,#N/A,FALSE,"SumG";#N/A,#N/A,FALSE,"ElecG";#N/A,#N/A,FALSE,"MechG";#N/A,#N/A,FALSE,"GeotG";#N/A,#N/A,FALSE,"PrcsG";#N/A,#N/A,FALSE,"TunnG";#N/A,#N/A,FALSE,"CivlG";#N/A,#N/A,FALSE,"NtwkG";#N/A,#N/A,FALSE,"EstgG";#N/A,#N/A,FALSE,"PEngG"}</definedName>
    <definedName name="fgfdg" localSheetId="3" hidden="1">{#N/A,#N/A,FALSE,"SumG";#N/A,#N/A,FALSE,"ElecG";#N/A,#N/A,FALSE,"MechG";#N/A,#N/A,FALSE,"GeotG";#N/A,#N/A,FALSE,"PrcsG";#N/A,#N/A,FALSE,"TunnG";#N/A,#N/A,FALSE,"CivlG";#N/A,#N/A,FALSE,"NtwkG";#N/A,#N/A,FALSE,"EstgG";#N/A,#N/A,FALSE,"PEngG"}</definedName>
    <definedName name="FGFG" localSheetId="3" hidden="1">{#N/A,#N/A,FALSE,"CAM-G7";#N/A,#N/A,FALSE,"SPL";#N/A,#N/A,FALSE,"butt-in G7";#N/A,#N/A,FALSE,"dia-in G7";#N/A,#N/A,FALSE,"추가-STA G7"}</definedName>
    <definedName name="fghfg" localSheetId="3"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jhgfj" localSheetId="3" hidden="1">{#N/A,#N/A,FALSE,"CAM-G7";#N/A,#N/A,FALSE,"SPL";#N/A,#N/A,FALSE,"butt-in G7";#N/A,#N/A,FALSE,"dia-in G7";#N/A,#N/A,FALSE,"추가-STA G7"}</definedName>
    <definedName name="fhff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jgfjhg" localSheetId="3" hidden="1">{#N/A,#N/A,FALSE,"CAM-G7";#N/A,#N/A,FALSE,"SPL";#N/A,#N/A,FALSE,"butt-in G7";#N/A,#N/A,FALSE,"dia-in G7";#N/A,#N/A,FALSE,"추가-STA G7"}</definedName>
    <definedName name="FJDKS" localSheetId="3" hidden="1">{#N/A,#N/A,FALSE,"골재소요량";#N/A,#N/A,FALSE,"골재소요량"}</definedName>
    <definedName name="fjfgh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 localSheetId="3" hidden="1">{#N/A,#N/A,FALSE,"물량산출"}</definedName>
    <definedName name="fjfgjfg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hjf" localSheetId="3" hidden="1">{#N/A,#N/A,FALSE,"CAM-G7";#N/A,#N/A,FALSE,"SPL";#N/A,#N/A,FALSE,"butt-in G7";#N/A,#N/A,FALSE,"dia-in G7";#N/A,#N/A,FALSE,"추가-STA G7"}</definedName>
    <definedName name="fjfjfj" localSheetId="3" hidden="1">{#N/A,#N/A,FALSE,"CAM-G7";#N/A,#N/A,FALSE,"SPL";#N/A,#N/A,FALSE,"butt-in G7";#N/A,#N/A,FALSE,"dia-in G7";#N/A,#N/A,FALSE,"추가-STA G7"}</definedName>
    <definedName name="fjhgjghj" localSheetId="3" hidden="1">{#N/A,#N/A,FALSE,"CAM-G7";#N/A,#N/A,FALSE,"SPL";#N/A,#N/A,FALSE,"butt-in G7";#N/A,#N/A,FALSE,"dia-in G7";#N/A,#N/A,FALSE,"추가-STA G7"}</definedName>
    <definedName name="fjhjf" localSheetId="3" hidden="1">{#N/A,#N/A,FALSE,"CAM-G7";#N/A,#N/A,FALSE,"SPL";#N/A,#N/A,FALSE,"butt-in G7";#N/A,#N/A,FALSE,"dia-in G7";#N/A,#N/A,FALSE,"추가-STA G7"}</definedName>
    <definedName name="fjhjfgh" localSheetId="3" hidden="1">{#N/A,#N/A,FALSE,"CAM-G7";#N/A,#N/A,FALSE,"SPL";#N/A,#N/A,FALSE,"butt-in G7";#N/A,#N/A,FALSE,"dia-in G7";#N/A,#N/A,FALSE,"추가-STA G7"}</definedName>
    <definedName name="fjhjfgj" localSheetId="3" hidden="1">{#N/A,#N/A,FALSE,"혼합골재"}</definedName>
    <definedName name="fjhjfj" localSheetId="3" hidden="1">{#N/A,#N/A,FALSE,"CAM-G7";#N/A,#N/A,FALSE,"SPL";#N/A,#N/A,FALSE,"butt-in G7";#N/A,#N/A,FALSE,"dia-in G7";#N/A,#N/A,FALSE,"추가-STA G7"}</definedName>
    <definedName name="fjhjghjf" localSheetId="3" hidden="1">{#N/A,#N/A,FALSE,"운반시간"}</definedName>
    <definedName name="FKJKDSA" localSheetId="3" hidden="1">{#N/A,#N/A,FALSE,"골재소요량";#N/A,#N/A,FALSE,"골재소요량"}</definedName>
    <definedName name="Footer" localSheetId="3">IF(#REF!=GE,"GE","ST")</definedName>
    <definedName name="FormQty" localSheetId="3">IF(Bitumen=1,#REF!*#REF!,#REF!*#REF!/8.2296)</definedName>
    <definedName name="FormQty1" localSheetId="3">IF(Bitumen=1,#REF!*#REF!,#REF!*#REF!/8.2296)</definedName>
    <definedName name="FORMULA_ELECT" localSheetId="3">#REF!</definedName>
    <definedName name="FOS" localSheetId="3">#REF!</definedName>
    <definedName name="FPR" localSheetId="3">#REF!</definedName>
    <definedName name="fre" localSheetId="3" hidden="1">{#N/A,#N/A,TRUE,"Cover";#N/A,#N/A,TRUE,"Conts";#N/A,#N/A,TRUE,"VOS";#N/A,#N/A,TRUE,"Warrington";#N/A,#N/A,TRUE,"Widnes"}</definedName>
    <definedName name="fsda" localSheetId="3" hidden="1">{#N/A,#N/A,TRUE,"Basic";#N/A,#N/A,TRUE,"EXT-TABLE";#N/A,#N/A,TRUE,"STEEL";#N/A,#N/A,TRUE,"INT-Table";#N/A,#N/A,TRUE,"STEEL";#N/A,#N/A,TRUE,"Door"}</definedName>
    <definedName name="GFA" localSheetId="3">#REF!</definedName>
    <definedName name="gfdgfdg" localSheetId="3" hidden="1">{#N/A,#N/A,FALSE,"SumD";#N/A,#N/A,FALSE,"ElecD";#N/A,#N/A,FALSE,"MechD";#N/A,#N/A,FALSE,"GeotD";#N/A,#N/A,FALSE,"PrcsD";#N/A,#N/A,FALSE,"TunnD";#N/A,#N/A,FALSE,"CivlD";#N/A,#N/A,FALSE,"NtwkD";#N/A,#N/A,FALSE,"EstgD";#N/A,#N/A,FALSE,"PEngD"}</definedName>
    <definedName name="gfgfgfgfg" localSheetId="3" hidden="1">{#N/A,#N/A,FALSE,"SumD";#N/A,#N/A,FALSE,"ElecD";#N/A,#N/A,FALSE,"MechD";#N/A,#N/A,FALSE,"GeotD";#N/A,#N/A,FALSE,"PrcsD";#N/A,#N/A,FALSE,"TunnD";#N/A,#N/A,FALSE,"CivlD";#N/A,#N/A,FALSE,"NtwkD";#N/A,#N/A,FALSE,"EstgD";#N/A,#N/A,FALSE,"PEngD"}</definedName>
    <definedName name="gfgfgfgss" localSheetId="3" hidden="1">{#N/A,#N/A,FALSE,"SumG";#N/A,#N/A,FALSE,"ElecG";#N/A,#N/A,FALSE,"MechG";#N/A,#N/A,FALSE,"GeotG";#N/A,#N/A,FALSE,"PrcsG";#N/A,#N/A,FALSE,"TunnG";#N/A,#N/A,FALSE,"CivlG";#N/A,#N/A,FALSE,"NtwkG";#N/A,#N/A,FALSE,"EstgG";#N/A,#N/A,FALSE,"PEngG"}</definedName>
    <definedName name="gfkjghk" localSheetId="3" hidden="1">{#N/A,#N/A,FALSE,"골재소요량";#N/A,#N/A,FALSE,"골재소요량"}</definedName>
    <definedName name="gg" localSheetId="3" hidden="1">{#N/A,#N/A,FALSE,"SumG";#N/A,#N/A,FALSE,"ElecG";#N/A,#N/A,FALSE,"MechG";#N/A,#N/A,FALSE,"GeotG";#N/A,#N/A,FALSE,"PrcsG";#N/A,#N/A,FALSE,"TunnG";#N/A,#N/A,FALSE,"CivlG";#N/A,#N/A,FALSE,"NtwkG";#N/A,#N/A,FALSE,"EstgG";#N/A,#N/A,FALSE,"PEngG"}</definedName>
    <definedName name="gggg" localSheetId="3" hidden="1">{#N/A,#N/A,FALSE,"SumD";#N/A,#N/A,FALSE,"ElecD";#N/A,#N/A,FALSE,"MechD";#N/A,#N/A,FALSE,"GeotD";#N/A,#N/A,FALSE,"PrcsD";#N/A,#N/A,FALSE,"TunnD";#N/A,#N/A,FALSE,"CivlD";#N/A,#N/A,FALSE,"NtwkD";#N/A,#N/A,FALSE,"EstgD";#N/A,#N/A,FALSE,"PEngD"}</definedName>
    <definedName name="ggk" localSheetId="3" hidden="1">{#N/A,#N/A,FALSE,"물량산출"}</definedName>
    <definedName name="ghdhdh" localSheetId="3" hidden="1">{#N/A,#N/A,FALSE,"표지목차"}</definedName>
    <definedName name="GHDW" localSheetId="3" hidden="1">{#N/A,#N/A,FALSE,"CAM-G7";#N/A,#N/A,FALSE,"SPL";#N/A,#N/A,FALSE,"butt-in G7";#N/A,#N/A,FALSE,"dia-in G7";#N/A,#N/A,FALSE,"추가-STA G7"}</definedName>
    <definedName name="ghfjfgh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gg" localSheetId="3" hidden="1">{#N/A,#N/A,FALSE,"SumG";#N/A,#N/A,FALSE,"ElecG";#N/A,#N/A,FALSE,"MechG";#N/A,#N/A,FALSE,"GeotG";#N/A,#N/A,FALSE,"PrcsG";#N/A,#N/A,FALSE,"TunnG";#N/A,#N/A,FALSE,"CivlG";#N/A,#N/A,FALSE,"NtwkG";#N/A,#N/A,FALSE,"EstgG";#N/A,#N/A,FALSE,"PEngG"}</definedName>
    <definedName name="ghh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j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hgk" localSheetId="3" hidden="1">{#N/A,#N/A,FALSE,"물량산출"}</definedName>
    <definedName name="gkjk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gkgk" localSheetId="3" hidden="1">{#N/A,#N/A,FALSE,"전력간선"}</definedName>
    <definedName name="gWEG" localSheetId="3" hidden="1">{#N/A,#N/A,TRUE,"Cover";#N/A,#N/A,TRUE,"Conts";#N/A,#N/A,TRUE,"VOS";#N/A,#N/A,TRUE,"Warrington";#N/A,#N/A,TRUE,"Widnes"}</definedName>
    <definedName name="GWEGTew" localSheetId="3" hidden="1">{#N/A,#N/A,TRUE,"Cover";#N/A,#N/A,TRUE,"Conts";#N/A,#N/A,TRUE,"VOS";#N/A,#N/A,TRUE,"Warrington";#N/A,#N/A,TRUE,"Widnes"}</definedName>
    <definedName name="hello" localSheetId="3">#REF!</definedName>
    <definedName name="HEQ_9712" localSheetId="3">#REF!</definedName>
    <definedName name="here2" localSheetId="3">#REF!</definedName>
    <definedName name="histMonth" localSheetId="3">OFFSET(OFFSET(#REF!,1,0),,,#REF!)</definedName>
    <definedName name="histPrecio" localSheetId="3">OFFSET(OFFSET(#REF!,1,0),,,#REF!)</definedName>
    <definedName name="hjghjf" localSheetId="3" hidden="1">{#N/A,#N/A,FALSE,"표지목차"}</definedName>
    <definedName name="hjkghk"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mghj" localSheetId="3" hidden="1">{#N/A,#N/A,FALSE,"물량산출"}</definedName>
    <definedName name="hkdjdjh" localSheetId="3" hidden="1">{#N/A,#N/A,FALSE,"물량산출"}</definedName>
    <definedName name="HOIST기초" localSheetId="3" hidden="1">{#N/A,#N/A,FALSE,"물량산출"}</definedName>
    <definedName name="holidays" localSheetId="3">OFFSET(#REF!,1,0,COUNTA(#REF!),1)</definedName>
    <definedName name="HTML_Control" localSheetId="3" hidden="1">{"'Break down'!$A$4"}</definedName>
    <definedName name="iuouio" localSheetId="3" hidden="1">{#N/A,#N/A,FALSE,"물량산출"}</definedName>
    <definedName name="jdjhdj" localSheetId="3" hidden="1">{#N/A,#N/A,FALSE,"CAM-G7";#N/A,#N/A,FALSE,"SPL";#N/A,#N/A,FALSE,"butt-in G7";#N/A,#N/A,FALSE,"dia-in G7";#N/A,#N/A,FALSE,"추가-STA G7"}</definedName>
    <definedName name="jfhgjf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djf" localSheetId="3" hidden="1">{#N/A,#N/A,FALSE,"골재소요량";#N/A,#N/A,FALSE,"골재소요량"}</definedName>
    <definedName name="jghjgj" localSheetId="3" hidden="1">{#N/A,#N/A,FALSE,"물량산출"}</definedName>
    <definedName name="jghkg" localSheetId="3" hidden="1">{#N/A,#N/A,FALSE,"갑지";#N/A,#N/A,FALSE,"개요";#N/A,#N/A,FALSE,"비목별";#N/A,#N/A,FALSE,"건물별";#N/A,#N/A,FALSE,"기구표";#N/A,#N/A,FALSE,"직원투입"}</definedName>
    <definedName name="jh" localSheetId="3" hidden="1">{#N/A,#N/A,FALSE,"SumG";#N/A,#N/A,FALSE,"ElecG";#N/A,#N/A,FALSE,"MechG";#N/A,#N/A,FALSE,"GeotG";#N/A,#N/A,FALSE,"PrcsG";#N/A,#N/A,FALSE,"TunnG";#N/A,#N/A,FALSE,"CivlG";#N/A,#N/A,FALSE,"NtwkG";#N/A,#N/A,FALSE,"EstgG";#N/A,#N/A,FALSE,"PEngG"}</definedName>
    <definedName name="jhfgjfj" localSheetId="3" hidden="1">{#N/A,#N/A,FALSE,"CAM-G7";#N/A,#N/A,FALSE,"SPL";#N/A,#N/A,FALSE,"butt-in G7";#N/A,#N/A,FALSE,"dia-in G7";#N/A,#N/A,FALSE,"추가-STA G7"}</definedName>
    <definedName name="jhgfjfgjj" localSheetId="3" hidden="1">{#N/A,#N/A,FALSE,"운반시간"}</definedName>
    <definedName name="jhgjghj" localSheetId="3" hidden="1">{#N/A,#N/A,FALSE,"물량산출"}</definedName>
    <definedName name="jhkhgf" localSheetId="3" hidden="1">{#N/A,#N/A,FALSE,"갑지";#N/A,#N/A,FALSE,"개요";#N/A,#N/A,FALSE,"비목별";#N/A,#N/A,FALSE,"건물별";#N/A,#N/A,FALSE,"기구표";#N/A,#N/A,FALSE,"직원투입"}</definedName>
    <definedName name="jhkkg" localSheetId="3" hidden="1">{#N/A,#N/A,FALSE,"물량산출"}</definedName>
    <definedName name="jj" localSheetId="3" hidden="1">{#N/A,#N/A,TRUE,"Page de garde";#N/A,#N/A,TRUE,"Estimation ingénierie";#N/A,#N/A,TRUE,"Synthése des heures";#N/A,#N/A,TRUE,"Etudes préliminaires";#N/A,#N/A,TRUE,"Avant projet";#N/A,#N/A,TRUE,"Projet";#N/A,#N/A,TRUE,"Approvisionnement";#N/A,#N/A,TRUE,"Construction";#N/A,#N/A,TRUE,"Essais  mise en route"}</definedName>
    <definedName name="JK" localSheetId="3" hidden="1">{#N/A,#N/A,FALSE,"SumG";#N/A,#N/A,FALSE,"ElecG";#N/A,#N/A,FALSE,"MechG";#N/A,#N/A,FALSE,"GeotG";#N/A,#N/A,FALSE,"PrcsG";#N/A,#N/A,FALSE,"TunnG";#N/A,#N/A,FALSE,"CivlG";#N/A,#N/A,FALSE,"NtwkG";#N/A,#N/A,FALSE,"EstgG";#N/A,#N/A,FALSE,"PEngG"}</definedName>
    <definedName name="jkghk" localSheetId="3" hidden="1">{#N/A,#N/A,FALSE,"물량산출"}</definedName>
    <definedName name="jkhkh" localSheetId="3" hidden="1">{#N/A,#N/A,FALSE,"물량산출"}</definedName>
    <definedName name="jkj" localSheetId="3" hidden="1">{#N/A,#N/A,FALSE,"골재소요량";#N/A,#N/A,FALSE,"골재소요량"}</definedName>
    <definedName name="jytej" localSheetId="3" hidden="1">{#N/A,#N/A,FALSE,"갑지";#N/A,#N/A,FALSE,"개요";#N/A,#N/A,FALSE,"비목별";#N/A,#N/A,FALSE,"건물별";#N/A,#N/A,FALSE,"기구표";#N/A,#N/A,FALSE,"직원투입"}</definedName>
    <definedName name="kdhjdh" localSheetId="3" hidden="1">{#N/A,#N/A,FALSE,"단가표지"}</definedName>
    <definedName name="kfjdfjdj" localSheetId="3" hidden="1">{#N/A,#N/A,FALSE,"CAM-G7";#N/A,#N/A,FALSE,"SPL";#N/A,#N/A,FALSE,"butt-in G7";#N/A,#N/A,FALSE,"dia-in G7";#N/A,#N/A,FALSE,"추가-STA G7"}</definedName>
    <definedName name="khfgjsdj" localSheetId="3" hidden="1">{#N/A,#N/A,FALSE,"혼합골재"}</definedName>
    <definedName name="khgkhg" localSheetId="3" hidden="1">{#N/A,#N/A,FALSE,"물량산출"}</definedName>
    <definedName name="kjghfkj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djs" localSheetId="3" hidden="1">{#N/A,#N/A,FALSE,"CAM-G7";#N/A,#N/A,FALSE,"SPL";#N/A,#N/A,FALSE,"butt-in G7";#N/A,#N/A,FALSE,"dia-in G7";#N/A,#N/A,FALSE,"추가-STA G7"}</definedName>
    <definedName name="kjhgfdjdj" localSheetId="3" hidden="1">{#N/A,#N/A,FALSE,"물량산출"}</definedName>
    <definedName name="kjhkhk" localSheetId="3" hidden="1">{#N/A,#N/A,FALSE,"갑지";#N/A,#N/A,FALSE,"개요";#N/A,#N/A,FALSE,"비목별";#N/A,#N/A,FALSE,"건물별";#N/A,#N/A,FALSE,"기구표";#N/A,#N/A,FALSE,"직원투입"}</definedName>
    <definedName name="kjhkj" localSheetId="3" hidden="1">{#N/A,#N/A,FALSE,"SumG";#N/A,#N/A,FALSE,"ElecG";#N/A,#N/A,FALSE,"MechG";#N/A,#N/A,FALSE,"GeotG";#N/A,#N/A,FALSE,"PrcsG";#N/A,#N/A,FALSE,"TunnG";#N/A,#N/A,FALSE,"CivlG";#N/A,#N/A,FALSE,"NtwkG";#N/A,#N/A,FALSE,"EstgG";#N/A,#N/A,FALSE,"PEngG"}</definedName>
    <definedName name="kk" localSheetId="3">#REF!</definedName>
    <definedName name="KKK" localSheetId="3">#REF!</definedName>
    <definedName name="kloc" localSheetId="3">#REF!</definedName>
    <definedName name="Korean" localSheetId="3">#REF!,#REF!,#REF!,#REF!,#REF!,#REF!,#REF!,#REF!,#REF!</definedName>
    <definedName name="KSUB" localSheetId="3">#REF!</definedName>
    <definedName name="lcost" localSheetId="3">[0]!TMH*[0]!ulcost</definedName>
    <definedName name="lean" localSheetId="3">#REF!</definedName>
    <definedName name="LeanConcrete" localSheetId="3">#REF!</definedName>
    <definedName name="LeaveDays" localSheetId="3">#REF!</definedName>
    <definedName name="list" localSheetId="3" hidden="1">{#N/A,#N/A,TRUE,"Basic";#N/A,#N/A,TRUE,"EXT-TABLE";#N/A,#N/A,TRUE,"STEEL";#N/A,#N/A,TRUE,"INT-Table";#N/A,#N/A,TRUE,"STEEL";#N/A,#N/A,TRUE,"Door"}</definedName>
    <definedName name="list01" localSheetId="3" hidden="1">{#N/A,#N/A,TRUE,"Basic";#N/A,#N/A,TRUE,"EXT-TABLE";#N/A,#N/A,TRUE,"STEEL";#N/A,#N/A,TRUE,"INT-Table";#N/A,#N/A,TRUE,"STEEL";#N/A,#N/A,TRUE,"Door"}</definedName>
    <definedName name="lkjljl" localSheetId="3" hidden="1">{#N/A,#N/A,FALSE,"혼합골재"}</definedName>
    <definedName name="LKL" localSheetId="3" hidden="1">{#N/A,#N/A,FALSE,"SumG";#N/A,#N/A,FALSE,"ElecG";#N/A,#N/A,FALSE,"MechG";#N/A,#N/A,FALSE,"GeotG";#N/A,#N/A,FALSE,"PrcsG";#N/A,#N/A,FALSE,"TunnG";#N/A,#N/A,FALSE,"CivlG";#N/A,#N/A,FALSE,"NtwkG";#N/A,#N/A,FALSE,"EstgG";#N/A,#N/A,FALSE,"PEngG"}</definedName>
    <definedName name="lllll" localSheetId="3" hidden="1">{#N/A,#N/A,FALSE,"Pricing";#N/A,#N/A,FALSE,"Summary";#N/A,#N/A,FALSE,"CompProd";#N/A,#N/A,FALSE,"CompJobhrs";#N/A,#N/A,FALSE,"Escalation";#N/A,#N/A,FALSE,"Contingency";#N/A,#N/A,FALSE,"GM";#N/A,#N/A,FALSE,"CompWage";#N/A,#N/A,FALSE,"costSum"}</definedName>
    <definedName name="LookPump" localSheetId="3">IF(VLOOKUP(#REF!,LTG_PWR_EQUIP,2)="HELP","HELP",VLOOKUP(#REF!,LTG_PWR_EQUIP,2))</definedName>
    <definedName name="LookPump1" localSheetId="3">IF(VLOOKUP(#REF!,LTG_PWR_EQUIP,2)="HELP","HELP",VLOOKUP(#REF!,LTG_PWR_EQUIP,2))</definedName>
    <definedName name="mm" localSheetId="3" hidden="1">{#N/A,#N/A,TRUE,"Page de garde";#N/A,#N/A,TRUE,"Estimation ingénierie";#N/A,#N/A,TRUE,"Synthése des heures";#N/A,#N/A,TRUE,"Etudes préliminaires";#N/A,#N/A,TRUE,"Avant projet";#N/A,#N/A,TRUE,"Projet";#N/A,#N/A,TRUE,"Approvisionnement";#N/A,#N/A,TRUE,"Construction";#N/A,#N/A,TRUE,"Essais  mise en route"}</definedName>
    <definedName name="momo" localSheetId="3" hidden="1">{#N/A,#N/A,TRUE,"Page de garde";#N/A,#N/A,TRUE,"Estimation ingénierie";#N/A,#N/A,TRUE,"Synthése des heures";#N/A,#N/A,TRUE,"Etudes préliminaires";#N/A,#N/A,TRUE,"Avant projet";#N/A,#N/A,TRUE,"Projet";#N/A,#N/A,TRUE,"Approvisionnement";#N/A,#N/A,TRUE,"Construction";#N/A,#N/A,TRUE,"Essais  mise en route"}</definedName>
    <definedName name="MOVE1" localSheetId="3">#REF!,#REF!</definedName>
    <definedName name="MOVE2" localSheetId="3">#REF!,#REF!</definedName>
    <definedName name="MOVE3" localSheetId="3">#REF!,#REF!</definedName>
    <definedName name="NegativeFeedback" localSheetId="3">OFFSET(#REF!,0,0,COUNTA(#REF!)-1)</definedName>
    <definedName name="nego검토"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3">#REF!</definedName>
    <definedName name="Newfoundland" localSheetId="3">#REF!</definedName>
    <definedName name="newnew" localSheetId="3">#REF!</definedName>
    <definedName name="nn" localSheetId="3" hidden="1">{#N/A,#N/A,TRUE,"Page de garde";#N/A,#N/A,TRUE,"Estimation ingénierie";#N/A,#N/A,TRUE,"Synthése des heures";#N/A,#N/A,TRUE,"Etudes préliminaires";#N/A,#N/A,TRUE,"Avant projet";#N/A,#N/A,TRUE,"Projet";#N/A,#N/A,TRUE,"Approvisionnement";#N/A,#N/A,TRUE,"Construction";#N/A,#N/A,TRUE,"Essais  mise en route"}</definedName>
    <definedName name="nnn" localSheetId="3" hidden="1">{#N/A,#N/A,FALSE,"SumD";#N/A,#N/A,FALSE,"ElecD";#N/A,#N/A,FALSE,"MechD";#N/A,#N/A,FALSE,"GeotD";#N/A,#N/A,FALSE,"PrcsD";#N/A,#N/A,FALSE,"TunnD";#N/A,#N/A,FALSE,"CivlD";#N/A,#N/A,FALSE,"NtwkD";#N/A,#N/A,FALSE,"EstgD";#N/A,#N/A,FALSE,"PEngD"}</definedName>
    <definedName name="nnnnn" localSheetId="3" hidden="1">{#N/A,#N/A,FALSE,"SumG";#N/A,#N/A,FALSE,"ElecG";#N/A,#N/A,FALSE,"MechG";#N/A,#N/A,FALSE,"GeotG";#N/A,#N/A,FALSE,"PrcsG";#N/A,#N/A,FALSE,"TunnG";#N/A,#N/A,FALSE,"CivlG";#N/A,#N/A,FALSE,"NtwkG";#N/A,#N/A,FALSE,"EstgG";#N/A,#N/A,FALSE,"PEngG"}</definedName>
    <definedName name="OSBL" localSheetId="3" hidden="1">{"'장비'!$A$3:$M$12"}</definedName>
    <definedName name="OSBL1" localSheetId="3" hidden="1">{"'장비'!$A$3:$M$12"}</definedName>
    <definedName name="OTHERS" localSheetId="3" hidden="1">{"'장비'!$A$3:$M$12"}</definedName>
    <definedName name="PD점검구관련" localSheetId="3" hidden="1">{#N/A,#N/A,FALSE,"물량산출"}</definedName>
    <definedName name="PositiveFeedback" localSheetId="3">OFFSET(#REF!,0,0,COUNTA(#REF!)-1)</definedName>
    <definedName name="price" localSheetId="3">'[1]KEY Data – do not delete –'!#REF!</definedName>
    <definedName name="Price_Acoust._Ceil" localSheetId="3">#REF!</definedName>
    <definedName name="Price_Block" localSheetId="3">#REF!</definedName>
    <definedName name="Price_Brick" localSheetId="3">#REF!</definedName>
    <definedName name="PrintTotal" localSheetId="3">#REF!</definedName>
    <definedName name="PRJ_CODE" localSheetId="3">#REF!</definedName>
    <definedName name="PRJ_ELBK_CST_EDITBY" localSheetId="3">#REF!</definedName>
    <definedName name="qqqq" localSheetId="3" hidden="1">{"'장비'!$A$3:$M$12"}</definedName>
    <definedName name="qqqqq" localSheetId="3" hidden="1">{#N/A,#N/A,TRUE,"Basic";#N/A,#N/A,TRUE,"EXT-TABLE";#N/A,#N/A,TRUE,"STEEL";#N/A,#N/A,TRUE,"INT-Table";#N/A,#N/A,TRUE,"STEEL";#N/A,#N/A,TRUE,"Door"}</definedName>
    <definedName name="qr" localSheetId="3" hidden="1">{#N/A,#N/A,TRUE,"Cover";#N/A,#N/A,TRUE,"Conts";#N/A,#N/A,TRUE,"VOS";#N/A,#N/A,TRUE,"Warrington";#N/A,#N/A,TRUE,"Widnes"}</definedName>
    <definedName name="QTY" localSheetId="3">input</definedName>
    <definedName name="Qty." localSheetId="3">#REF!</definedName>
    <definedName name="Qty_1" localSheetId="3">#REF!</definedName>
    <definedName name="Qty_Ceiling" localSheetId="3">#REF!</definedName>
    <definedName name="Qty_Cntl_Valves" localSheetId="3">ROUND(IF(VLOOKUP(#REF!,ConDesIntCert,9,FALSE())=0,0,VLOOKUP(#REF!,ConDesIntCert,9,FALSE())),0)</definedName>
    <definedName name="QUANTITY" localSheetId="3">#REF!,#REF!,#REF!,#REF!,#REF!,#REF!,#REF!</definedName>
    <definedName name="Quotation" localSheetId="3">#REF!</definedName>
    <definedName name="qw" localSheetId="3">IF(VLOOKUP(#REF!,claim,16,FALSE())=0,0,VLOOKUP(#REF!,claim,16,FALSE()))</definedName>
    <definedName name="raj" localSheetId="3">#REF!</definedName>
    <definedName name="Rate" localSheetId="3">#REF!</definedName>
    <definedName name="Rate_Lookup" localSheetId="3">#REF!</definedName>
    <definedName name="Rate_Rank" localSheetId="3">#REF!</definedName>
    <definedName name="RebarQty" localSheetId="3">IF(Bitumen=1,(#REF!*#REF!)/2000,(#REF!*#REF!)/1685.552931)</definedName>
    <definedName name="RebarQty1" localSheetId="3">IF(Bitumen=1,(#REF!*#REF!)/2000,(#REF!*#REF!)/1685.552931)</definedName>
    <definedName name="RECEPT" localSheetId="3">#REF!</definedName>
    <definedName name="_xlnm.Recorder" localSheetId="3">#REF!</definedName>
    <definedName name="RED" localSheetId="3">#REF!</definedName>
    <definedName name="reeyte" localSheetId="3" hidden="1">{#N/A,#N/A,FALSE,"배수1"}</definedName>
    <definedName name="retert" localSheetId="3" hidden="1">{#N/A,#N/A,FALSE,"조골재"}</definedName>
    <definedName name="retetet" localSheetId="3" hidden="1">{#N/A,#N/A,FALSE,"CAM-G7";#N/A,#N/A,FALSE,"SPL";#N/A,#N/A,FALSE,"butt-in G7";#N/A,#N/A,FALSE,"dia-in G7";#N/A,#N/A,FALSE,"추가-STA G7"}</definedName>
    <definedName name="retewt" localSheetId="3" hidden="1">{#N/A,#N/A,FALSE,"CAM-G7";#N/A,#N/A,FALSE,"SPL";#N/A,#N/A,FALSE,"butt-in G7";#N/A,#N/A,FALSE,"dia-in G7";#N/A,#N/A,FALSE,"추가-STA G7"}</definedName>
    <definedName name="reytryert" localSheetId="3" hidden="1">{#N/A,#N/A,FALSE,"단가표지"}</definedName>
    <definedName name="reyyrteyw" localSheetId="3" hidden="1">{#N/A,#N/A,FALSE,"2~8번"}</definedName>
    <definedName name="RFP002_CIVIL_FC" localSheetId="3">#REF!</definedName>
    <definedName name="RFP002_CIVIL_LC" localSheetId="3">#REF!</definedName>
    <definedName name="RFP002_ELEC_FC" localSheetId="3">#REF!</definedName>
    <definedName name="rr" localSheetId="3" hidden="1">{#N/A,#N/A,FALSE,"SumD";#N/A,#N/A,FALSE,"ElecD";#N/A,#N/A,FALSE,"MechD";#N/A,#N/A,FALSE,"GeotD";#N/A,#N/A,FALSE,"PrcsD";#N/A,#N/A,FALSE,"TunnD";#N/A,#N/A,FALSE,"CivlD";#N/A,#N/A,FALSE,"NtwkD";#N/A,#N/A,FALSE,"EstgD";#N/A,#N/A,FALSE,"PEngD"}</definedName>
    <definedName name="RSRC" localSheetId="3">#REF!</definedName>
    <definedName name="rter" localSheetId="3" hidden="1">{#N/A,#N/A,FALSE,"물량산출"}</definedName>
    <definedName name="rtwt" localSheetId="3" hidden="1">{#N/A,#N/A,FALSE,"물량산출"}</definedName>
    <definedName name="rtyr4" localSheetId="3" hidden="1">{#N/A,#N/A,FALSE,"혼합골재"}</definedName>
    <definedName name="rtytryery" localSheetId="3" hidden="1">{#N/A,#N/A,FALSE,"구조2"}</definedName>
    <definedName name="sadas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 localSheetId="3" hidden="1">{#N/A,#N/A,FALSE,"물량산출"}</definedName>
    <definedName name="safas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caffolding" localSheetId="3" hidden="1">{"'Break down'!$A$4"}</definedName>
    <definedName name="scarce" localSheetId="3" hidden="1">{#N/A,#N/A,FALSE,"Summary";#N/A,#N/A,FALSE,"3TJ";#N/A,#N/A,FALSE,"3TN";#N/A,#N/A,FALSE,"3TP";#N/A,#N/A,FALSE,"3SJ";#N/A,#N/A,FALSE,"3CJ";#N/A,#N/A,FALSE,"3CN";#N/A,#N/A,FALSE,"3CP";#N/A,#N/A,FALSE,"3A"}</definedName>
    <definedName name="sd" localSheetId="3" hidden="1">{#N/A,#N/A,FALSE,"SumG";#N/A,#N/A,FALSE,"ElecG";#N/A,#N/A,FALSE,"MechG";#N/A,#N/A,FALSE,"GeotG";#N/A,#N/A,FALSE,"PrcsG";#N/A,#N/A,FALSE,"TunnG";#N/A,#N/A,FALSE,"CivlG";#N/A,#N/A,FALSE,"NtwkG";#N/A,#N/A,FALSE,"EstgG";#N/A,#N/A,FALSE,"PEngG"}</definedName>
    <definedName name="SDFE" localSheetId="3" hidden="1">{#N/A,#N/A,FALSE,"CAM-G7";#N/A,#N/A,FALSE,"SPL";#N/A,#N/A,FALSE,"butt-in G7";#N/A,#N/A,FALSE,"dia-in G7";#N/A,#N/A,FALSE,"추가-STA G7"}</definedName>
    <definedName name="sds" localSheetId="3" hidden="1">{#N/A,#N/A,FALSE,"포장2"}</definedName>
    <definedName name="SEC___INCIDENT" localSheetId="3">#REF!</definedName>
    <definedName name="Services_FM" localSheetId="3">#REF!</definedName>
    <definedName name="Services2" localSheetId="3" hidden="1">{#N/A,#N/A,FALSE,"Pricing";#N/A,#N/A,FALSE,"Summary";#N/A,#N/A,FALSE,"CompProd";#N/A,#N/A,FALSE,"CompJobhrs";#N/A,#N/A,FALSE,"Escalation";#N/A,#N/A,FALSE,"Contingency";#N/A,#N/A,FALSE,"GM";#N/A,#N/A,FALSE,"CompWage";#N/A,#N/A,FALSE,"costSum"}</definedName>
    <definedName name="sfas" localSheetId="3" hidden="1">{#N/A,#N/A,FALSE,"골재소요량";#N/A,#N/A,FALSE,"골재소요량"}</definedName>
    <definedName name="sffff" localSheetId="3" hidden="1">{#N/A,#N/A,FALSE,"SumD";#N/A,#N/A,FALSE,"ElecD";#N/A,#N/A,FALSE,"MechD";#N/A,#N/A,FALSE,"GeotD";#N/A,#N/A,FALSE,"PrcsD";#N/A,#N/A,FALSE,"TunnD";#N/A,#N/A,FALSE,"CivlD";#N/A,#N/A,FALSE,"NtwkD";#N/A,#N/A,FALSE,"EstgD";#N/A,#N/A,FALSE,"PEngD"}</definedName>
    <definedName name="sfsafas" localSheetId="3" hidden="1">{#N/A,#N/A,FALSE,"물량산출"}</definedName>
    <definedName name="sgsg" localSheetId="3" hidden="1">{#N/A,#N/A,FALSE,"CAM-G7";#N/A,#N/A,FALSE,"SPL";#N/A,#N/A,FALSE,"butt-in G7";#N/A,#N/A,FALSE,"dia-in G7";#N/A,#N/A,FALSE,"추가-STA G7"}</definedName>
    <definedName name="sgsrgr" localSheetId="3" hidden="1">{#N/A,#N/A,FALSE,"물량산출"}</definedName>
    <definedName name="sheet1" localSheetId="3" hidden="1">{#N/A,#N/A,FALSE,"SumD";#N/A,#N/A,FALSE,"ElecD";#N/A,#N/A,FALSE,"MechD";#N/A,#N/A,FALSE,"GeotD";#N/A,#N/A,FALSE,"PrcsD";#N/A,#N/A,FALSE,"TunnD";#N/A,#N/A,FALSE,"CivlD";#N/A,#N/A,FALSE,"NtwkD";#N/A,#N/A,FALSE,"EstgD";#N/A,#N/A,FALSE,"PEngD"}</definedName>
    <definedName name="shjhj" localSheetId="3" hidden="1">{#N/A,#N/A,FALSE,"CAM-G7";#N/A,#N/A,FALSE,"SPL";#N/A,#N/A,FALSE,"butt-in G7";#N/A,#N/A,FALSE,"dia-in G7";#N/A,#N/A,FALSE,"추가-STA G7"}</definedName>
    <definedName name="shs" localSheetId="3" hidden="1">{#N/A,#N/A,FALSE,"CAM-G7";#N/A,#N/A,FALSE,"SPL";#N/A,#N/A,FALSE,"butt-in G7";#N/A,#N/A,FALSE,"dia-in G7";#N/A,#N/A,FALSE,"추가-STA G7"}</definedName>
    <definedName name="SPEC_1" localSheetId="3">#REF!</definedName>
    <definedName name="SPEC_10" localSheetId="3">#REF!</definedName>
    <definedName name="SPEC_11" localSheetId="3">#REF!</definedName>
    <definedName name="SS" localSheetId="3" hidden="1">{#N/A,#N/A,FALSE,"CAM-G7";#N/A,#N/A,FALSE,"SPL";#N/A,#N/A,FALSE,"butt-in G7";#N/A,#N/A,FALSE,"dia-in G7";#N/A,#N/A,FALSE,"추가-STA G7"}</definedName>
    <definedName name="ssshhh" localSheetId="3" hidden="1">{#N/A,#N/A,FALSE,"SumG";#N/A,#N/A,FALSE,"ElecG";#N/A,#N/A,FALSE,"MechG";#N/A,#N/A,FALSE,"GeotG";#N/A,#N/A,FALSE,"PrcsG";#N/A,#N/A,FALSE,"TunnG";#N/A,#N/A,FALSE,"CivlG";#N/A,#N/A,FALSE,"NtwkG";#N/A,#N/A,FALSE,"EstgG";#N/A,#N/A,FALSE,"PEngG"}</definedName>
    <definedName name="sssss" localSheetId="3" hidden="1">{#N/A,#N/A,FALSE,"SumD";#N/A,#N/A,FALSE,"ElecD";#N/A,#N/A,FALSE,"MechD";#N/A,#N/A,FALSE,"GeotD";#N/A,#N/A,FALSE,"PrcsD";#N/A,#N/A,FALSE,"TunnD";#N/A,#N/A,FALSE,"CivlD";#N/A,#N/A,FALSE,"NtwkD";#N/A,#N/A,FALSE,"EstgD";#N/A,#N/A,FALSE,"PEngD"}</definedName>
    <definedName name="structures" localSheetId="3" hidden="1">{#N/A,#N/A,FALSE,"SumD";#N/A,#N/A,FALSE,"ElecD";#N/A,#N/A,FALSE,"MechD";#N/A,#N/A,FALSE,"GeotD";#N/A,#N/A,FALSE,"PrcsD";#N/A,#N/A,FALSE,"TunnD";#N/A,#N/A,FALSE,"CivlD";#N/A,#N/A,FALSE,"NtwkD";#N/A,#N/A,FALSE,"EstgD";#N/A,#N/A,FALSE,"PEngD"}</definedName>
    <definedName name="SUBCONTRACT_MTRL_UNIT_COST" localSheetId="3">#REF!,#REF!,#REF!,#REF!,#REF!,#REF!,#REF!</definedName>
    <definedName name="Submission" localSheetId="3">#REF!</definedName>
    <definedName name="TA" localSheetId="3" hidden="1">{#N/A,#N/A,FALSE,"CAM-G7";#N/A,#N/A,FALSE,"SPL";#N/A,#N/A,FALSE,"butt-in G7";#N/A,#N/A,FALSE,"dia-in G7";#N/A,#N/A,FALSE,"추가-STA G7"}</definedName>
    <definedName name="Taxes" localSheetId="3">#REF!</definedName>
    <definedName name="tbarri" localSheetId="3">#REF!</definedName>
    <definedName name="Tbc" localSheetId="3">#REF!</definedName>
    <definedName name="TC" localSheetId="3">'QIC_ Actual_UP'!QTY*unit</definedName>
    <definedName name="tcant" localSheetId="3">#REF!</definedName>
    <definedName name="tcpdp" localSheetId="3">#REF!</definedName>
    <definedName name="TC임대" localSheetId="3" hidden="1">{#N/A,#N/A,FALSE,"물량산출"}</definedName>
    <definedName name="temp" localSheetId="3">#REF!,#REF!,#REF!,#REF!,#REF!</definedName>
    <definedName name="temp_strainer" localSheetId="3">#REF!</definedName>
    <definedName name="test" localSheetId="3" hidden="1">{#N/A,#N/A,FALSE,"Pricing";#N/A,#N/A,FALSE,"Summary";#N/A,#N/A,FALSE,"CompProd";#N/A,#N/A,FALSE,"CompJobhrs";#N/A,#N/A,FALSE,"Escalation";#N/A,#N/A,FALSE,"Contingency";#N/A,#N/A,FALSE,"GM";#N/A,#N/A,FALSE,"CompWage";#N/A,#N/A,FALSE,"costSum"}</definedName>
    <definedName name="TMH" localSheetId="3">'QIC_ Actual_UP'!QTY*UMH</definedName>
    <definedName name="tmp" localSheetId="3" hidden="1">{"'Break down'!$A$4"}</definedName>
    <definedName name="Tray_Width" localSheetId="3">IF(VLOOKUP(#REF!,TSD,2,FALSE())=0,0,VLOOKUP(#REF!,TSD,2,FALSE()))</definedName>
    <definedName name="Tray1_Width" localSheetId="3">IF(VLOOKUP(#REF!,TSD,2,FALSE())=0,0,VLOOKUP(#REF!,TSD,2,FALSE()))</definedName>
    <definedName name="tretew" localSheetId="3" hidden="1">{#N/A,#N/A,FALSE,"CAM-G7";#N/A,#N/A,FALSE,"SPL";#N/A,#N/A,FALSE,"butt-in G7";#N/A,#N/A,FALSE,"dia-in G7";#N/A,#N/A,FALSE,"추가-STA G7"}</definedName>
    <definedName name="tw4t3" localSheetId="3" hidden="1">{#N/A,#N/A,FALSE,"포장2"}</definedName>
    <definedName name="tweterwt" localSheetId="3" hidden="1">{#N/A,#N/A,FALSE,"CAM-G7";#N/A,#N/A,FALSE,"SPL";#N/A,#N/A,FALSE,"butt-in G7";#N/A,#N/A,FALSE,"dia-in G7";#N/A,#N/A,FALSE,"추가-STA G7"}</definedName>
    <definedName name="twetewt" localSheetId="3" hidden="1">{#N/A,#N/A,FALSE,"물량산출"}</definedName>
    <definedName name="twetwet" localSheetId="3" hidden="1">{#N/A,#N/A,FALSE,"전력간선"}</definedName>
    <definedName name="twetwetw" localSheetId="3" hidden="1">{#N/A,#N/A,FALSE,"물량산출"}</definedName>
    <definedName name="twetwt" localSheetId="3" hidden="1">{#N/A,#N/A,FALSE,"구조1"}</definedName>
    <definedName name="twwt" localSheetId="3" hidden="1">{#N/A,#N/A,FALSE,"단가표지"}</definedName>
    <definedName name="Type" localSheetId="3">'[1]2.Meeting Minutes'!#REF!</definedName>
    <definedName name="U" localSheetId="3">#REF!</definedName>
    <definedName name="U_G" localSheetId="3">#REF!</definedName>
    <definedName name="UHrs_Civil" localSheetId="3">IF(VLOOKUP(#REF!,'QIC_ Actual_UP'!_xlnm.Print_Area,9,FALSE())=0,0,VLOOKUP(#REF!,'QIC_ Actual_UP'!_xlnm.Print_Area,9,FALSE()))</definedName>
    <definedName name="Uhrs_Cntl_Valves" localSheetId="3">ROUND(IF(VLOOKUP(#REF!,ConDesIntCert,12,FALSE())=0,0,VLOOKUP(#REF!,ConDesIntCert,12,FALSE())),2)</definedName>
    <definedName name="UHrs_Conduit" localSheetId="3">IF(VLOOKUP(#REF!,ConDesStRetn,12,FALSE())=0,0,VLOOKUP(#REF!,ConDesStRetn,12,FALSE()))</definedName>
    <definedName name="Uhrs_DB" localSheetId="3">IF(VLOOKUP(#REF!,DELETE,12,FALSE())=0,0,VLOOKUP(#REF!,DELETE,12,FALSE()))</definedName>
    <definedName name="UHrs_MV_Cable" localSheetId="3">IF(VLOOKUP(#REF!,claim,10,FALSE())=0,0,VLOOKUP(#REF!,claim,10,FALSE()))</definedName>
    <definedName name="UHrs_Other" localSheetId="3">IF(VLOOKUP(#REF!,PA_CABLE,10,FALSE())=0,0,VLOOKUP(#REF!,PA_CABLE,10,FALSE()))</definedName>
    <definedName name="UHrs_tray" localSheetId="3">IF(VLOOKUP(#REF!,TSD,14,FALSE())=0,0,VLOOKUP(#REF!,TSD,14,FALSE()))</definedName>
    <definedName name="Uhrs1_Civil" localSheetId="3">IF(VLOOKUP(#REF!,'QIC_ Actual_UP'!_xlnm.Print_Area,9,FALSE())=0,0,VLOOKUP(#REF!,'QIC_ Actual_UP'!_xlnm.Print_Area,9,FALSE()))</definedName>
    <definedName name="UHrs1_Conduit" localSheetId="3">IF(VLOOKUP(#REF!,ConDesStRetn,10,FALSE())=0,0,VLOOKUP(#REF!,ConDesStRetn,10,FALSE()))</definedName>
    <definedName name="UHrs1_MV_Cable" localSheetId="3">IF(VLOOKUP(#REF!,claim,10,FALSE())=0,0,VLOOKUP(#REF!,claim,10,FALSE()))</definedName>
    <definedName name="UHrs1_Other" localSheetId="3">IF(VLOOKUP(#REF!,PA_CABLE,10,FALSE())=0,0,VLOOKUP(#REF!,PA_CABLE,10,FALSE()))</definedName>
    <definedName name="UHrs1_tray" localSheetId="3">IF(VLOOKUP(#REF!,TSD,12,FALSE())=0,0,VLOOKUP(#REF!,TSD,12,FALSE()))</definedName>
    <definedName name="uj" localSheetId="3" hidden="1">{#N/A,#N/A,FALSE,"SumG";#N/A,#N/A,FALSE,"ElecG";#N/A,#N/A,FALSE,"MechG";#N/A,#N/A,FALSE,"GeotG";#N/A,#N/A,FALSE,"PrcsG";#N/A,#N/A,FALSE,"TunnG";#N/A,#N/A,FALSE,"CivlG";#N/A,#N/A,FALSE,"NtwkG";#N/A,#N/A,FALSE,"EstgG";#N/A,#N/A,FALSE,"PEngG"}</definedName>
    <definedName name="ulcost" localSheetId="3">#REF!-#REF!</definedName>
    <definedName name="ULD" localSheetId="3">#REF!</definedName>
    <definedName name="ululyulu"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atl_Civil" localSheetId="3">IF(VLOOKUP(#REF!,'QIC_ Actual_UP'!_xlnm.Print_Area,7,FALSE())=0,0,VLOOKUP(#REF!,'QIC_ Actual_UP'!_xlnm.Print_Area,7,FALSE()))</definedName>
    <definedName name="UMatl_Cntl_Valves" localSheetId="3">ROUND(IF(VLOOKUP(#REF!,ConDesIntCert,10,FALSE())=0,0,VLOOKUP(#REF!,ConDesIntCert,10,FALSE())),-2)</definedName>
    <definedName name="UMatl_Conduit" localSheetId="3">IF(VLOOKUP(#REF!,ConDesStRetn,11,FALSE())=0,0,VLOOKUP(#REF!,ConDesStRetn,11,FALSE()))</definedName>
    <definedName name="UMatl_DB" localSheetId="3">IF(VLOOKUP(#REF!,DELETE,11,FALSE())=0,0,VLOOKUP(#REF!,DELETE,11,FALSE()))</definedName>
    <definedName name="UMatl_MV_Cable" localSheetId="3">IF(VLOOKUP(#REF!,claim,9,FALSE())=0,0,VLOOKUP(#REF!,claim,9,FALSE()))</definedName>
    <definedName name="UMatl_Other" localSheetId="3">IF(VLOOKUP(#REF!,PA_CABLE,9,FALSE())=0,0,VLOOKUP(#REF!,PA_CABLE,9,FALSE()))</definedName>
    <definedName name="UMatl_Tray" localSheetId="3">IF(VLOOKUP(#REF!,TSD,13,FALSE())=0,0,VLOOKUP(#REF!,TSD,13,FALSE()))</definedName>
    <definedName name="UMatl1_Civil" localSheetId="3">IF(VLOOKUP(#REF!,'QIC_ Actual_UP'!_xlnm.Print_Area,7,FALSE())=0,0,VLOOKUP(#REF!,'QIC_ Actual_UP'!_xlnm.Print_Area,7,FALSE()))</definedName>
    <definedName name="UMatl1_Conduit" localSheetId="3">IF(VLOOKUP(#REF!,ConDesStRetn,9,FALSE())=0,0,VLOOKUP(#REF!,ConDesStRetn,9,FALSE()))</definedName>
    <definedName name="UMatl1_MV_Cable" localSheetId="3">IF(VLOOKUP(#REF!,claim,9,FALSE())=0,0,VLOOKUP(#REF!,claim,9,FALSE()))</definedName>
    <definedName name="UMatl1_Other" localSheetId="3">IF(VLOOKUP(#REF!,PA_CABLE,9,FALSE())=0,0,VLOOKUP(#REF!,PA_CABLE,9,FALSE()))</definedName>
    <definedName name="UMatl1_Tray" localSheetId="3">IF(VLOOKUP(#REF!,TSD,11,FALSE())=0,0,VLOOKUP(#REF!,TSD,11,FALSE()))</definedName>
    <definedName name="UNIT1" localSheetId="3">IF([0]!USC_MV_Cable=1,VLOOKUP(#REF!,CumulativePercentCompletion,3),VLOOKUP(#REF!,CumulativePercentCompletion,4))</definedName>
    <definedName name="unitname" localSheetId="3">#REF!</definedName>
    <definedName name="unspsc" localSheetId="3">'[1]KEY Data – do not delete –'!#REF!</definedName>
    <definedName name="UOM" localSheetId="3">#REF!</definedName>
    <definedName name="UPDATE" localSheetId="3">#REF!</definedName>
    <definedName name="uppipeabt" localSheetId="3">#REF!</definedName>
    <definedName name="US_C_Civil" localSheetId="3">IF(VLOOKUP(#REF!,'QIC_ Actual_UP'!_xlnm.Print_Area,8,FALSE())=0,0,VLOOKUP(#REF!,'QIC_ Actual_UP'!_xlnm.Print_Area,8,FALSE()))</definedName>
    <definedName name="US_C1_Civil" localSheetId="3">IF(VLOOKUP(#REF!,'QIC_ Actual_UP'!_xlnm.Print_Area,8)=0,0,VLOOKUP(#REF!,'QIC_ Actual_UP'!_xlnm.Print_Area,8))</definedName>
    <definedName name="USC_Cntl_Valves" localSheetId="3">ROUND(IF(VLOOKUP(#REF!,ConDesIntCert,11,FALSE())=0,0,VLOOKUP(#REF!,ConDesIntCert,11,FALSE())),0)</definedName>
    <definedName name="USC_Conduit" localSheetId="3">ROUND(IF(VLOOKUP(#REF!,ConDesStRetn,19,FALSE())=0,0,VLOOKUP(#REF!,ConDesStRetn,19,FALSE())),0)</definedName>
    <definedName name="USC_DB" localSheetId="3">ROUND(IF(VLOOKUP(#REF!,DELETE,17,FALSE())=0,0,VLOOKUP(#REF!,DELETE,17,FALSE())),0)</definedName>
    <definedName name="USC_MV_Cable" localSheetId="3">ROUND(IF(VLOOKUP(#REF!,claim,15,FALSE())=0,0,VLOOKUP(#REF!,claim,15,FALSE())),0)</definedName>
    <definedName name="USC_Other" localSheetId="3">ROUND(IF(VLOOKUP(#REF!,PA_CABLE,15,FALSE())=0,0,VLOOKUP(#REF!,PA_CABLE,15,FALSE())),0)</definedName>
    <definedName name="USC_Tray" localSheetId="3">ROUND(IF(VLOOKUP(#REF!,TSD,21,FALSE())=0,0,VLOOKUP(#REF!,TSD,21,FALSE())),0)</definedName>
    <definedName name="USC1_Conduit" localSheetId="3">ROUND(IF(VLOOKUP(#REF!,ConDesStRetn,15,FALSE())=0,0,VLOOKUP(#REF!,ConDesStRetn,15,FALSE())),0)</definedName>
    <definedName name="USC1_MV_Cable" localSheetId="3">ROUND(IF(VLOOKUP(#REF!,claim,15,FALSE())=0,0,VLOOKUP(#REF!,claim,15,FALSE())),0)</definedName>
    <definedName name="USC1_Other" localSheetId="3">ROUND(IF(VLOOKUP(#REF!,PA_CABLE,15,FALSE())=0,0,VLOOKUP(#REF!,PA_CABLE,15,FALSE())),0)</definedName>
    <definedName name="USC1_Tray" localSheetId="3">ROUND(IF(VLOOKUP(#REF!,TSD,17,FALSE())=0,0,VLOOKUP(#REF!,TSD,17,FALSE())),0)</definedName>
    <definedName name="USCHrs_Civil" localSheetId="3">IF(VLOOKUP(#REF!,'QIC_ Actual_UP'!_xlnm.Print_Area,10,FALSE())=0,0,VLOOKUP(#REF!,'QIC_ Actual_UP'!_xlnm.Print_Area,10,FALSE()))</definedName>
    <definedName name="USChrs_Cntl_Valves" localSheetId="3">ROUND(IF(VLOOKUP(#REF!,ConDesIntCert,13,FALSE())=0,0,VLOOKUP(#REF!,ConDesIntCert,13,FALSE())),2)</definedName>
    <definedName name="USChrs_Conduit" localSheetId="3">IF(VLOOKUP(#REF!,ConDesStRetn,18,FALSE())=0,0,VLOOKUP(#REF!,ConDesStRetn,18,FALSE()))</definedName>
    <definedName name="USChrs_DB" localSheetId="3">ROUND(IF(VLOOKUP(#REF!,DELETE,18,FALSE())=0,0,VLOOKUP(#REF!,DELETE,18,FALSE())),2)</definedName>
    <definedName name="USChrs_MV_Cable" localSheetId="3">IF(VLOOKUP(#REF!,claim,16,FALSE())=0,0,VLOOKUP(#REF!,claim,16,FALSE()))</definedName>
    <definedName name="USChrs_Other" localSheetId="3">IF(VLOOKUP(#REF!,PA_CABLE,16,FALSE())=0,0,VLOOKUP(#REF!,PA_CABLE,16,FALSE()))</definedName>
    <definedName name="USChrs_tray" localSheetId="3">IF(VLOOKUP(#REF!,TSD,20,FALSE())=0,0,VLOOKUP(#REF!,TSD,20,FALSE()))</definedName>
    <definedName name="USChrs1_Civil" localSheetId="3">IF(VLOOKUP(#REF!,'QIC_ Actual_UP'!_xlnm.Print_Area,10,FALSE())=0,0,VLOOKUP(#REF!,'QIC_ Actual_UP'!_xlnm.Print_Area,10,FALSE()))</definedName>
    <definedName name="USChrs1_Conduit" localSheetId="3">IF(VLOOKUP(#REF!,ConDesStRetn,16,FALSE())=0,0,VLOOKUP(#REF!,ConDesStRetn,16,FALSE()))</definedName>
    <definedName name="USChrs1_MV_Cable" localSheetId="3">IF(VLOOKUP(#REF!,claim,16,FALSE())=0,0,VLOOKUP(#REF!,claim,16,FALSE()))</definedName>
    <definedName name="USChrs1_Other" localSheetId="3">IF(VLOOKUP(#REF!,PA_CABLE,16,FALSE())=0,0,VLOOKUP(#REF!,PA_CABLE,16,FALSE()))</definedName>
    <definedName name="USChrs1_tray" localSheetId="3">IF(VLOOKUP(#REF!,TSD,18,FALSE())=0,0,VLOOKUP(#REF!,TSD,18,FALSE()))</definedName>
    <definedName name="Variation" localSheetId="3" hidden="1">{#N/A,#N/A,FALSE,"SumD";#N/A,#N/A,FALSE,"ElecD";#N/A,#N/A,FALSE,"MechD";#N/A,#N/A,FALSE,"GeotD";#N/A,#N/A,FALSE,"PrcsD";#N/A,#N/A,FALSE,"TunnD";#N/A,#N/A,FALSE,"CivlD";#N/A,#N/A,FALSE,"NtwkD";#N/A,#N/A,FALSE,"EstgD";#N/A,#N/A,FALSE,"PEngD"}</definedName>
    <definedName name="VCA" localSheetId="3">'QIC_ Actual_UP'!QTY*UMH</definedName>
    <definedName name="VCD" localSheetId="3">#REF!</definedName>
    <definedName name="vdgdfgdf" localSheetId="3">#REF!</definedName>
    <definedName name="ve" localSheetId="3">#REF!</definedName>
    <definedName name="vffsfs" localSheetId="3" hidden="1">{#N/A,#N/A,TRUE,"Basic";#N/A,#N/A,TRUE,"EXT-TABLE";#N/A,#N/A,TRUE,"STEEL";#N/A,#N/A,TRUE,"INT-Table";#N/A,#N/A,TRUE,"STEEL";#N/A,#N/A,TRUE,"Door"}</definedName>
    <definedName name="vv" localSheetId="3" hidden="1">{#N/A,#N/A,FALSE,"SumD";#N/A,#N/A,FALSE,"ElecD";#N/A,#N/A,FALSE,"MechD";#N/A,#N/A,FALSE,"GeotD";#N/A,#N/A,FALSE,"PrcsD";#N/A,#N/A,FALSE,"TunnD";#N/A,#N/A,FALSE,"CivlD";#N/A,#N/A,FALSE,"NtwkD";#N/A,#N/A,FALSE,"EstgD";#N/A,#N/A,FALSE,"PEngD"}</definedName>
    <definedName name="w3t344t" localSheetId="3" hidden="1">{#N/A,#N/A,FALSE,"표지목차"}</definedName>
    <definedName name="weekday" localSheetId="3">{1,2,3,4,5,6,7}</definedName>
    <definedName name="weekday_dates" localSheetId="3">#REF!,#REF!,#REF!,#REF!,#REF!,#REF!,#REF!,#REF!,#REF!,#REF!,#REF!,#REF!,#REF!,#REF!,#REF!,#REF!,#REF!,#REF!,#REF!,#REF!,#REF!,#REF!,#REF!,#REF!,#REF!,#REF!</definedName>
    <definedName name="weekend_dates" localSheetId="3">#REF!,#REF!,#REF!,#REF!,#REF!,#REF!,#REF!,#REF!,#REF!,#REF!,#REF!</definedName>
    <definedName name="WeekNo" localSheetId="3">{1;2;3;4;5;6}</definedName>
    <definedName name="wegWE" localSheetId="3" hidden="1">{#N/A,#N/A,TRUE,"Cover";#N/A,#N/A,TRUE,"Conts";#N/A,#N/A,TRUE,"VOS";#N/A,#N/A,TRUE,"Warrington";#N/A,#N/A,TRUE,"Widnes"}</definedName>
    <definedName name="weq" localSheetId="3" hidden="1">{#N/A,#N/A,FALSE,"SumD";#N/A,#N/A,FALSE,"ElecD";#N/A,#N/A,FALSE,"MechD";#N/A,#N/A,FALSE,"GeotD";#N/A,#N/A,FALSE,"PrcsD";#N/A,#N/A,FALSE,"TunnD";#N/A,#N/A,FALSE,"CivlD";#N/A,#N/A,FALSE,"NtwkD";#N/A,#N/A,FALSE,"EstgD";#N/A,#N/A,FALSE,"PEngD"}</definedName>
    <definedName name="wetrtyret" localSheetId="3" hidden="1">{#N/A,#N/A,FALSE,"운반시간"}</definedName>
    <definedName name="wetwety" localSheetId="3" hidden="1">{#N/A,#N/A,FALSE,"CAM-G7";#N/A,#N/A,FALSE,"SPL";#N/A,#N/A,FALSE,"butt-in G7";#N/A,#N/A,FALSE,"dia-in G7";#N/A,#N/A,FALSE,"추가-STA G7"}</definedName>
    <definedName name="WGEW" localSheetId="3" hidden="1">{#N/A,#N/A,TRUE,"Cover";#N/A,#N/A,TRUE,"Conts";#N/A,#N/A,TRUE,"VOS";#N/A,#N/A,TRUE,"Warrington";#N/A,#N/A,TRUE,"Widnes"}</definedName>
    <definedName name="wgWE" localSheetId="3" hidden="1">{#N/A,#N/A,TRUE,"Cover";#N/A,#N/A,TRUE,"Conts";#N/A,#N/A,TRUE,"VOS";#N/A,#N/A,TRUE,"Warrington";#N/A,#N/A,TRUE,"Widnes"}</definedName>
    <definedName name="wm.조골재1" localSheetId="3" hidden="1">{#N/A,#N/A,FALSE,"조골재"}</definedName>
    <definedName name="wrn.2번." localSheetId="3" hidden="1">{#N/A,#N/A,FALSE,"2~8번"}</definedName>
    <definedName name="wrn.AA." localSheetId="3" hidden="1">{#N/A,#N/A,FALSE,"CAM-G7";#N/A,#N/A,FALSE,"SPL";#N/A,#N/A,FALSE,"butt-in G7";#N/A,#N/A,FALSE,"dia-in G7";#N/A,#N/A,FALSE,"추가-STA G7"}</definedName>
    <definedName name="wrn.ALL." localSheetId="3" hidden="1">{#N/A,#N/A,FALSE,"Pro-forma claim";#N/A,#N/A,FALSE,"Summary sheet";#N/A,#N/A,FALSE,"SITE INSTRUCTIONS";#N/A,#N/A,FALSE,"DAY WORKS CIVILS";#N/A,#N/A,FALSE,"DAY WORKS STEEL"}</definedName>
    <definedName name="wrn.all._.lines." localSheetId="3" hidden="1">{#N/A,#N/A,FALSE,"Summary";#N/A,#N/A,FALSE,"3TJ";#N/A,#N/A,FALSE,"3TN";#N/A,#N/A,FALSE,"3TP";#N/A,#N/A,FALSE,"3SJ";#N/A,#N/A,FALSE,"3CJ";#N/A,#N/A,FALSE,"3CN";#N/A,#N/A,FALSE,"3CP";#N/A,#N/A,FALSE,"3A"}</definedName>
    <definedName name="wrn.Barbara._.Modular._.Indirects." localSheetId="3" hidden="1">{#N/A,#N/A,FALSE,"COVER";#N/A,#N/A,FALSE,"RECAP";#N/A,#N/A,FALSE,"SANTA BARBARA NONMANUAL";#N/A,#N/A,FALSE,"CEQUIP";#N/A,#N/A,FALSE,"WRATE";#N/A,#N/A,FALSE,"INDIRECT";#N/A,#N/A,FALSE,"TRAIN";#N/A,#N/A,FALSE,"MANLOADED SCHEDULE"}</definedName>
    <definedName name="wrn.BM." localSheetId="3" hidden="1">{#N/A,#N/A,TRUE,"Basic";#N/A,#N/A,TRUE,"EXT-TABLE";#N/A,#N/A,TRUE,"STEEL";#N/A,#N/A,TRUE,"INT-Table";#N/A,#N/A,TRUE,"STEEL";#N/A,#N/A,TRUE,"Door"}</definedName>
    <definedName name="wrn.CHIEF._.REVIEW." localSheetId="3" hidden="1">{#N/A,#N/A,FALSE,"Q&amp;AE";#N/A,#N/A,FALSE,"Params";#N/A,#N/A,FALSE,"ReconE";#N/A,#N/A,FALSE,"CostCompE";#N/A,#N/A,FALSE,"SummaryE";#N/A,#N/A,FALSE,"Detail";#N/A,#N/A,FALSE,"PayItem"}</definedName>
    <definedName name="wrn.CIRCUITS." localSheetId="3" hidden="1">{"DBANK",#N/A,FALSE,"PriceE";"CKTS",#N/A,FALSE,"PriceE"}</definedName>
    <definedName name="wrn.COST_SHEETS." localSheetId="3" hidden="1">{#N/A,#N/A,FALSE,"WBS 1.06";#N/A,#N/A,FALSE,"WBS 1.14";#N/A,#N/A,FALSE,"WBS 1.17";#N/A,#N/A,FALSE,"WBS 1.18"}</definedName>
    <definedName name="wrn.FINAL._.ESTIMATE." localSheetId="3" hidden="1">{#N/A,#N/A,FALSE,"ProjInfo";#N/A,#N/A,FALSE,"Params";#N/A,#N/A,FALSE,"Q&amp;AE";#N/A,#N/A,FALSE,"CostCompE";#N/A,#N/A,FALSE,"SummaryE";#N/A,#N/A,FALSE,"PayItem";#N/A,#N/A,FALSE,"Detail";#N/A,#N/A,FALSE,"ReconE"}</definedName>
    <definedName name="wrn.Fuel._.oil._.option." localSheetId="3" hidden="1">{"FUEL OIL",#N/A,FALSE,"Option"}</definedName>
    <definedName name="wrn.Print._.Output." localSheetId="3" hidden="1">{#N/A,#N/A,FALSE,"OUTPUT SHEET "}</definedName>
    <definedName name="wrn.PrintallD." localSheetId="3" hidden="1">{#N/A,#N/A,FALSE,"SumD";#N/A,#N/A,FALSE,"ElecD";#N/A,#N/A,FALSE,"MechD";#N/A,#N/A,FALSE,"GeotD";#N/A,#N/A,FALSE,"PrcsD";#N/A,#N/A,FALSE,"TunnD";#N/A,#N/A,FALSE,"CivlD";#N/A,#N/A,FALSE,"NtwkD";#N/A,#N/A,FALSE,"EstgD";#N/A,#N/A,FALSE,"PEngD"}</definedName>
    <definedName name="wrn.PrintallG." localSheetId="3" hidden="1">{#N/A,#N/A,FALSE,"SumG";#N/A,#N/A,FALSE,"ElecG";#N/A,#N/A,FALSE,"MechG";#N/A,#N/A,FALSE,"GeotG";#N/A,#N/A,FALSE,"PrcsG";#N/A,#N/A,FALSE,"TunnG";#N/A,#N/A,FALSE,"CivlG";#N/A,#N/A,FALSE,"NtwkG";#N/A,#N/A,FALSE,"EstgG";#N/A,#N/A,FALSE,"PEngG"}</definedName>
    <definedName name="wrn.prix." localSheetId="3" hidden="1">{#N/A,#N/A,TRUE,"Page de garde";#N/A,#N/A,TRUE,"Estimation ingénierie";#N/A,#N/A,TRUE,"Synthése des heures";#N/A,#N/A,TRUE,"Etudes préliminaires";#N/A,#N/A,TRUE,"Avant projet";#N/A,#N/A,TRUE,"Projet";#N/A,#N/A,TRUE,"Approvisionnement";#N/A,#N/A,TRUE,"Construction";#N/A,#N/A,TRUE,"Essais  mise en route"}</definedName>
    <definedName name="wrn.prix1." localSheetId="3" hidden="1">{#N/A,#N/A,TRUE,"Page de garde";#N/A,#N/A,TRUE,"Estimation ingénierie";#N/A,#N/A,TRUE,"Synthése des heures";#N/A,#N/A,TRUE,"Etudes préliminaires";#N/A,#N/A,TRUE,"Avant projet";#N/A,#N/A,TRUE,"Projet";#N/A,#N/A,TRUE,"Approvisionnement";#N/A,#N/A,TRUE,"Construction";#N/A,#N/A,TRUE,"Essais  mise en route"}</definedName>
    <definedName name="wrn.Redundant._.Equipment._.Option." localSheetId="3" hidden="1">{"pumps",#N/A,FALSE,"Option"}</definedName>
    <definedName name="wrn.REP502." localSheetId="3"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localSheetId="3"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localSheetId="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STG._.BLDG._.ENCLOSURE." localSheetId="3" hidden="1">{"turbine",#N/A,FALSE,"Option"}</definedName>
    <definedName name="wrn.struckgi." localSheetId="3" hidden="1">{#N/A,#N/A,TRUE,"arnitower";#N/A,#N/A,TRUE,"arnigarage "}</definedName>
    <definedName name="wrn.Warrington._.Widnes._.QS._.Costs." localSheetId="3" hidden="1">{#N/A,#N/A,TRUE,"Cover";#N/A,#N/A,TRUE,"Conts";#N/A,#N/A,TRUE,"VOS";#N/A,#N/A,TRUE,"Warrington";#N/A,#N/A,TRUE,"Widnes"}</definedName>
    <definedName name="wrn.WHOUSE._.CT." localSheetId="3" hidden="1">{"WESTINGHOUSE",#N/A,FALSE,"Option"}</definedName>
    <definedName name="wrn.골재소요량." localSheetId="3" hidden="1">{#N/A,#N/A,FALSE,"골재소요량";#N/A,#N/A,FALSE,"골재소요량"}</definedName>
    <definedName name="wrn.교육청." localSheetId="3" hidden="1">{#N/A,#N/A,FALSE,"전력간선"}</definedName>
    <definedName name="wrn.구조2." localSheetId="3" hidden="1">{#N/A,#N/A,FALSE,"구조2"}</definedName>
    <definedName name="wrn.단가표지." localSheetId="3" hidden="1">{#N/A,#N/A,FALSE,"단가표지"}</definedName>
    <definedName name="wrn.배수1." localSheetId="3" hidden="1">{#N/A,#N/A,FALSE,"배수1"}</definedName>
    <definedName name="wrn.배수2." localSheetId="3" hidden="1">{#N/A,#N/A,FALSE,"배수2"}</definedName>
    <definedName name="wrn.부대1." localSheetId="3" hidden="1">{#N/A,#N/A,FALSE,"부대1"}</definedName>
    <definedName name="wrn.부대2." localSheetId="3" hidden="1">{#N/A,#N/A,FALSE,"부대2"}</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3" hidden="1">{#N/A,#N/A,FALSE,"속도"}</definedName>
    <definedName name="wrn.실행품의." localSheetId="3" hidden="1">{#N/A,#N/A,FALSE,"갑지";#N/A,#N/A,FALSE,"개요";#N/A,#N/A,FALSE,"비목별";#N/A,#N/A,FALSE,"건물별";#N/A,#N/A,FALSE,"기구표";#N/A,#N/A,FALSE,"직원투입"}</definedName>
    <definedName name="wrn.운반시간." localSheetId="3" hidden="1">{#N/A,#N/A,FALSE,"운반시간"}</definedName>
    <definedName name="wrn.이인주." localSheetId="3" hidden="1">{#N/A,#N/A,FALSE,"물량산출"}</definedName>
    <definedName name="wrn.이정표." localSheetId="3" hidden="1">{#N/A,#N/A,FALSE,"이정표"}</definedName>
    <definedName name="wrn.조골재." localSheetId="3" hidden="1">{#N/A,#N/A,FALSE,"조골재"}</definedName>
    <definedName name="wrn.토공1." localSheetId="3" hidden="1">{#N/A,#N/A,FALSE,"구조1"}</definedName>
    <definedName name="wrn.토공2." localSheetId="3" hidden="1">{#N/A,#N/A,FALSE,"토공2"}</definedName>
    <definedName name="wrn.포장1." localSheetId="3" hidden="1">{#N/A,#N/A,FALSE,"포장1";#N/A,#N/A,FALSE,"포장1"}</definedName>
    <definedName name="wrn.포장2." localSheetId="3" hidden="1">{#N/A,#N/A,FALSE,"포장2"}</definedName>
    <definedName name="wrn.표지목차." localSheetId="3" hidden="1">{#N/A,#N/A,FALSE,"표지목차"}</definedName>
    <definedName name="wrn.혼합골재." localSheetId="3" hidden="1">{#N/A,#N/A,FALSE,"혼합골재"}</definedName>
    <definedName name="wtewtwet" localSheetId="3" hidden="1">{#N/A,#N/A,FALSE,"이정표"}</definedName>
    <definedName name="wtrtwt" localSheetId="3" hidden="1">{#N/A,#N/A,FALSE,"조골재"}</definedName>
    <definedName name="wtwet" localSheetId="3" hidden="1">{#N/A,#N/A,FALSE,"물량산출"}</definedName>
    <definedName name="wtwetert" localSheetId="3" hidden="1">{#N/A,#N/A,FALSE,"CAM-G7";#N/A,#N/A,FALSE,"SPL";#N/A,#N/A,FALSE,"butt-in G7";#N/A,#N/A,FALSE,"dia-in G7";#N/A,#N/A,FALSE,"추가-STA G7"}</definedName>
    <definedName name="wtwt" localSheetId="3" hidden="1">{#N/A,#N/A,FALSE,"CAM-G7";#N/A,#N/A,FALSE,"SPL";#N/A,#N/A,FALSE,"butt-in G7";#N/A,#N/A,FALSE,"dia-in G7";#N/A,#N/A,FALSE,"추가-STA G7"}</definedName>
    <definedName name="xc" localSheetId="3" hidden="1">{#N/A,#N/A,FALSE,"SumD";#N/A,#N/A,FALSE,"ElecD";#N/A,#N/A,FALSE,"MechD";#N/A,#N/A,FALSE,"GeotD";#N/A,#N/A,FALSE,"PrcsD";#N/A,#N/A,FALSE,"TunnD";#N/A,#N/A,FALSE,"CivlD";#N/A,#N/A,FALSE,"NtwkD";#N/A,#N/A,FALSE,"EstgD";#N/A,#N/A,FALSE,"PEngD"}</definedName>
    <definedName name="xls." localSheetId="3" hidden="1">{"'Break down'!$A$4"}</definedName>
    <definedName name="xx" localSheetId="3">#REF!</definedName>
    <definedName name="YARD_INS" localSheetId="3">IF(#REF!="INS",VLOOKUP(#REF!,IntCertCW_NSC,HLOOKUP(#REF!,Year,2)+1,FALSE()),0)</definedName>
    <definedName name="YARD_LAB" localSheetId="3">(VLOOKUP(#REF!,zpr,HLOOKUP(#REF!,Year,2),FALSE())+(VLOOKUP(#REF!,zpr,HLOOKUP(#REF!,Year,2)+1,FALSE())-VLOOKUP(#REF!,zpr,HLOOKUP(#REF!,Year,2),FALSE()))*(#REF!-HLOOKUP(#REF!,Year,1))/(HLOOKUP(#REF!+2,Year,1)-HLOOKUP(#REF!,Year,1)))</definedName>
    <definedName name="YARD_MAT" localSheetId="3">VLOOKUP(#REF!,[0]!zse,HLOOKUP(#REF!,Year,2)+1,FALSE())+(VLOOKUP(#REF!,[0]!zse,HLOOKUP(#REF!,Year,2)+1+1,FALSE())-VLOOKUP(#REF!,[0]!zse,HLOOKUP(#REF!,Year,2)+1,FALSE()))*(#REF!-HLOOKUP(#REF!,Year,1))/(HLOOKUP(#REF!+2,Year,1)-HLOOKUP(#REF!,Year,1))</definedName>
    <definedName name="yretyery"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teyyew" localSheetId="3" hidden="1">{#N/A,#N/A,FALSE,"골재소요량";#N/A,#N/A,FALSE,"골재소요량"}</definedName>
    <definedName name="yrtyerye" localSheetId="3" hidden="1">{#N/A,#N/A,FALSE,"전력간선"}</definedName>
    <definedName name="ytwetwt"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 localSheetId="3" hidden="1">{#N/A,#N/A,TRUE,"Page de garde";#N/A,#N/A,TRUE,"Estimation ingénierie";#N/A,#N/A,TRUE,"Synthése des heures";#N/A,#N/A,TRUE,"Etudes préliminaires";#N/A,#N/A,TRUE,"Avant projet";#N/A,#N/A,TRUE,"Projet";#N/A,#N/A,TRUE,"Approvisionnement";#N/A,#N/A,TRUE,"Construction";#N/A,#N/A,TRUE,"Essais  mise en route"}</definedName>
    <definedName name="Z_69C7EDC4_4654_4BA1_A322_7C3E72B6E417_.wvu.Cols" localSheetId="3">(#REF!,#REF!)</definedName>
    <definedName name="Z_69CB8650_B747_4FE4_8403_241F756CCB38_.wvu.Cols" localSheetId="3">(#REF!,#REF!)</definedName>
    <definedName name="Z_69F49408_E8AA_4C55_9DD5_1B87E94DC7AF_.wvu.Cols" localSheetId="3">(#REF!,#REF!)</definedName>
    <definedName name="zse" localSheetId="3" hidden="1">{#N/A,#N/A,FALSE,"SumG";#N/A,#N/A,FALSE,"ElecG";#N/A,#N/A,FALSE,"MechG";#N/A,#N/A,FALSE,"GeotG";#N/A,#N/A,FALSE,"PrcsG";#N/A,#N/A,FALSE,"TunnG";#N/A,#N/A,FALSE,"CivlG";#N/A,#N/A,FALSE,"NtwkG";#N/A,#N/A,FALSE,"EstgG";#N/A,#N/A,FALSE,"PEngG"}</definedName>
    <definedName name="ㄱ미" localSheetId="3" hidden="1">{#N/A,#N/A,TRUE,"Basic";#N/A,#N/A,TRUE,"EXT-TABLE";#N/A,#N/A,TRUE,"STEEL";#N/A,#N/A,TRUE,"INT-Table";#N/A,#N/A,TRUE,"STEEL";#N/A,#N/A,TRUE,"Door"}</definedName>
    <definedName name="가설계획" localSheetId="3" hidden="1">{#N/A,#N/A,FALSE,"갑지";#N/A,#N/A,FALSE,"개요";#N/A,#N/A,FALSE,"비목별";#N/A,#N/A,FALSE,"건물별";#N/A,#N/A,FALSE,"기구표";#N/A,#N/A,FALSE,"직원투입"}</definedName>
    <definedName name="간접비" localSheetId="3" hidden="1">{#N/A,#N/A,FALSE,"갑지";#N/A,#N/A,FALSE,"개요";#N/A,#N/A,FALSE,"비목별";#N/A,#N/A,FALSE,"건물별";#N/A,#N/A,FALSE,"기구표";#N/A,#N/A,FALSE,"직원투입"}</definedName>
    <definedName name="간접비1" localSheetId="3" hidden="1">{#N/A,#N/A,FALSE,"갑지";#N/A,#N/A,FALSE,"개요";#N/A,#N/A,FALSE,"비목별";#N/A,#N/A,FALSE,"건물별";#N/A,#N/A,FALSE,"기구표";#N/A,#N/A,FALSE,"직원투입"}</definedName>
    <definedName name="계측기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골재" localSheetId="3" hidden="1">{#N/A,#N/A,FALSE,"골재소요량";#N/A,#N/A,FALSE,"골재소요량"}</definedName>
    <definedName name="골조" localSheetId="3" hidden="1">{#N/A,#N/A,FALSE,"물량산출"}</definedName>
    <definedName name="공공도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정" localSheetId="3" hidden="1">{#N/A,#N/A,FALSE,"물량산출"}</definedName>
    <definedName name="관리비2" localSheetId="3" hidden="1">{#N/A,#N/A,FALSE,"갑지";#N/A,#N/A,FALSE,"개요";#N/A,#N/A,FALSE,"비목별";#N/A,#N/A,FALSE,"건물별";#N/A,#N/A,FALSE,"기구표";#N/A,#N/A,FALSE,"직원투입"}</definedName>
    <definedName name="광" localSheetId="3" hidden="1">{#N/A,#N/A,FALSE,"물량산출"}</definedName>
    <definedName name="광덕기업" localSheetId="3" hidden="1">{#N/A,#N/A,FALSE,"물량산출"}</definedName>
    <definedName name="교육" localSheetId="3" hidden="1">{#N/A,#N/A,FALSE,"전력간선"}</definedName>
    <definedName name="금강" localSheetId="3" hidden="1">{#N/A,#N/A,FALSE,"물량산출"}</definedName>
    <definedName name="금강고려" localSheetId="3" hidden="1">{#N/A,#N/A,FALSE,"물량산출"}</definedName>
    <definedName name="금오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존도로상태" localSheetId="3" hidden="1">{#N/A,#N/A,FALSE,"혼합골재"}</definedName>
    <definedName name="김" localSheetId="3" hidden="1">{#N/A,#N/A,TRUE,"Basic";#N/A,#N/A,TRUE,"EXT-TABLE";#N/A,#N/A,TRUE,"STEEL";#N/A,#N/A,TRUE,"INT-Table";#N/A,#N/A,TRUE,"STEEL";#N/A,#N/A,TRUE,"Door"}</definedName>
    <definedName name="김1" localSheetId="3" hidden="1">{#N/A,#N/A,TRUE,"Basic";#N/A,#N/A,TRUE,"EXT-TABLE";#N/A,#N/A,TRUE,"STEEL";#N/A,#N/A,TRUE,"INT-Table";#N/A,#N/A,TRUE,"STEEL";#N/A,#N/A,TRUE,"Door"}</definedName>
    <definedName name="김3" localSheetId="3" hidden="1">{#N/A,#N/A,TRUE,"Basic";#N/A,#N/A,TRUE,"EXT-TABLE";#N/A,#N/A,TRUE,"STEEL";#N/A,#N/A,TRUE,"INT-Table";#N/A,#N/A,TRUE,"STEEL";#N/A,#N/A,TRUE,"Door"}</definedName>
    <definedName name="ㄴㄴ" localSheetId="3" hidden="1">{#N/A,#N/A,FALSE,"물량산출"}</definedName>
    <definedName name="ㄴㅇ" localSheetId="3" hidden="1">{#N/A,#N/A,FALSE,"물량산출"}</definedName>
    <definedName name="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고가" localSheetId="3" hidden="1">{#N/A,#N/A,FALSE,"물량산출"}</definedName>
    <definedName name="내역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다음" localSheetId="3" hidden="1">{#N/A,#N/A,FALSE,"갑지";#N/A,#N/A,FALSE,"개요";#N/A,#N/A,FALSE,"비목별";#N/A,#N/A,FALSE,"건물별";#N/A,#N/A,FALSE,"기구표";#N/A,#N/A,FALSE,"직원투입"}</definedName>
    <definedName name="대구공항"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로" localSheetId="3" hidden="1">{#N/A,#N/A,FALSE,"2~8번"}</definedName>
    <definedName name="ㄹㅇㅎㄹㅀ" localSheetId="3" hidden="1">{#N/A,#N/A,FALSE,"골재소요량";#N/A,#N/A,FALSE,"골재소요량"}</definedName>
    <definedName name="라미우드" localSheetId="3" hidden="1">{#N/A,#N/A,FALSE,"물량산출"}</definedName>
    <definedName name="ㄻㄴㄹ" localSheetId="3" hidden="1">{#N/A,#N/A,FALSE,"물량산출"}</definedName>
    <definedName name="ㅁㅁ" localSheetId="3" hidden="1">{#N/A,#N/A,FALSE,"운반시간"}</definedName>
    <definedName name="ㅁㅁㅁㅁ" localSheetId="3" hidden="1">{#N/A,#N/A,FALSE,"혼합골재"}</definedName>
    <definedName name="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localSheetId="3" hidden="1">{#N/A,#N/A,FALSE,"표지목차"}</definedName>
    <definedName name="바보2" localSheetId="3" hidden="1">{#N/A,#N/A,FALSE,"운반시간"}</definedName>
    <definedName name="발코니난간" localSheetId="3" hidden="1">{#N/A,#N/A,FALSE,"물량산출"}</definedName>
    <definedName name="밥보" localSheetId="3" hidden="1">{#N/A,#N/A,FALSE,"표지목차"}</definedName>
    <definedName name="보라" localSheetId="3" hidden="1">{#N/A,#N/A,FALSE,"갑지";#N/A,#N/A,FALSE,"개요";#N/A,#N/A,FALSE,"비목별";#N/A,#N/A,FALSE,"건물별";#N/A,#N/A,FALSE,"기구표";#N/A,#N/A,FALSE,"직원투입"}</definedName>
    <definedName name="보오링그라우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 localSheetId="3" hidden="1">{#N/A,#N/A,TRUE,"Basic";#N/A,#N/A,TRUE,"EXT-TABLE";#N/A,#N/A,TRUE,"STEEL";#N/A,#N/A,TRUE,"INT-Table";#N/A,#N/A,TRUE,"STEEL";#N/A,#N/A,TRUE,"Door"}</definedName>
    <definedName name="ㅇㅇ" localSheetId="3" hidden="1">{#N/A,#N/A,FALSE,"물량산출"}</definedName>
    <definedName name="억이상" localSheetId="3" hidden="1">{#N/A,#N/A,FALSE,"2~8번"}</definedName>
    <definedName name="울산" localSheetId="3" hidden="1">{#N/A,#N/A,FALSE,"물량산출"}</definedName>
    <definedName name="원가" localSheetId="3" hidden="1">{#N/A,#N/A,FALSE,"운반시간"}</definedName>
    <definedName name="의" localSheetId="3" hidden="1">{#N/A,#N/A,FALSE,"운반시간"}</definedName>
    <definedName name="인천지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 localSheetId="3" hidden="1">{#N/A,#N/A,FALSE,"갑지";#N/A,#N/A,FALSE,"개요";#N/A,#N/A,FALSE,"비목별";#N/A,#N/A,FALSE,"건물별";#N/A,#N/A,FALSE,"기구표";#N/A,#N/A,FALSE,"직원투입"}</definedName>
    <definedName name="일반조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 localSheetId="3" hidden="1">{#N/A,#N/A,FALSE,"물량산출"}</definedName>
    <definedName name="ㅈㄷㅈㄱㅈㅂ" localSheetId="3" hidden="1">{#N/A,#N/A,FALSE,"갑지";#N/A,#N/A,FALSE,"개요";#N/A,#N/A,FALSE,"비목별";#N/A,#N/A,FALSE,"건물별";#N/A,#N/A,FALSE,"기구표";#N/A,#N/A,FALSE,"직원투입"}</definedName>
    <definedName name="조경집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목설계" localSheetId="3" hidden="1">{#N/A,#N/A,FALSE,"골재소요량";#N/A,#N/A,FALSE,"골재소요량"}</definedName>
    <definedName name="하늘" localSheetId="3" hidden="1">{#N/A,#N/A,FALSE,"물량산출"}</definedName>
    <definedName name="하도급일반조건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이스느" localSheetId="3" hidden="1">{#N/A,#N/A,FALSE,"물량산출"}</definedName>
    <definedName name="ㅠㅠ" localSheetId="3" hidden="1">{#N/A,#N/A,FALSE,"포장2"}</definedName>
    <definedName name="_xlnm.Print_Titles" localSheetId="3">'QIC_ Actual_UP'!$1:$3</definedName>
    <definedName name="_xlnm.Print_Area" localSheetId="3">'QIC_ Actual_UP'!$A$1:$Q$635</definedName>
    <definedName name="\0" localSheetId="4">#REF!</definedName>
    <definedName name="\00" localSheetId="4">#REF!</definedName>
    <definedName name="_________SHT2" localSheetId="4">[0]!TMH*'QIC_ Actual_UP'!ulcost</definedName>
    <definedName name="_______CON1" localSheetId="4">#REF!</definedName>
    <definedName name="_______CON2" localSheetId="4">#REF!</definedName>
    <definedName name="_______ph1" localSheetId="4">#REF!</definedName>
    <definedName name="____as1" localSheetId="4" hidden="1">{#N/A,#N/A,FALSE,"SumD";#N/A,#N/A,FALSE,"ElecD";#N/A,#N/A,FALSE,"MechD";#N/A,#N/A,FALSE,"GeotD";#N/A,#N/A,FALSE,"PrcsD";#N/A,#N/A,FALSE,"TunnD";#N/A,#N/A,FALSE,"CivlD";#N/A,#N/A,FALSE,"NtwkD";#N/A,#N/A,FALSE,"EstgD";#N/A,#N/A,FALSE,"PEngD"}</definedName>
    <definedName name="___ab1" localSheetId="4"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TC1" localSheetId="4" hidden="1">{#N/A,#N/A,FALSE,"물량산출"}</definedName>
    <definedName name="__wet4" localSheetId="4" hidden="1">{#N/A,#N/A,FALSE,"포장1";#N/A,#N/A,FALSE,"포장1"}</definedName>
    <definedName name="_ab1" localSheetId="4"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ccr1" localSheetId="4" hidden="1">{#N/A,#N/A,TRUE,"Cover";#N/A,#N/A,TRUE,"Conts";#N/A,#N/A,TRUE,"VOS";#N/A,#N/A,TRUE,"Warrington";#N/A,#N/A,TRUE,"Widnes"}</definedName>
    <definedName name="_fos1" localSheetId="4">#REF!</definedName>
    <definedName name="_ilp1" localSheetId="4">#REF!</definedName>
    <definedName name="_J170094" localSheetId="4">#REF!</definedName>
    <definedName name="_old3" localSheetId="4" hidden="1">{#N/A,#N/A,FALSE,"Summary";#N/A,#N/A,FALSE,"3TJ";#N/A,#N/A,FALSE,"3TN";#N/A,#N/A,FALSE,"3TP";#N/A,#N/A,FALSE,"3SJ";#N/A,#N/A,FALSE,"3CJ";#N/A,#N/A,FALSE,"3CN";#N/A,#N/A,FALSE,"3CP";#N/A,#N/A,FALSE,"3A"}</definedName>
    <definedName name="_old5" localSheetId="4" hidden="1">{#N/A,#N/A,FALSE,"Summary";#N/A,#N/A,FALSE,"3TJ";#N/A,#N/A,FALSE,"3TN";#N/A,#N/A,FALSE,"3TP";#N/A,#N/A,FALSE,"3SJ";#N/A,#N/A,FALSE,"3CJ";#N/A,#N/A,FALSE,"3CN";#N/A,#N/A,FALSE,"3CP";#N/A,#N/A,FALSE,"3A"}</definedName>
    <definedName name="_old7" localSheetId="4" hidden="1">{#N/A,#N/A,FALSE,"Summary";#N/A,#N/A,FALSE,"3TJ";#N/A,#N/A,FALSE,"3TN";#N/A,#N/A,FALSE,"3TP";#N/A,#N/A,FALSE,"3SJ";#N/A,#N/A,FALSE,"3CJ";#N/A,#N/A,FALSE,"3CN";#N/A,#N/A,FALSE,"3CP";#N/A,#N/A,FALSE,"3A"}</definedName>
    <definedName name="_QTY1" localSheetId="4">IF([0]!USC_MV_Cable=Bitumen,#REF!,IF([0]!USC_MV_Cable=1,#REF!*VLOOKUP(#REF!,CumulativePercentCompletion,5),#REF!/VLOOKUP(#REF!,CumulativePercentCompletion,5)))</definedName>
    <definedName name="_R" localSheetId="4">#REF!</definedName>
    <definedName name="_RBS1" localSheetId="4">#REF!</definedName>
    <definedName name="_RE100" localSheetId="4">#REF!</definedName>
    <definedName name="_TC1" localSheetId="4" hidden="1">{#N/A,#N/A,FALSE,"물량산출"}</definedName>
    <definedName name="_wet4" localSheetId="4" hidden="1">{#N/A,#N/A,FALSE,"포장1";#N/A,#N/A,FALSE,"포장1"}</definedName>
    <definedName name="a\FGg" localSheetId="4" hidden="1">{#N/A,#N/A,TRUE,"Cover";#N/A,#N/A,TRUE,"Conts";#N/A,#N/A,TRUE,"VOS";#N/A,#N/A,TRUE,"Warrington";#N/A,#N/A,TRUE,"Widnes"}</definedName>
    <definedName name="aaaaa" localSheetId="4" hidden="1">{#N/A,#N/A,TRUE,"Basic";#N/A,#N/A,TRUE,"EXT-TABLE";#N/A,#N/A,TRUE,"STEEL";#N/A,#N/A,TRUE,"INT-Table";#N/A,#N/A,TRUE,"STEEL";#N/A,#N/A,TRUE,"Door"}</definedName>
    <definedName name="ab" localSheetId="4" hidden="1">{#N/A,#N/A,FALSE,"SumD";#N/A,#N/A,FALSE,"ElecD";#N/A,#N/A,FALSE,"MechD";#N/A,#N/A,FALSE,"GeotD";#N/A,#N/A,FALSE,"PrcsD";#N/A,#N/A,FALSE,"TunnD";#N/A,#N/A,FALSE,"CivlD";#N/A,#N/A,FALSE,"NtwkD";#N/A,#N/A,FALSE,"EstgD";#N/A,#N/A,FALSE,"PEngD"}</definedName>
    <definedName name="ada" localSheetId="4" hidden="1">{#N/A,#N/A,FALSE,"갑지";#N/A,#N/A,FALSE,"개요";#N/A,#N/A,FALSE,"비목별";#N/A,#N/A,FALSE,"건물별";#N/A,#N/A,FALSE,"기구표";#N/A,#N/A,FALSE,"직원투입"}</definedName>
    <definedName name="adadad" localSheetId="4" hidden="1">{#N/A,#N/A,TRUE,"Cover";#N/A,#N/A,TRUE,"Conts";#N/A,#N/A,TRUE,"VOS";#N/A,#N/A,TRUE,"Warrington";#N/A,#N/A,TRUE,"Widnes"}</definedName>
    <definedName name="addad" localSheetId="4" hidden="1">{#N/A,#N/A,TRUE,"Cover";#N/A,#N/A,TRUE,"Conts";#N/A,#N/A,TRUE,"VOS";#N/A,#N/A,TRUE,"Warrington";#N/A,#N/A,TRUE,"Widnes"}</definedName>
    <definedName name="aFDf" localSheetId="4" hidden="1">{#N/A,#N/A,FALSE,"혼합골재"}</definedName>
    <definedName name="agf" localSheetId="4" hidden="1">{#N/A,#N/A,FALSE,"CAM-G7";#N/A,#N/A,FALSE,"SPL";#N/A,#N/A,FALSE,"butt-in G7";#N/A,#N/A,FALSE,"dia-in G7";#N/A,#N/A,FALSE,"추가-STA G7"}</definedName>
    <definedName name="All_Reports" localSheetId="4">#REF!,#REF!</definedName>
    <definedName name="Allowance" localSheetId="4">#REF!</definedName>
    <definedName name="Amount" localSheetId="4">#REF!</definedName>
    <definedName name="Amount_of_repayment_due_from_previous_years" localSheetId="4">#REF!</definedName>
    <definedName name="Amt_Contingency" localSheetId="4">#REF!</definedName>
    <definedName name="appraisal" localSheetId="4" hidden="1">{#N/A,#N/A,TRUE,"Cover";#N/A,#N/A,TRUE,"Conts";#N/A,#N/A,TRUE,"VOS";#N/A,#N/A,TRUE,"Warrington";#N/A,#N/A,TRUE,"Widnes"}</definedName>
    <definedName name="as" localSheetId="4" hidden="1">{#N/A,#N/A,FALSE,"SumD";#N/A,#N/A,FALSE,"ElecD";#N/A,#N/A,FALSE,"MechD";#N/A,#N/A,FALSE,"GeotD";#N/A,#N/A,FALSE,"PrcsD";#N/A,#N/A,FALSE,"TunnD";#N/A,#N/A,FALSE,"CivlD";#N/A,#N/A,FALSE,"NtwkD";#N/A,#N/A,FALSE,"EstgD";#N/A,#N/A,FALSE,"PEngD"}</definedName>
    <definedName name="asadad" localSheetId="4" hidden="1">{#N/A,#N/A,TRUE,"Cover";#N/A,#N/A,TRUE,"Conts";#N/A,#N/A,TRUE,"VOS";#N/A,#N/A,TRUE,"Warrington";#N/A,#N/A,TRUE,"Widnes"}</definedName>
    <definedName name="ASDFASDF" localSheetId="4" hidden="1">{#N/A,#N/A,FALSE,"CAM-G7";#N/A,#N/A,FALSE,"SPL";#N/A,#N/A,FALSE,"butt-in G7";#N/A,#N/A,FALSE,"dia-in G7";#N/A,#N/A,FALSE,"추가-STA G7"}</definedName>
    <definedName name="ASSA" localSheetId="4" hidden="1">{#N/A,#N/A,TRUE,"Cover";#N/A,#N/A,TRUE,"Conts";#N/A,#N/A,TRUE,"VOS";#N/A,#N/A,TRUE,"Warrington";#N/A,#N/A,TRUE,"Widnes"}</definedName>
    <definedName name="asss" localSheetId="4" hidden="1">{#N/A,#N/A,TRUE,"Cover";#N/A,#N/A,TRUE,"Conts";#N/A,#N/A,TRUE,"VOS";#N/A,#N/A,TRUE,"Warrington";#N/A,#N/A,TRUE,"Widnes"}</definedName>
    <definedName name="ATF" localSheetId="4">[0]!QTY*UMH</definedName>
    <definedName name="atrisk_total_net_rent_for_cashflow" localSheetId="4">#REF!</definedName>
    <definedName name="ATS" localSheetId="4">#REF!</definedName>
    <definedName name="AUDCAD" localSheetId="4">#REF!</definedName>
    <definedName name="AuditMemo" localSheetId="4">#REF!</definedName>
    <definedName name="aux" localSheetId="4">#REF!</definedName>
    <definedName name="Base_Qty_DB" localSheetId="4">IF(VLOOKUP(#REF!,DB_PRICING,9,FALSE())=0,0,VLOOKUP(#REF!,DB_PRICING,9,FALSE()))</definedName>
    <definedName name="BDEF" localSheetId="4" hidden="1">{#N/A,#N/A,FALSE,"CAM-G7";#N/A,#N/A,FALSE,"SPL";#N/A,#N/A,FALSE,"butt-in G7";#N/A,#N/A,FALSE,"dia-in G7";#N/A,#N/A,FALSE,"추가-STA G7"}</definedName>
    <definedName name="Biju" localSheetId="4" hidden="1">{#N/A,#N/A,FALSE,"SumG";#N/A,#N/A,FALSE,"ElecG";#N/A,#N/A,FALSE,"MechG";#N/A,#N/A,FALSE,"GeotG";#N/A,#N/A,FALSE,"PrcsG";#N/A,#N/A,FALSE,"TunnG";#N/A,#N/A,FALSE,"CivlG";#N/A,#N/A,FALSE,"NtwkG";#N/A,#N/A,FALSE,"EstgG";#N/A,#N/A,FALSE,"PEngG"}</definedName>
    <definedName name="bob" localSheetId="4" hidden="1">{#N/A,#N/A,TRUE,"Page de garde";#N/A,#N/A,TRUE,"Estimation ingénierie";#N/A,#N/A,TRUE,"Synthése des heures";#N/A,#N/A,TRUE,"Etudes préliminaires";#N/A,#N/A,TRUE,"Avant projet";#N/A,#N/A,TRUE,"Projet";#N/A,#N/A,TRUE,"Approvisionnement";#N/A,#N/A,TRUE,"Construction";#N/A,#N/A,TRUE,"Essais  mise en route"}</definedName>
    <definedName name="bob.bob" localSheetId="4" hidden="1">{#N/A,#N/A,TRUE,"Page de garde";#N/A,#N/A,TRUE,"Estimation ingénierie";#N/A,#N/A,TRUE,"Synthése des heures";#N/A,#N/A,TRUE,"Etudes préliminaires";#N/A,#N/A,TRUE,"Avant projet";#N/A,#N/A,TRUE,"Projet";#N/A,#N/A,TRUE,"Approvisionnement";#N/A,#N/A,TRUE,"Construction";#N/A,#N/A,TRUE,"Essais  mise en route"}</definedName>
    <definedName name="BOP_INS" localSheetId="4">IF(#REF!="INS",VLOOKUP(#REF!,insb,HLOOKUP(#REF!,bop,2)+1,FALSE()),0)</definedName>
    <definedName name="BOP_LAB" localSheetId="4">VLOOKUP(#REF!,boplab,HLOOKUP(#REF!,bop,2),FALSE())+(VLOOKUP(#REF!,boplab,HLOOKUP(#REF!,bop,2)+1,FALSE())-VLOOKUP(#REF!,boplab,HLOOKUP(#REF!,bop,2),FALSE()))*(#REF!-HLOOKUP(#REF!,bop,1))/(HLOOKUP(#REF!+2,bop,1)-HLOOKUP(#REF!,bop,1))</definedName>
    <definedName name="BOP_MAT" localSheetId="4">VLOOKUP(#REF!,bopmat,HLOOKUP(#REF!,bop,2)+1,FALSE())+(VLOOKUP(#REF!,bopmat,HLOOKUP(#REF!,bop,2)+1+1,FALSE())-VLOOKUP(#REF!,bopmat,HLOOKUP(#REF!,bop,2)+1,FALSE()))*(#REF!-HLOOKUP(#REF!,bop,1))</definedName>
    <definedName name="BS" localSheetId="4" hidden="1">{#N/A,#N/A,FALSE,"CAM-G7";#N/A,#N/A,FALSE,"SPL";#N/A,#N/A,FALSE,"butt-in G7";#N/A,#N/A,FALSE,"dia-in G7";#N/A,#N/A,FALSE,"추가-STA G7"}</definedName>
    <definedName name="BSDF" localSheetId="4" hidden="1">{#N/A,#N/A,FALSE,"CAM-G7";#N/A,#N/A,FALSE,"SPL";#N/A,#N/A,FALSE,"butt-in G7";#N/A,#N/A,FALSE,"dia-in G7";#N/A,#N/A,FALSE,"추가-STA G7"}</definedName>
    <definedName name="Budget" localSheetId="4">#REF!</definedName>
    <definedName name="BudgetOriginal" localSheetId="4">#REF!</definedName>
    <definedName name="BUILDING" localSheetId="4">#REF!</definedName>
    <definedName name="BUILDINGS" localSheetId="4">#REF!</definedName>
    <definedName name="BULKMATERIAL_UNIT_COST" localSheetId="4">#REF!,#REF!,#REF!,#REF!,#REF!,#REF!,#REF!</definedName>
    <definedName name="BULKS80_CITY" localSheetId="4">#REF!</definedName>
    <definedName name="c_margin" localSheetId="4">#REF!</definedName>
    <definedName name="CA" localSheetId="4">#REF!</definedName>
    <definedName name="CA8Ganga" localSheetId="4">#REF!</definedName>
    <definedName name="cal_row" localSheetId="4">RANGE(#REF!,ROW())</definedName>
    <definedName name="Calc_Error" localSheetId="4">#REF!</definedName>
    <definedName name="Calc_OK" localSheetId="4">#REF!</definedName>
    <definedName name="CalcAgencyPrice" localSheetId="4">#REF!</definedName>
    <definedName name="Caldays" localSheetId="4">#REF!,#REF!,#REF!,#REF!,#REF!,#REF!,#REF!,#REF!,#REF!,#REF!,#REF!,#REF!,#REF!,#REF!,#REF!,#REF!,#REF!,#REF!,#REF!,#REF!,#REF!,#REF!,#REF!,#REF!,#REF!,#REF!,#REF!,#REF!,#REF!,#REF!,#REF!,#REF!,#REF!,#REF!,#REF!,#REF!,#REF!</definedName>
    <definedName name="calendarDays" localSheetId="4">#REF!,#REF!,#REF!,#REF!,#REF!,#REF!,#REF!,#REF!,#REF!,#REF!,#REF!,#REF!,#REF!,#REF!,#REF!,#REF!,#REF!,#REF!,#REF!,#REF!,#REF!,#REF!,#REF!,#REF!,#REF!,#REF!,#REF!,#REF!,#REF!,#REF!,#REF!,#REF!,#REF!,#REF!,#REF!,#REF!,#REF!</definedName>
    <definedName name="cashfl" localSheetId="4" hidden="1">{#N/A,#N/A,TRUE,"Cover";#N/A,#N/A,TRUE,"Conts";#N/A,#N/A,TRUE,"VOS";#N/A,#N/A,TRUE,"Warrington";#N/A,#N/A,TRUE,"Widnes"}</definedName>
    <definedName name="CB_VST" localSheetId="4" hidden="1">{#N/A,#N/A,FALSE,"CAM-G7";#N/A,#N/A,FALSE,"SPL";#N/A,#N/A,FALSE,"butt-in G7";#N/A,#N/A,FALSE,"dia-in G7";#N/A,#N/A,FALSE,"추가-STA G7"}</definedName>
    <definedName name="ccc" localSheetId="4" hidden="1">{#N/A,#N/A,FALSE,"SumD";#N/A,#N/A,FALSE,"ElecD";#N/A,#N/A,FALSE,"MechD";#N/A,#N/A,FALSE,"GeotD";#N/A,#N/A,FALSE,"PrcsD";#N/A,#N/A,FALSE,"TunnD";#N/A,#N/A,FALSE,"CivlD";#N/A,#N/A,FALSE,"NtwkD";#N/A,#N/A,FALSE,"EstgD";#N/A,#N/A,FALSE,"PEngD"}</definedName>
    <definedName name="cellsRightOfDay" localSheetId="4">#REF!,#REF!,#REF!,#REF!,#REF!,#REF!,#REF!,#REF!,#REF!,#REF!,#REF!,#REF!,#REF!,#REF!,#REF!,#REF!,#REF!,#REF!,#REF!,#REF!,#REF!,#REF!,#REF!,#REF!,#REF!,#REF!,#REF!,#REF!,#REF!,#REF!,#REF!,#REF!,#REF!,#REF!,#REF!,#REF!,#REF!</definedName>
    <definedName name="celltips_area" localSheetId="4">#REF!</definedName>
    <definedName name="chart1_1ano" localSheetId="4">OFFSET(#REF!,,,MATCH("",#REF!,0)-ROW(#REF!))</definedName>
    <definedName name="chart1_1mes" localSheetId="4">OFFSET(#REF!,,,MATCH("",#REF!,0)-ROW(#REF!))</definedName>
    <definedName name="Civ_Det_Des" localSheetId="4">IF(VLOOKUP(#REF!,price_civil,1,FALSE())=0,0,VLOOKUP(#REF!,price_civil,2,FALSE()))</definedName>
    <definedName name="Civ_Det_Des1" localSheetId="4">IF(VLOOKUP(#REF!,price_civil,1,FALSE())=0,0,VLOOKUP(#REF!,price_civil,2,FALSE()))</definedName>
    <definedName name="Cleaning_List" localSheetId="4">#REF!</definedName>
    <definedName name="CN" localSheetId="4">#REF!</definedName>
    <definedName name="cnpypaint" localSheetId="4">#REF!</definedName>
    <definedName name="CNTL_VALVE" localSheetId="4">#REF!</definedName>
    <definedName name="COMM_UOM" localSheetId="4">#REF!,#REF!,#REF!,#REF!,#REF!,#REF!,#REF!</definedName>
    <definedName name="COMMCODE" localSheetId="4">#REF!,#REF!,#REF!,#REF!,#REF!,#REF!,#REF!</definedName>
    <definedName name="Contract_sum1" localSheetId="4">#REF!</definedName>
    <definedName name="ContractAdministrator" localSheetId="4">#REF!</definedName>
    <definedName name="Contractor" localSheetId="4">#REF!</definedName>
    <definedName name="CORHourlyAdjustment" localSheetId="4">#REF!</definedName>
    <definedName name="Corporate" localSheetId="4">#REF!</definedName>
    <definedName name="CORRoundID" localSheetId="4">#REF!</definedName>
    <definedName name="cost" localSheetId="4" hidden="1">{#N/A,#N/A,TRUE,"Basic";#N/A,#N/A,TRUE,"EXT-TABLE";#N/A,#N/A,TRUE,"STEEL";#N/A,#N/A,TRUE,"INT-Table";#N/A,#N/A,TRUE,"STEEL";#N/A,#N/A,TRUE,"Door"}</definedName>
    <definedName name="COST2" localSheetId="4" hidden="1">{#N/A,#N/A,TRUE,"Basic";#N/A,#N/A,TRUE,"EXT-TABLE";#N/A,#N/A,TRUE,"STEEL";#N/A,#N/A,TRUE,"INT-Table";#N/A,#N/A,TRUE,"STEEL";#N/A,#N/A,TRUE,"Door"}</definedName>
    <definedName name="dada" localSheetId="4" hidden="1">{#N/A,#N/A,TRUE,"Cover";#N/A,#N/A,TRUE,"Conts";#N/A,#N/A,TRUE,"VOS";#N/A,#N/A,TRUE,"Warrington";#N/A,#N/A,TRUE,"Widnes"}</definedName>
    <definedName name="dblookup4analysis" localSheetId="4">dbreferencia&amp;dbano&amp;dbsemana&amp;dbproveedor</definedName>
    <definedName name="dblookup4chart1" localSheetId="4">dbano&amp;dbsemana&amp;dbproveedor&amp;dbreferencia&amp;dbcontrato</definedName>
    <definedName name="dbrwk1" localSheetId="4">#REF!</definedName>
    <definedName name="dbrwk10" localSheetId="4">#REF!</definedName>
    <definedName name="dbrwk11" localSheetId="4">#REF!</definedName>
    <definedName name="ddddd" localSheetId="4" hidden="1">{#N/A,#N/A,FALSE,"SumD";#N/A,#N/A,FALSE,"ElecD";#N/A,#N/A,FALSE,"MechD";#N/A,#N/A,FALSE,"GeotD";#N/A,#N/A,FALSE,"PrcsD";#N/A,#N/A,FALSE,"TunnD";#N/A,#N/A,FALSE,"CivlD";#N/A,#N/A,FALSE,"NtwkD";#N/A,#N/A,FALSE,"EstgD";#N/A,#N/A,FALSE,"PEngD"}</definedName>
    <definedName name="dddddddddddddd" localSheetId="4" hidden="1">{#N/A,#N/A,TRUE,"Basic";#N/A,#N/A,TRUE,"EXT-TABLE";#N/A,#N/A,TRUE,"STEEL";#N/A,#N/A,TRUE,"INT-Table";#N/A,#N/A,TRUE,"STEEL";#N/A,#N/A,TRUE,"Door"}</definedName>
    <definedName name="Delivery" localSheetId="4">#REF!</definedName>
    <definedName name="DelType" localSheetId="4">#REF!</definedName>
    <definedName name="Depth" localSheetId="4">#REF!</definedName>
    <definedName name="deptLookup" localSheetId="4">#REF!</definedName>
    <definedName name="Desc_Cntl_Valves" localSheetId="4">IF(VLOOKUP(#REF!,ConDesIntCert,2,FALSE())=0,0,VLOOKUP(#REF!,ConDesIntCert,2,FALSE()))</definedName>
    <definedName name="Desc_Conduit" localSheetId="4">IF(VLOOKUP(#REF!,ConDesStRetn,2,FALSE())=0,0,VLOOKUP(#REF!,ConDesStRetn,2,FALSE()))</definedName>
    <definedName name="Desc_DB" localSheetId="4">IF(VLOOKUP(#REF!,DELETE,2,FALSE())=0,0,VLOOKUP(#REF!,DELETE,2,FALSE()))</definedName>
    <definedName name="Desc_DB1" localSheetId="4">IF(VLOOKUP(#REF!,DELETE,3,FALSE())=0,0,VLOOKUP(#REF!,DELETE,3,FALSE()))</definedName>
    <definedName name="Desc_MV_Cable" localSheetId="4">IF(VLOOKUP(#REF!,claim,3,FALSE())=0,0,VLOOKUP(#REF!,claim,3,FALSE()))</definedName>
    <definedName name="Desc_Other" localSheetId="4">IF(VLOOKUP(#REF!,PA_CABLE,2,FALSE())=0,0,VLOOKUP(#REF!,PA_CABLE,2,FALSE()))</definedName>
    <definedName name="Desc_Par1_Conduit" localSheetId="4">IF(VLOOKUP(#REF!,ConDesStRetn,3,FALSE())=0,0,VLOOKUP(#REF!,ConDesStRetn,3,FALSE()))</definedName>
    <definedName name="Desc_Par1_DB" localSheetId="4">IF(VLOOKUP(#REF!,DELETE,5,FALSE())=0,0,VLOOKUP(#REF!,DELETE,5,FALSE()))</definedName>
    <definedName name="Desc_Par2_Conduit" localSheetId="4">IF(VLOOKUP(#REF!,ConDesStRetn,4,FALSE())=0,0,VLOOKUP(#REF!,ConDesStRetn,4,FALSE()))</definedName>
    <definedName name="Desc_Par3_DB" localSheetId="4">IF(VLOOKUP(#REF!,DELETE,6,FALSE())=0,0,VLOOKUP(#REF!,DELETE,6,FALSE()))</definedName>
    <definedName name="Desc_Par6_DB" localSheetId="4">IF(VLOOKUP(#REF!,DELETE,7,FALSE())=0,0,VLOOKUP(#REF!,DELETE,7,FALSE()))</definedName>
    <definedName name="Desc_Tray" localSheetId="4">IF(VLOOKUP(#REF!,TSD,3,FALSE())=0,0,VLOOKUP(#REF!,TSD,3,FALSE()))</definedName>
    <definedName name="Desc1_Conduit" localSheetId="4">IF(VLOOKUP(#REF!,ConDesStRetn,2,FALSE())=0,0,VLOOKUP(#REF!,ConDesStRetn,2,FALSE()))</definedName>
    <definedName name="Desc1_MV_Cable" localSheetId="4">IF(VLOOKUP(#REF!,claim,2,FALSE())=0,0,VLOOKUP(#REF!,claim,2,FALSE()))</definedName>
    <definedName name="Desc1_Other" localSheetId="4">IF(VLOOKUP(#REF!,PA_CABLE,2,FALSE())=0,0,VLOOKUP(#REF!,PA_CABLE,2,FALSE()))</definedName>
    <definedName name="Desc1_Par1_Conduit" localSheetId="4">IF(VLOOKUP(#REF!,ConDesStRetn,3,FALSE())=0,0,VLOOKUP(#REF!,ConDesStRetn,3,FALSE()))</definedName>
    <definedName name="Desc1_Tray" localSheetId="4">IF(VLOOKUP(#REF!,TSD,3,FALSE())=0,0,VLOOKUP(#REF!,TSD,3,FALSE()))</definedName>
    <definedName name="Desc2_MV_Cable" localSheetId="4">IF(VLOOKUP(#REF!,claim,3,FALSE())=0,0,VLOOKUP(#REF!,claim,3,FALSE()))</definedName>
    <definedName name="Desc2_Par2_Conduit" localSheetId="4">IF(VLOOKUP(#REF!,ConDesStRetn,4,FALSE())=0,0,VLOOKUP(#REF!,ConDesStRetn,4,FALSE()))</definedName>
    <definedName name="DESCRIPTION" localSheetId="4">#REF!,#REF!,#REF!,#REF!,#REF!,#REF!,#REF!</definedName>
    <definedName name="DESCRIPTION2" localSheetId="4">#REF!,#REF!,#REF!,#REF!,#REF!,#REF!,#REF!</definedName>
    <definedName name="dfdg" localSheetId="4" hidden="1">{#N/A,#N/A,FALSE,"골재소요량";#N/A,#N/A,FALSE,"골재소요량"}</definedName>
    <definedName name="dfffff" localSheetId="4" hidden="1">{#N/A,#N/A,FALSE,"SumG";#N/A,#N/A,FALSE,"ElecG";#N/A,#N/A,FALSE,"MechG";#N/A,#N/A,FALSE,"GeotG";#N/A,#N/A,FALSE,"PrcsG";#N/A,#N/A,FALSE,"TunnG";#N/A,#N/A,FALSE,"CivlG";#N/A,#N/A,FALSE,"NtwkG";#N/A,#N/A,FALSE,"EstgG";#N/A,#N/A,FALSE,"PEngG"}</definedName>
    <definedName name="DFK" localSheetId="4" hidden="1">{#N/A,#N/A,FALSE,"전력간선"}</definedName>
    <definedName name="dgfd" localSheetId="4" hidden="1">{#N/A,#N/A,FALSE,"SumG";#N/A,#N/A,FALSE,"ElecG";#N/A,#N/A,FALSE,"MechG";#N/A,#N/A,FALSE,"GeotG";#N/A,#N/A,FALSE,"PrcsG";#N/A,#N/A,FALSE,"TunnG";#N/A,#N/A,FALSE,"CivlG";#N/A,#N/A,FALSE,"NtwkG";#N/A,#N/A,FALSE,"EstgG";#N/A,#N/A,FALSE,"PEngG"}</definedName>
    <definedName name="dhdfh" localSheetId="4" hidden="1">{#N/A,#N/A,FALSE,"물량산출"}</definedName>
    <definedName name="dhdghh" localSheetId="4" hidden="1">{#N/A,#N/A,FALSE,"포장2"}</definedName>
    <definedName name="dhdhfh" localSheetId="4" hidden="1">{#N/A,#N/A,FALSE,"물량산출"}</definedName>
    <definedName name="dhdh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fdh" localSheetId="4" hidden="1">{#N/A,#N/A,FALSE,"운반시간"}</definedName>
    <definedName name="dhghdh" localSheetId="4" hidden="1">{#N/A,#N/A,FALSE,"갑지";#N/A,#N/A,FALSE,"개요";#N/A,#N/A,FALSE,"비목별";#N/A,#N/A,FALSE,"건물별";#N/A,#N/A,FALSE,"기구표";#N/A,#N/A,FALSE,"직원투입"}</definedName>
    <definedName name="dhghjhg" localSheetId="4" hidden="1">{#N/A,#N/A,FALSE,"물량산출"}</definedName>
    <definedName name="dhh"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IM" localSheetId="4" hidden="1">{#N/A,#N/A,FALSE,"CAM-G7";#N/A,#N/A,FALSE,"SPL";#N/A,#N/A,FALSE,"butt-in G7";#N/A,#N/A,FALSE,"dia-in G7";#N/A,#N/A,FALSE,"추가-STA G7"}</definedName>
    <definedName name="DIRECTHIRE_LABOR_UNIT_HOURS" localSheetId="4">#REF!,#REF!,#REF!,#REF!,#REF!,#REF!,#REF!</definedName>
    <definedName name="DIRECTHIRE_WAGE_RATE" localSheetId="4">#REF!,#REF!,#REF!,#REF!,#REF!,#REF!,#REF!</definedName>
    <definedName name="djhdgjdj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gjghj" localSheetId="4" hidden="1">{#N/A,#N/A,FALSE,"2~8번"}</definedName>
    <definedName name="djhkj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n" localSheetId="4" hidden="1">{#N/A,#N/A,FALSE,"혼합골재"}</definedName>
    <definedName name="doorsill" localSheetId="4">#REF!,#REF!,#REF!</definedName>
    <definedName name="dP_INST" localSheetId="4">#REF!</definedName>
    <definedName name="DSA" localSheetId="4" hidden="1">{#N/A,#N/A,FALSE,"물량산출"}</definedName>
    <definedName name="dsd" localSheetId="4" hidden="1">{#N/A,#N/A,FALSE,"포장1";#N/A,#N/A,FALSE,"포장1"}</definedName>
    <definedName name="Duration1" localSheetId="4">#REF!</definedName>
    <definedName name="DV_area_0" localSheetId="4">#REF!</definedName>
    <definedName name="DV_area_1" localSheetId="4">#REF!</definedName>
    <definedName name="dvbgf" localSheetId="4" hidden="1">{#N/A,#N/A,FALSE,"SumD";#N/A,#N/A,FALSE,"ElecD";#N/A,#N/A,FALSE,"MechD";#N/A,#N/A,FALSE,"GeotD";#N/A,#N/A,FALSE,"PrcsD";#N/A,#N/A,FALSE,"TunnD";#N/A,#N/A,FALSE,"CivlD";#N/A,#N/A,FALSE,"NtwkD";#N/A,#N/A,FALSE,"EstgD";#N/A,#N/A,FALSE,"PEngD"}</definedName>
    <definedName name="Ele" localSheetId="4" hidden="1">{"'Break down'!$A$4"}</definedName>
    <definedName name="EmbedQty" localSheetId="4">IF(Bitumen=1,#REF!*#REF!,#REF!*#REF!/1.685552931)</definedName>
    <definedName name="EmbedQty1" localSheetId="4">IF(Bitumen=1,#REF!*#REF!,#REF!*#REF!/1.685552931)</definedName>
    <definedName name="Eng_Hrs" localSheetId="4">#REF!</definedName>
    <definedName name="Eng_Rev" localSheetId="4">#REF!</definedName>
    <definedName name="Engineer" localSheetId="4">#REF!</definedName>
    <definedName name="er" localSheetId="4" hidden="1">{#N/A,#N/A,FALSE,"SumG";#N/A,#N/A,FALSE,"ElecG";#N/A,#N/A,FALSE,"MechG";#N/A,#N/A,FALSE,"GeotG";#N/A,#N/A,FALSE,"PrcsG";#N/A,#N/A,FALSE,"TunnG";#N/A,#N/A,FALSE,"CivlG";#N/A,#N/A,FALSE,"NtwkG";#N/A,#N/A,FALSE,"EstgG";#N/A,#N/A,FALSE,"PEngG"}</definedName>
    <definedName name="eryrte" localSheetId="4" hidden="1">{#N/A,#N/A,FALSE,"속도"}</definedName>
    <definedName name="estimateb" localSheetId="4" hidden="1">{#N/A,#N/A,TRUE,"Cover";#N/A,#N/A,TRUE,"Conts";#N/A,#N/A,TRUE,"VOS";#N/A,#N/A,TRUE,"Warrington";#N/A,#N/A,TRUE,"Widnes"}</definedName>
    <definedName name="etgewt" localSheetId="4" hidden="1">{#N/A,#N/A,FALSE,"CAM-G7";#N/A,#N/A,FALSE,"SPL";#N/A,#N/A,FALSE,"butt-in G7";#N/A,#N/A,FALSE,"dia-in G7";#N/A,#N/A,FALSE,"추가-STA G7"}</definedName>
    <definedName name="etrytwe" localSheetId="4" hidden="1">{#N/A,#N/A,FALSE,"CAM-G7";#N/A,#N/A,FALSE,"SPL";#N/A,#N/A,FALSE,"butt-in G7";#N/A,#N/A,FALSE,"dia-in G7";#N/A,#N/A,FALSE,"추가-STA G7"}</definedName>
    <definedName name="etwrtwt" localSheetId="4" hidden="1">{#N/A,#N/A,FALSE,"물량산출"}</definedName>
    <definedName name="ewtewtew" localSheetId="4" hidden="1">{#N/A,#N/A,FALSE,"CAM-G7";#N/A,#N/A,FALSE,"SPL";#N/A,#N/A,FALSE,"butt-in G7";#N/A,#N/A,FALSE,"dia-in G7";#N/A,#N/A,FALSE,"추가-STA G7"}</definedName>
    <definedName name="ewtw453wt" localSheetId="4" hidden="1">{#N/A,#N/A,FALSE,"토공2"}</definedName>
    <definedName name="eXCLUSIONS" localSheetId="4" hidden="1">{#N/A,#N/A,TRUE,"Cover";#N/A,#N/A,TRUE,"Conts";#N/A,#N/A,TRUE,"VOS";#N/A,#N/A,TRUE,"Warrington";#N/A,#N/A,TRUE,"Widnes"}</definedName>
    <definedName name="eytryerety" localSheetId="4" hidden="1">{#N/A,#N/A,FALSE,"배수2"}</definedName>
    <definedName name="fasfsdfsdfasdfsdfsd" localSheetId="4" hidden="1">{#N/A,#N/A,TRUE,"Basic";#N/A,#N/A,TRUE,"EXT-TABLE";#N/A,#N/A,TRUE,"STEEL";#N/A,#N/A,TRUE,"INT-Table";#N/A,#N/A,TRUE,"STEEL";#N/A,#N/A,TRUE,"Door"}</definedName>
    <definedName name="fd" localSheetId="4" hidden="1">{#N/A,#N/A,FALSE,"표지목차"}</definedName>
    <definedName name="fdff" localSheetId="4" hidden="1">{#N/A,#N/A,FALSE,"SumG";#N/A,#N/A,FALSE,"ElecG";#N/A,#N/A,FALSE,"MechG";#N/A,#N/A,FALSE,"GeotG";#N/A,#N/A,FALSE,"PrcsG";#N/A,#N/A,FALSE,"TunnG";#N/A,#N/A,FALSE,"CivlG";#N/A,#N/A,FALSE,"NtwkG";#N/A,#N/A,FALSE,"EstgG";#N/A,#N/A,FALSE,"PEngG"}</definedName>
    <definedName name="fdghdfhg" localSheetId="4" hidden="1">{#N/A,#N/A,FALSE,"2~8번"}</definedName>
    <definedName name="fdhdh" localSheetId="4" hidden="1">{#N/A,#N/A,FALSE,"갑지";#N/A,#N/A,FALSE,"개요";#N/A,#N/A,FALSE,"비목별";#N/A,#N/A,FALSE,"건물별";#N/A,#N/A,FALSE,"기구표";#N/A,#N/A,FALSE,"직원투입"}</definedName>
    <definedName name="fdhfdh" localSheetId="4" hidden="1">{#N/A,#N/A,FALSE,"운반시간"}</definedName>
    <definedName name="fdhghdfh" localSheetId="4" hidden="1">{#N/A,#N/A,FALSE,"물량산출"}</definedName>
    <definedName name="FDSA" localSheetId="4" hidden="1">{#N/A,#N/A,FALSE,"물량산출"}</definedName>
    <definedName name="fdsfsd" localSheetId="4" hidden="1">{#N/A,#N/A,FALSE,"갑지";#N/A,#N/A,FALSE,"개요";#N/A,#N/A,FALSE,"비목별";#N/A,#N/A,FALSE,"건물별";#N/A,#N/A,FALSE,"기구표";#N/A,#N/A,FALSE,"직원투입"}</definedName>
    <definedName name="FeedNEG" localSheetId="4">OFFSET(#REF!,0,0,COUNTA(#REF!)-1)</definedName>
    <definedName name="fffff" localSheetId="4" hidden="1">{#N/A,#N/A,TRUE,"Basic";#N/A,#N/A,TRUE,"EXT-TABLE";#N/A,#N/A,TRUE,"STEEL";#N/A,#N/A,TRUE,"INT-Table";#N/A,#N/A,TRUE,"STEEL";#N/A,#N/A,TRUE,"Door"}</definedName>
    <definedName name="ffffffffffffffffffffffffff" localSheetId="4">IF(#REF!="INS",VLOOKUP(#REF!,insb,HLOOKUP(#REF!,bop,2)+1,FALSE()),0)</definedName>
    <definedName name="FFR" localSheetId="4">#REF!</definedName>
    <definedName name="fg" localSheetId="4"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G" localSheetId="4" hidden="1">{#N/A,#N/A,FALSE,"CAM-G7";#N/A,#N/A,FALSE,"SPL";#N/A,#N/A,FALSE,"butt-in G7";#N/A,#N/A,FALSE,"dia-in G7";#N/A,#N/A,FALSE,"추가-STA G7"}</definedName>
    <definedName name="fghfg" localSheetId="4"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jhgfj" localSheetId="4" hidden="1">{#N/A,#N/A,FALSE,"CAM-G7";#N/A,#N/A,FALSE,"SPL";#N/A,#N/A,FALSE,"butt-in G7";#N/A,#N/A,FALSE,"dia-in G7";#N/A,#N/A,FALSE,"추가-STA G7"}</definedName>
    <definedName name="fhff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jgfjhg" localSheetId="4" hidden="1">{#N/A,#N/A,FALSE,"CAM-G7";#N/A,#N/A,FALSE,"SPL";#N/A,#N/A,FALSE,"butt-in G7";#N/A,#N/A,FALSE,"dia-in G7";#N/A,#N/A,FALSE,"추가-STA G7"}</definedName>
    <definedName name="FJDKS" localSheetId="4" hidden="1">{#N/A,#N/A,FALSE,"골재소요량";#N/A,#N/A,FALSE,"골재소요량"}</definedName>
    <definedName name="fjfghj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 localSheetId="4" hidden="1">{#N/A,#N/A,FALSE,"물량산출"}</definedName>
    <definedName name="fjfgjfg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hjf" localSheetId="4" hidden="1">{#N/A,#N/A,FALSE,"CAM-G7";#N/A,#N/A,FALSE,"SPL";#N/A,#N/A,FALSE,"butt-in G7";#N/A,#N/A,FALSE,"dia-in G7";#N/A,#N/A,FALSE,"추가-STA G7"}</definedName>
    <definedName name="fjfjfj" localSheetId="4" hidden="1">{#N/A,#N/A,FALSE,"CAM-G7";#N/A,#N/A,FALSE,"SPL";#N/A,#N/A,FALSE,"butt-in G7";#N/A,#N/A,FALSE,"dia-in G7";#N/A,#N/A,FALSE,"추가-STA G7"}</definedName>
    <definedName name="fjhgjghj" localSheetId="4" hidden="1">{#N/A,#N/A,FALSE,"CAM-G7";#N/A,#N/A,FALSE,"SPL";#N/A,#N/A,FALSE,"butt-in G7";#N/A,#N/A,FALSE,"dia-in G7";#N/A,#N/A,FALSE,"추가-STA G7"}</definedName>
    <definedName name="fjhjf" localSheetId="4" hidden="1">{#N/A,#N/A,FALSE,"CAM-G7";#N/A,#N/A,FALSE,"SPL";#N/A,#N/A,FALSE,"butt-in G7";#N/A,#N/A,FALSE,"dia-in G7";#N/A,#N/A,FALSE,"추가-STA G7"}</definedName>
    <definedName name="fjhjfgh" localSheetId="4" hidden="1">{#N/A,#N/A,FALSE,"CAM-G7";#N/A,#N/A,FALSE,"SPL";#N/A,#N/A,FALSE,"butt-in G7";#N/A,#N/A,FALSE,"dia-in G7";#N/A,#N/A,FALSE,"추가-STA G7"}</definedName>
    <definedName name="fjhjfgj" localSheetId="4" hidden="1">{#N/A,#N/A,FALSE,"혼합골재"}</definedName>
    <definedName name="fjhjfj" localSheetId="4" hidden="1">{#N/A,#N/A,FALSE,"CAM-G7";#N/A,#N/A,FALSE,"SPL";#N/A,#N/A,FALSE,"butt-in G7";#N/A,#N/A,FALSE,"dia-in G7";#N/A,#N/A,FALSE,"추가-STA G7"}</definedName>
    <definedName name="fjhjghjf" localSheetId="4" hidden="1">{#N/A,#N/A,FALSE,"운반시간"}</definedName>
    <definedName name="FKJKDSA" localSheetId="4" hidden="1">{#N/A,#N/A,FALSE,"골재소요량";#N/A,#N/A,FALSE,"골재소요량"}</definedName>
    <definedName name="Footer" localSheetId="4">IF(#REF!=GE,"GE","ST")</definedName>
    <definedName name="FormQty" localSheetId="4">IF(Bitumen=1,#REF!*#REF!,#REF!*#REF!/8.2296)</definedName>
    <definedName name="FormQty1" localSheetId="4">IF(Bitumen=1,#REF!*#REF!,#REF!*#REF!/8.2296)</definedName>
    <definedName name="FORMULA_ELECT" localSheetId="4">#REF!</definedName>
    <definedName name="FOS" localSheetId="4">#REF!</definedName>
    <definedName name="FPR" localSheetId="4">#REF!</definedName>
    <definedName name="fre" localSheetId="4" hidden="1">{#N/A,#N/A,TRUE,"Cover";#N/A,#N/A,TRUE,"Conts";#N/A,#N/A,TRUE,"VOS";#N/A,#N/A,TRUE,"Warrington";#N/A,#N/A,TRUE,"Widnes"}</definedName>
    <definedName name="fsda" localSheetId="4" hidden="1">{#N/A,#N/A,TRUE,"Basic";#N/A,#N/A,TRUE,"EXT-TABLE";#N/A,#N/A,TRUE,"STEEL";#N/A,#N/A,TRUE,"INT-Table";#N/A,#N/A,TRUE,"STEEL";#N/A,#N/A,TRUE,"Door"}</definedName>
    <definedName name="GFA" localSheetId="4">#REF!</definedName>
    <definedName name="gfdgfdg" localSheetId="4"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ss" localSheetId="4" hidden="1">{#N/A,#N/A,FALSE,"SumG";#N/A,#N/A,FALSE,"ElecG";#N/A,#N/A,FALSE,"MechG";#N/A,#N/A,FALSE,"GeotG";#N/A,#N/A,FALSE,"PrcsG";#N/A,#N/A,FALSE,"TunnG";#N/A,#N/A,FALSE,"CivlG";#N/A,#N/A,FALSE,"NtwkG";#N/A,#N/A,FALSE,"EstgG";#N/A,#N/A,FALSE,"PEngG"}</definedName>
    <definedName name="gfkjghk" localSheetId="4" hidden="1">{#N/A,#N/A,FALSE,"골재소요량";#N/A,#N/A,FALSE,"골재소요량"}</definedName>
    <definedName name="gg" localSheetId="4" hidden="1">{#N/A,#N/A,FALSE,"SumG";#N/A,#N/A,FALSE,"ElecG";#N/A,#N/A,FALSE,"MechG";#N/A,#N/A,FALSE,"GeotG";#N/A,#N/A,FALSE,"PrcsG";#N/A,#N/A,FALSE,"TunnG";#N/A,#N/A,FALSE,"CivlG";#N/A,#N/A,FALSE,"NtwkG";#N/A,#N/A,FALSE,"EstgG";#N/A,#N/A,FALSE,"PEngG"}</definedName>
    <definedName name="gggg" localSheetId="4" hidden="1">{#N/A,#N/A,FALSE,"SumD";#N/A,#N/A,FALSE,"ElecD";#N/A,#N/A,FALSE,"MechD";#N/A,#N/A,FALSE,"GeotD";#N/A,#N/A,FALSE,"PrcsD";#N/A,#N/A,FALSE,"TunnD";#N/A,#N/A,FALSE,"CivlD";#N/A,#N/A,FALSE,"NtwkD";#N/A,#N/A,FALSE,"EstgD";#N/A,#N/A,FALSE,"PEngD"}</definedName>
    <definedName name="ggk" localSheetId="4" hidden="1">{#N/A,#N/A,FALSE,"물량산출"}</definedName>
    <definedName name="ghdhdh" localSheetId="4" hidden="1">{#N/A,#N/A,FALSE,"표지목차"}</definedName>
    <definedName name="GHDW" localSheetId="4" hidden="1">{#N/A,#N/A,FALSE,"CAM-G7";#N/A,#N/A,FALSE,"SPL";#N/A,#N/A,FALSE,"butt-in G7";#N/A,#N/A,FALSE,"dia-in G7";#N/A,#N/A,FALSE,"추가-STA G7"}</definedName>
    <definedName name="ghfjfgh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gg" localSheetId="4" hidden="1">{#N/A,#N/A,FALSE,"SumG";#N/A,#N/A,FALSE,"ElecG";#N/A,#N/A,FALSE,"MechG";#N/A,#N/A,FALSE,"GeotG";#N/A,#N/A,FALSE,"PrcsG";#N/A,#N/A,FALSE,"TunnG";#N/A,#N/A,FALSE,"CivlG";#N/A,#N/A,FALSE,"NtwkG";#N/A,#N/A,FALSE,"EstgG";#N/A,#N/A,FALSE,"PEngG"}</definedName>
    <definedName name="ghhd"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jhg"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hgk" localSheetId="4" hidden="1">{#N/A,#N/A,FALSE,"물량산출"}</definedName>
    <definedName name="gkjk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gkgk" localSheetId="4" hidden="1">{#N/A,#N/A,FALSE,"전력간선"}</definedName>
    <definedName name="gWEG" localSheetId="4" hidden="1">{#N/A,#N/A,TRUE,"Cover";#N/A,#N/A,TRUE,"Conts";#N/A,#N/A,TRUE,"VOS";#N/A,#N/A,TRUE,"Warrington";#N/A,#N/A,TRUE,"Widnes"}</definedName>
    <definedName name="GWEGTew" localSheetId="4" hidden="1">{#N/A,#N/A,TRUE,"Cover";#N/A,#N/A,TRUE,"Conts";#N/A,#N/A,TRUE,"VOS";#N/A,#N/A,TRUE,"Warrington";#N/A,#N/A,TRUE,"Widnes"}</definedName>
    <definedName name="hello" localSheetId="4">#REF!</definedName>
    <definedName name="HEQ_9712" localSheetId="4">#REF!</definedName>
    <definedName name="here2" localSheetId="4">#REF!</definedName>
    <definedName name="histMonth" localSheetId="4">OFFSET(OFFSET(#REF!,1,0),,,#REF!)</definedName>
    <definedName name="histPrecio" localSheetId="4">OFFSET(OFFSET(#REF!,1,0),,,#REF!)</definedName>
    <definedName name="hjghjf" localSheetId="4" hidden="1">{#N/A,#N/A,FALSE,"표지목차"}</definedName>
    <definedName name="hjkghk"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mghj" localSheetId="4" hidden="1">{#N/A,#N/A,FALSE,"물량산출"}</definedName>
    <definedName name="hkdjdjh" localSheetId="4" hidden="1">{#N/A,#N/A,FALSE,"물량산출"}</definedName>
    <definedName name="HOIST기초" localSheetId="4" hidden="1">{#N/A,#N/A,FALSE,"물량산출"}</definedName>
    <definedName name="holidays" localSheetId="4">OFFSET(#REF!,1,0,COUNTA(#REF!),1)</definedName>
    <definedName name="HTML_Control" localSheetId="4" hidden="1">{"'Break down'!$A$4"}</definedName>
    <definedName name="iuouio" localSheetId="4" hidden="1">{#N/A,#N/A,FALSE,"물량산출"}</definedName>
    <definedName name="jdjhdj" localSheetId="4" hidden="1">{#N/A,#N/A,FALSE,"CAM-G7";#N/A,#N/A,FALSE,"SPL";#N/A,#N/A,FALSE,"butt-in G7";#N/A,#N/A,FALSE,"dia-in G7";#N/A,#N/A,FALSE,"추가-STA G7"}</definedName>
    <definedName name="jfhgjfj"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kdjf" localSheetId="4" hidden="1">{#N/A,#N/A,FALSE,"골재소요량";#N/A,#N/A,FALSE,"골재소요량"}</definedName>
    <definedName name="jghjgj" localSheetId="4" hidden="1">{#N/A,#N/A,FALSE,"물량산출"}</definedName>
    <definedName name="jghkg" localSheetId="4" hidden="1">{#N/A,#N/A,FALSE,"갑지";#N/A,#N/A,FALSE,"개요";#N/A,#N/A,FALSE,"비목별";#N/A,#N/A,FALSE,"건물별";#N/A,#N/A,FALSE,"기구표";#N/A,#N/A,FALSE,"직원투입"}</definedName>
    <definedName name="jh" localSheetId="4" hidden="1">{#N/A,#N/A,FALSE,"SumG";#N/A,#N/A,FALSE,"ElecG";#N/A,#N/A,FALSE,"MechG";#N/A,#N/A,FALSE,"GeotG";#N/A,#N/A,FALSE,"PrcsG";#N/A,#N/A,FALSE,"TunnG";#N/A,#N/A,FALSE,"CivlG";#N/A,#N/A,FALSE,"NtwkG";#N/A,#N/A,FALSE,"EstgG";#N/A,#N/A,FALSE,"PEngG"}</definedName>
    <definedName name="jhfgjfj" localSheetId="4" hidden="1">{#N/A,#N/A,FALSE,"CAM-G7";#N/A,#N/A,FALSE,"SPL";#N/A,#N/A,FALSE,"butt-in G7";#N/A,#N/A,FALSE,"dia-in G7";#N/A,#N/A,FALSE,"추가-STA G7"}</definedName>
    <definedName name="jhgfjfgjj" localSheetId="4" hidden="1">{#N/A,#N/A,FALSE,"운반시간"}</definedName>
    <definedName name="jhgjghj" localSheetId="4" hidden="1">{#N/A,#N/A,FALSE,"물량산출"}</definedName>
    <definedName name="jhkhgf" localSheetId="4" hidden="1">{#N/A,#N/A,FALSE,"갑지";#N/A,#N/A,FALSE,"개요";#N/A,#N/A,FALSE,"비목별";#N/A,#N/A,FALSE,"건물별";#N/A,#N/A,FALSE,"기구표";#N/A,#N/A,FALSE,"직원투입"}</definedName>
    <definedName name="jhkkg" localSheetId="4" hidden="1">{#N/A,#N/A,FALSE,"물량산출"}</definedName>
    <definedName name="jj" localSheetId="4" hidden="1">{#N/A,#N/A,TRUE,"Page de garde";#N/A,#N/A,TRUE,"Estimation ingénierie";#N/A,#N/A,TRUE,"Synthése des heures";#N/A,#N/A,TRUE,"Etudes préliminaires";#N/A,#N/A,TRUE,"Avant projet";#N/A,#N/A,TRUE,"Projet";#N/A,#N/A,TRUE,"Approvisionnement";#N/A,#N/A,TRUE,"Construction";#N/A,#N/A,TRUE,"Essais  mise en route"}</definedName>
    <definedName name="JK" localSheetId="4" hidden="1">{#N/A,#N/A,FALSE,"SumG";#N/A,#N/A,FALSE,"ElecG";#N/A,#N/A,FALSE,"MechG";#N/A,#N/A,FALSE,"GeotG";#N/A,#N/A,FALSE,"PrcsG";#N/A,#N/A,FALSE,"TunnG";#N/A,#N/A,FALSE,"CivlG";#N/A,#N/A,FALSE,"NtwkG";#N/A,#N/A,FALSE,"EstgG";#N/A,#N/A,FALSE,"PEngG"}</definedName>
    <definedName name="jkghk" localSheetId="4" hidden="1">{#N/A,#N/A,FALSE,"물량산출"}</definedName>
    <definedName name="jkhkh" localSheetId="4" hidden="1">{#N/A,#N/A,FALSE,"물량산출"}</definedName>
    <definedName name="jkj" localSheetId="4" hidden="1">{#N/A,#N/A,FALSE,"골재소요량";#N/A,#N/A,FALSE,"골재소요량"}</definedName>
    <definedName name="jytej" localSheetId="4" hidden="1">{#N/A,#N/A,FALSE,"갑지";#N/A,#N/A,FALSE,"개요";#N/A,#N/A,FALSE,"비목별";#N/A,#N/A,FALSE,"건물별";#N/A,#N/A,FALSE,"기구표";#N/A,#N/A,FALSE,"직원투입"}</definedName>
    <definedName name="kdhjdh" localSheetId="4" hidden="1">{#N/A,#N/A,FALSE,"단가표지"}</definedName>
    <definedName name="kfjdfjdj" localSheetId="4" hidden="1">{#N/A,#N/A,FALSE,"CAM-G7";#N/A,#N/A,FALSE,"SPL";#N/A,#N/A,FALSE,"butt-in G7";#N/A,#N/A,FALSE,"dia-in G7";#N/A,#N/A,FALSE,"추가-STA G7"}</definedName>
    <definedName name="khfgjsdj" localSheetId="4" hidden="1">{#N/A,#N/A,FALSE,"혼합골재"}</definedName>
    <definedName name="khgkhg" localSheetId="4" hidden="1">{#N/A,#N/A,FALSE,"물량산출"}</definedName>
    <definedName name="kjghfkj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hdjs" localSheetId="4" hidden="1">{#N/A,#N/A,FALSE,"CAM-G7";#N/A,#N/A,FALSE,"SPL";#N/A,#N/A,FALSE,"butt-in G7";#N/A,#N/A,FALSE,"dia-in G7";#N/A,#N/A,FALSE,"추가-STA G7"}</definedName>
    <definedName name="kjhgfdjdj" localSheetId="4" hidden="1">{#N/A,#N/A,FALSE,"물량산출"}</definedName>
    <definedName name="kjhkhk" localSheetId="4" hidden="1">{#N/A,#N/A,FALSE,"갑지";#N/A,#N/A,FALSE,"개요";#N/A,#N/A,FALSE,"비목별";#N/A,#N/A,FALSE,"건물별";#N/A,#N/A,FALSE,"기구표";#N/A,#N/A,FALSE,"직원투입"}</definedName>
    <definedName name="kjhkj" localSheetId="4" hidden="1">{#N/A,#N/A,FALSE,"SumG";#N/A,#N/A,FALSE,"ElecG";#N/A,#N/A,FALSE,"MechG";#N/A,#N/A,FALSE,"GeotG";#N/A,#N/A,FALSE,"PrcsG";#N/A,#N/A,FALSE,"TunnG";#N/A,#N/A,FALSE,"CivlG";#N/A,#N/A,FALSE,"NtwkG";#N/A,#N/A,FALSE,"EstgG";#N/A,#N/A,FALSE,"PEngG"}</definedName>
    <definedName name="kk" localSheetId="4">#REF!</definedName>
    <definedName name="KKK" localSheetId="4">#REF!</definedName>
    <definedName name="kloc" localSheetId="4">#REF!</definedName>
    <definedName name="Korean" localSheetId="4">#REF!,#REF!,#REF!,#REF!,#REF!,#REF!,#REF!,#REF!,#REF!</definedName>
    <definedName name="KSUB" localSheetId="4">#REF!</definedName>
    <definedName name="lcost" localSheetId="4">[0]!TMH*'QIC_ Actual_UP'!ulcost</definedName>
    <definedName name="lean" localSheetId="4">#REF!</definedName>
    <definedName name="LeanConcrete" localSheetId="4">#REF!</definedName>
    <definedName name="LeaveDays" localSheetId="4">#REF!</definedName>
    <definedName name="list" localSheetId="4" hidden="1">{#N/A,#N/A,TRUE,"Basic";#N/A,#N/A,TRUE,"EXT-TABLE";#N/A,#N/A,TRUE,"STEEL";#N/A,#N/A,TRUE,"INT-Table";#N/A,#N/A,TRUE,"STEEL";#N/A,#N/A,TRUE,"Door"}</definedName>
    <definedName name="list01" localSheetId="4" hidden="1">{#N/A,#N/A,TRUE,"Basic";#N/A,#N/A,TRUE,"EXT-TABLE";#N/A,#N/A,TRUE,"STEEL";#N/A,#N/A,TRUE,"INT-Table";#N/A,#N/A,TRUE,"STEEL";#N/A,#N/A,TRUE,"Door"}</definedName>
    <definedName name="lkjljl" localSheetId="4" hidden="1">{#N/A,#N/A,FALSE,"혼합골재"}</definedName>
    <definedName name="LKL" localSheetId="4" hidden="1">{#N/A,#N/A,FALSE,"SumG";#N/A,#N/A,FALSE,"ElecG";#N/A,#N/A,FALSE,"MechG";#N/A,#N/A,FALSE,"GeotG";#N/A,#N/A,FALSE,"PrcsG";#N/A,#N/A,FALSE,"TunnG";#N/A,#N/A,FALSE,"CivlG";#N/A,#N/A,FALSE,"NtwkG";#N/A,#N/A,FALSE,"EstgG";#N/A,#N/A,FALSE,"PEngG"}</definedName>
    <definedName name="lllll" localSheetId="4" hidden="1">{#N/A,#N/A,FALSE,"Pricing";#N/A,#N/A,FALSE,"Summary";#N/A,#N/A,FALSE,"CompProd";#N/A,#N/A,FALSE,"CompJobhrs";#N/A,#N/A,FALSE,"Escalation";#N/A,#N/A,FALSE,"Contingency";#N/A,#N/A,FALSE,"GM";#N/A,#N/A,FALSE,"CompWage";#N/A,#N/A,FALSE,"costSum"}</definedName>
    <definedName name="LookPump" localSheetId="4">IF(VLOOKUP(#REF!,LTG_PWR_EQUIP,2)="HELP","HELP",VLOOKUP(#REF!,LTG_PWR_EQUIP,2))</definedName>
    <definedName name="LookPump1" localSheetId="4">IF(VLOOKUP(#REF!,LTG_PWR_EQUIP,2)="HELP","HELP",VLOOKUP(#REF!,LTG_PWR_EQUIP,2))</definedName>
    <definedName name="mm" localSheetId="4" hidden="1">{#N/A,#N/A,TRUE,"Page de garde";#N/A,#N/A,TRUE,"Estimation ingénierie";#N/A,#N/A,TRUE,"Synthése des heures";#N/A,#N/A,TRUE,"Etudes préliminaires";#N/A,#N/A,TRUE,"Avant projet";#N/A,#N/A,TRUE,"Projet";#N/A,#N/A,TRUE,"Approvisionnement";#N/A,#N/A,TRUE,"Construction";#N/A,#N/A,TRUE,"Essais  mise en route"}</definedName>
    <definedName name="momo" localSheetId="4" hidden="1">{#N/A,#N/A,TRUE,"Page de garde";#N/A,#N/A,TRUE,"Estimation ingénierie";#N/A,#N/A,TRUE,"Synthése des heures";#N/A,#N/A,TRUE,"Etudes préliminaires";#N/A,#N/A,TRUE,"Avant projet";#N/A,#N/A,TRUE,"Projet";#N/A,#N/A,TRUE,"Approvisionnement";#N/A,#N/A,TRUE,"Construction";#N/A,#N/A,TRUE,"Essais  mise en route"}</definedName>
    <definedName name="MOVE1" localSheetId="4">#REF!,#REF!</definedName>
    <definedName name="MOVE2" localSheetId="4">#REF!,#REF!</definedName>
    <definedName name="MOVE3" localSheetId="4">#REF!,#REF!</definedName>
    <definedName name="NegativeFeedback" localSheetId="4">OFFSET(#REF!,0,0,COUNTA(#REF!)-1)</definedName>
    <definedName name="nego검토"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4">#REF!</definedName>
    <definedName name="Newfoundland" localSheetId="4">#REF!</definedName>
    <definedName name="newnew" localSheetId="4">#REF!</definedName>
    <definedName name="nn" localSheetId="4" hidden="1">{#N/A,#N/A,TRUE,"Page de garde";#N/A,#N/A,TRUE,"Estimation ingénierie";#N/A,#N/A,TRUE,"Synthése des heures";#N/A,#N/A,TRUE,"Etudes préliminaires";#N/A,#N/A,TRUE,"Avant projet";#N/A,#N/A,TRUE,"Projet";#N/A,#N/A,TRUE,"Approvisionnement";#N/A,#N/A,TRUE,"Construction";#N/A,#N/A,TRUE,"Essais  mise en route"}</definedName>
    <definedName name="nnn" localSheetId="4" hidden="1">{#N/A,#N/A,FALSE,"SumD";#N/A,#N/A,FALSE,"ElecD";#N/A,#N/A,FALSE,"MechD";#N/A,#N/A,FALSE,"GeotD";#N/A,#N/A,FALSE,"PrcsD";#N/A,#N/A,FALSE,"TunnD";#N/A,#N/A,FALSE,"CivlD";#N/A,#N/A,FALSE,"NtwkD";#N/A,#N/A,FALSE,"EstgD";#N/A,#N/A,FALSE,"PEngD"}</definedName>
    <definedName name="nnnnn" localSheetId="4" hidden="1">{#N/A,#N/A,FALSE,"SumG";#N/A,#N/A,FALSE,"ElecG";#N/A,#N/A,FALSE,"MechG";#N/A,#N/A,FALSE,"GeotG";#N/A,#N/A,FALSE,"PrcsG";#N/A,#N/A,FALSE,"TunnG";#N/A,#N/A,FALSE,"CivlG";#N/A,#N/A,FALSE,"NtwkG";#N/A,#N/A,FALSE,"EstgG";#N/A,#N/A,FALSE,"PEngG"}</definedName>
    <definedName name="OSBL" localSheetId="4" hidden="1">{"'장비'!$A$3:$M$12"}</definedName>
    <definedName name="OSBL1" localSheetId="4" hidden="1">{"'장비'!$A$3:$M$12"}</definedName>
    <definedName name="OTHERS" localSheetId="4" hidden="1">{"'장비'!$A$3:$M$12"}</definedName>
    <definedName name="PD점검구관련" localSheetId="4" hidden="1">{#N/A,#N/A,FALSE,"물량산출"}</definedName>
    <definedName name="PositiveFeedback" localSheetId="4">OFFSET(#REF!,0,0,COUNTA(#REF!)-1)</definedName>
    <definedName name="price" localSheetId="4">'[1]KEY Data – do not delete –'!#REF!</definedName>
    <definedName name="Price_Acoust._Ceil" localSheetId="4">#REF!</definedName>
    <definedName name="Price_Block" localSheetId="4">#REF!</definedName>
    <definedName name="Price_Brick" localSheetId="4">#REF!</definedName>
    <definedName name="PrintTotal" localSheetId="4">#REF!</definedName>
    <definedName name="PRJ_CODE" localSheetId="4">#REF!</definedName>
    <definedName name="PRJ_ELBK_CST_EDITBY" localSheetId="4">#REF!</definedName>
    <definedName name="qqqq" localSheetId="4" hidden="1">{"'장비'!$A$3:$M$12"}</definedName>
    <definedName name="qqqqq" localSheetId="4" hidden="1">{#N/A,#N/A,TRUE,"Basic";#N/A,#N/A,TRUE,"EXT-TABLE";#N/A,#N/A,TRUE,"STEEL";#N/A,#N/A,TRUE,"INT-Table";#N/A,#N/A,TRUE,"STEEL";#N/A,#N/A,TRUE,"Door"}</definedName>
    <definedName name="qr" localSheetId="4" hidden="1">{#N/A,#N/A,TRUE,"Cover";#N/A,#N/A,TRUE,"Conts";#N/A,#N/A,TRUE,"VOS";#N/A,#N/A,TRUE,"Warrington";#N/A,#N/A,TRUE,"Widnes"}</definedName>
    <definedName name="QTY" localSheetId="4">input</definedName>
    <definedName name="Qty." localSheetId="4">#REF!</definedName>
    <definedName name="Qty_1" localSheetId="4">#REF!</definedName>
    <definedName name="Qty_Ceiling" localSheetId="4">#REF!</definedName>
    <definedName name="Qty_Cntl_Valves" localSheetId="4">ROUND(IF(VLOOKUP(#REF!,ConDesIntCert,9,FALSE())=0,0,VLOOKUP(#REF!,ConDesIntCert,9,FALSE())),0)</definedName>
    <definedName name="QUANTITY" localSheetId="4">#REF!,#REF!,#REF!,#REF!,#REF!,#REF!,#REF!</definedName>
    <definedName name="Quotation" localSheetId="4">#REF!</definedName>
    <definedName name="qw" localSheetId="4">IF(VLOOKUP(#REF!,claim,16,FALSE())=0,0,VLOOKUP(#REF!,claim,16,FALSE()))</definedName>
    <definedName name="raj" localSheetId="4">#REF!</definedName>
    <definedName name="Rate" localSheetId="4">#REF!</definedName>
    <definedName name="Rate_Lookup" localSheetId="4">#REF!</definedName>
    <definedName name="Rate_Rank" localSheetId="4">#REF!</definedName>
    <definedName name="RebarQty" localSheetId="4">IF(Bitumen=1,(#REF!*#REF!)/2000,(#REF!*#REF!)/1685.552931)</definedName>
    <definedName name="RebarQty1" localSheetId="4">IF(Bitumen=1,(#REF!*#REF!)/2000,(#REF!*#REF!)/1685.552931)</definedName>
    <definedName name="RECEPT" localSheetId="4">#REF!</definedName>
    <definedName name="_xlnm.Recorder" localSheetId="4">#REF!</definedName>
    <definedName name="RED" localSheetId="4">#REF!</definedName>
    <definedName name="reeyte" localSheetId="4" hidden="1">{#N/A,#N/A,FALSE,"배수1"}</definedName>
    <definedName name="retert" localSheetId="4" hidden="1">{#N/A,#N/A,FALSE,"조골재"}</definedName>
    <definedName name="retetet" localSheetId="4" hidden="1">{#N/A,#N/A,FALSE,"CAM-G7";#N/A,#N/A,FALSE,"SPL";#N/A,#N/A,FALSE,"butt-in G7";#N/A,#N/A,FALSE,"dia-in G7";#N/A,#N/A,FALSE,"추가-STA G7"}</definedName>
    <definedName name="retewt" localSheetId="4" hidden="1">{#N/A,#N/A,FALSE,"CAM-G7";#N/A,#N/A,FALSE,"SPL";#N/A,#N/A,FALSE,"butt-in G7";#N/A,#N/A,FALSE,"dia-in G7";#N/A,#N/A,FALSE,"추가-STA G7"}</definedName>
    <definedName name="reytryert" localSheetId="4" hidden="1">{#N/A,#N/A,FALSE,"단가표지"}</definedName>
    <definedName name="reyyrteyw" localSheetId="4" hidden="1">{#N/A,#N/A,FALSE,"2~8번"}</definedName>
    <definedName name="RFP002_CIVIL_FC" localSheetId="4">#REF!</definedName>
    <definedName name="RFP002_CIVIL_LC" localSheetId="4">#REF!</definedName>
    <definedName name="RFP002_ELEC_FC" localSheetId="4">#REF!</definedName>
    <definedName name="rr" localSheetId="4" hidden="1">{#N/A,#N/A,FALSE,"SumD";#N/A,#N/A,FALSE,"ElecD";#N/A,#N/A,FALSE,"MechD";#N/A,#N/A,FALSE,"GeotD";#N/A,#N/A,FALSE,"PrcsD";#N/A,#N/A,FALSE,"TunnD";#N/A,#N/A,FALSE,"CivlD";#N/A,#N/A,FALSE,"NtwkD";#N/A,#N/A,FALSE,"EstgD";#N/A,#N/A,FALSE,"PEngD"}</definedName>
    <definedName name="RSRC" localSheetId="4">#REF!</definedName>
    <definedName name="rter" localSheetId="4" hidden="1">{#N/A,#N/A,FALSE,"물량산출"}</definedName>
    <definedName name="rtwt" localSheetId="4" hidden="1">{#N/A,#N/A,FALSE,"물량산출"}</definedName>
    <definedName name="rtyr4" localSheetId="4" hidden="1">{#N/A,#N/A,FALSE,"혼합골재"}</definedName>
    <definedName name="rtytryery" localSheetId="4" hidden="1">{#N/A,#N/A,FALSE,"구조2"}</definedName>
    <definedName name="sadas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 localSheetId="4" hidden="1">{#N/A,#N/A,FALSE,"물량산출"}</definedName>
    <definedName name="safasf"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caffolding" localSheetId="4" hidden="1">{"'Break down'!$A$4"}</definedName>
    <definedName name="scarce" localSheetId="4" hidden="1">{#N/A,#N/A,FALSE,"Summary";#N/A,#N/A,FALSE,"3TJ";#N/A,#N/A,FALSE,"3TN";#N/A,#N/A,FALSE,"3TP";#N/A,#N/A,FALSE,"3SJ";#N/A,#N/A,FALSE,"3CJ";#N/A,#N/A,FALSE,"3CN";#N/A,#N/A,FALSE,"3CP";#N/A,#N/A,FALSE,"3A"}</definedName>
    <definedName name="sd" localSheetId="4" hidden="1">{#N/A,#N/A,FALSE,"SumG";#N/A,#N/A,FALSE,"ElecG";#N/A,#N/A,FALSE,"MechG";#N/A,#N/A,FALSE,"GeotG";#N/A,#N/A,FALSE,"PrcsG";#N/A,#N/A,FALSE,"TunnG";#N/A,#N/A,FALSE,"CivlG";#N/A,#N/A,FALSE,"NtwkG";#N/A,#N/A,FALSE,"EstgG";#N/A,#N/A,FALSE,"PEngG"}</definedName>
    <definedName name="SDFE" localSheetId="4" hidden="1">{#N/A,#N/A,FALSE,"CAM-G7";#N/A,#N/A,FALSE,"SPL";#N/A,#N/A,FALSE,"butt-in G7";#N/A,#N/A,FALSE,"dia-in G7";#N/A,#N/A,FALSE,"추가-STA G7"}</definedName>
    <definedName name="sds" localSheetId="4" hidden="1">{#N/A,#N/A,FALSE,"포장2"}</definedName>
    <definedName name="SEC___INCIDENT" localSheetId="4">#REF!</definedName>
    <definedName name="Services_FM" localSheetId="4">#REF!</definedName>
    <definedName name="Services2" localSheetId="4" hidden="1">{#N/A,#N/A,FALSE,"Pricing";#N/A,#N/A,FALSE,"Summary";#N/A,#N/A,FALSE,"CompProd";#N/A,#N/A,FALSE,"CompJobhrs";#N/A,#N/A,FALSE,"Escalation";#N/A,#N/A,FALSE,"Contingency";#N/A,#N/A,FALSE,"GM";#N/A,#N/A,FALSE,"CompWage";#N/A,#N/A,FALSE,"costSum"}</definedName>
    <definedName name="sfas" localSheetId="4" hidden="1">{#N/A,#N/A,FALSE,"골재소요량";#N/A,#N/A,FALSE,"골재소요량"}</definedName>
    <definedName name="sffff" localSheetId="4" hidden="1">{#N/A,#N/A,FALSE,"SumD";#N/A,#N/A,FALSE,"ElecD";#N/A,#N/A,FALSE,"MechD";#N/A,#N/A,FALSE,"GeotD";#N/A,#N/A,FALSE,"PrcsD";#N/A,#N/A,FALSE,"TunnD";#N/A,#N/A,FALSE,"CivlD";#N/A,#N/A,FALSE,"NtwkD";#N/A,#N/A,FALSE,"EstgD";#N/A,#N/A,FALSE,"PEngD"}</definedName>
    <definedName name="sfsafas" localSheetId="4" hidden="1">{#N/A,#N/A,FALSE,"물량산출"}</definedName>
    <definedName name="sgsg" localSheetId="4" hidden="1">{#N/A,#N/A,FALSE,"CAM-G7";#N/A,#N/A,FALSE,"SPL";#N/A,#N/A,FALSE,"butt-in G7";#N/A,#N/A,FALSE,"dia-in G7";#N/A,#N/A,FALSE,"추가-STA G7"}</definedName>
    <definedName name="sgsrgr" localSheetId="4" hidden="1">{#N/A,#N/A,FALSE,"물량산출"}</definedName>
    <definedName name="sheet1" localSheetId="4" hidden="1">{#N/A,#N/A,FALSE,"SumD";#N/A,#N/A,FALSE,"ElecD";#N/A,#N/A,FALSE,"MechD";#N/A,#N/A,FALSE,"GeotD";#N/A,#N/A,FALSE,"PrcsD";#N/A,#N/A,FALSE,"TunnD";#N/A,#N/A,FALSE,"CivlD";#N/A,#N/A,FALSE,"NtwkD";#N/A,#N/A,FALSE,"EstgD";#N/A,#N/A,FALSE,"PEngD"}</definedName>
    <definedName name="shjhj" localSheetId="4" hidden="1">{#N/A,#N/A,FALSE,"CAM-G7";#N/A,#N/A,FALSE,"SPL";#N/A,#N/A,FALSE,"butt-in G7";#N/A,#N/A,FALSE,"dia-in G7";#N/A,#N/A,FALSE,"추가-STA G7"}</definedName>
    <definedName name="shs" localSheetId="4" hidden="1">{#N/A,#N/A,FALSE,"CAM-G7";#N/A,#N/A,FALSE,"SPL";#N/A,#N/A,FALSE,"butt-in G7";#N/A,#N/A,FALSE,"dia-in G7";#N/A,#N/A,FALSE,"추가-STA G7"}</definedName>
    <definedName name="SPEC_1" localSheetId="4">#REF!</definedName>
    <definedName name="SPEC_10" localSheetId="4">#REF!</definedName>
    <definedName name="SPEC_11" localSheetId="4">#REF!</definedName>
    <definedName name="SS" localSheetId="4" hidden="1">{#N/A,#N/A,FALSE,"CAM-G7";#N/A,#N/A,FALSE,"SPL";#N/A,#N/A,FALSE,"butt-in G7";#N/A,#N/A,FALSE,"dia-in G7";#N/A,#N/A,FALSE,"추가-STA G7"}</definedName>
    <definedName name="ssshhh" localSheetId="4" hidden="1">{#N/A,#N/A,FALSE,"SumG";#N/A,#N/A,FALSE,"ElecG";#N/A,#N/A,FALSE,"MechG";#N/A,#N/A,FALSE,"GeotG";#N/A,#N/A,FALSE,"PrcsG";#N/A,#N/A,FALSE,"TunnG";#N/A,#N/A,FALSE,"CivlG";#N/A,#N/A,FALSE,"NtwkG";#N/A,#N/A,FALSE,"EstgG";#N/A,#N/A,FALSE,"PEngG"}</definedName>
    <definedName name="sssss" localSheetId="4" hidden="1">{#N/A,#N/A,FALSE,"SumD";#N/A,#N/A,FALSE,"ElecD";#N/A,#N/A,FALSE,"MechD";#N/A,#N/A,FALSE,"GeotD";#N/A,#N/A,FALSE,"PrcsD";#N/A,#N/A,FALSE,"TunnD";#N/A,#N/A,FALSE,"CivlD";#N/A,#N/A,FALSE,"NtwkD";#N/A,#N/A,FALSE,"EstgD";#N/A,#N/A,FALSE,"PEngD"}</definedName>
    <definedName name="structures" localSheetId="4" hidden="1">{#N/A,#N/A,FALSE,"SumD";#N/A,#N/A,FALSE,"ElecD";#N/A,#N/A,FALSE,"MechD";#N/A,#N/A,FALSE,"GeotD";#N/A,#N/A,FALSE,"PrcsD";#N/A,#N/A,FALSE,"TunnD";#N/A,#N/A,FALSE,"CivlD";#N/A,#N/A,FALSE,"NtwkD";#N/A,#N/A,FALSE,"EstgD";#N/A,#N/A,FALSE,"PEngD"}</definedName>
    <definedName name="SUBCONTRACT_MTRL_UNIT_COST" localSheetId="4">#REF!,#REF!,#REF!,#REF!,#REF!,#REF!,#REF!</definedName>
    <definedName name="Submission" localSheetId="4">#REF!</definedName>
    <definedName name="TA" localSheetId="4" hidden="1">{#N/A,#N/A,FALSE,"CAM-G7";#N/A,#N/A,FALSE,"SPL";#N/A,#N/A,FALSE,"butt-in G7";#N/A,#N/A,FALSE,"dia-in G7";#N/A,#N/A,FALSE,"추가-STA G7"}</definedName>
    <definedName name="Taxes" localSheetId="4">#REF!</definedName>
    <definedName name="tbarri" localSheetId="4">#REF!</definedName>
    <definedName name="Tbc" localSheetId="4">#REF!</definedName>
    <definedName name="TC" localSheetId="4">'QIC_Contractual_ UP'!QTY*unit</definedName>
    <definedName name="tcant" localSheetId="4">#REF!</definedName>
    <definedName name="tcpdp" localSheetId="4">#REF!</definedName>
    <definedName name="TC임대" localSheetId="4" hidden="1">{#N/A,#N/A,FALSE,"물량산출"}</definedName>
    <definedName name="temp" localSheetId="4">#REF!,#REF!,#REF!,#REF!,#REF!</definedName>
    <definedName name="temp_strainer" localSheetId="4">#REF!</definedName>
    <definedName name="test" localSheetId="4" hidden="1">{#N/A,#N/A,FALSE,"Pricing";#N/A,#N/A,FALSE,"Summary";#N/A,#N/A,FALSE,"CompProd";#N/A,#N/A,FALSE,"CompJobhrs";#N/A,#N/A,FALSE,"Escalation";#N/A,#N/A,FALSE,"Contingency";#N/A,#N/A,FALSE,"GM";#N/A,#N/A,FALSE,"CompWage";#N/A,#N/A,FALSE,"costSum"}</definedName>
    <definedName name="TMH" localSheetId="4">'QIC_Contractual_ UP'!QTY*UMH</definedName>
    <definedName name="tmp" localSheetId="4" hidden="1">{"'Break down'!$A$4"}</definedName>
    <definedName name="Tray_Width" localSheetId="4">IF(VLOOKUP(#REF!,TSD,2,FALSE())=0,0,VLOOKUP(#REF!,TSD,2,FALSE()))</definedName>
    <definedName name="Tray1_Width" localSheetId="4">IF(VLOOKUP(#REF!,TSD,2,FALSE())=0,0,VLOOKUP(#REF!,TSD,2,FALSE()))</definedName>
    <definedName name="tretew" localSheetId="4" hidden="1">{#N/A,#N/A,FALSE,"CAM-G7";#N/A,#N/A,FALSE,"SPL";#N/A,#N/A,FALSE,"butt-in G7";#N/A,#N/A,FALSE,"dia-in G7";#N/A,#N/A,FALSE,"추가-STA G7"}</definedName>
    <definedName name="tw4t3" localSheetId="4" hidden="1">{#N/A,#N/A,FALSE,"포장2"}</definedName>
    <definedName name="tweterwt" localSheetId="4" hidden="1">{#N/A,#N/A,FALSE,"CAM-G7";#N/A,#N/A,FALSE,"SPL";#N/A,#N/A,FALSE,"butt-in G7";#N/A,#N/A,FALSE,"dia-in G7";#N/A,#N/A,FALSE,"추가-STA G7"}</definedName>
    <definedName name="twetewt" localSheetId="4" hidden="1">{#N/A,#N/A,FALSE,"물량산출"}</definedName>
    <definedName name="twetwet" localSheetId="4" hidden="1">{#N/A,#N/A,FALSE,"전력간선"}</definedName>
    <definedName name="twetwetw" localSheetId="4" hidden="1">{#N/A,#N/A,FALSE,"물량산출"}</definedName>
    <definedName name="twetwt" localSheetId="4" hidden="1">{#N/A,#N/A,FALSE,"구조1"}</definedName>
    <definedName name="twwt" localSheetId="4" hidden="1">{#N/A,#N/A,FALSE,"단가표지"}</definedName>
    <definedName name="type" localSheetId="4">#REF!</definedName>
    <definedName name="U" localSheetId="4">#REF!</definedName>
    <definedName name="U_G" localSheetId="4">#REF!</definedName>
    <definedName name="UHrs_Civil" localSheetId="4">#N/A</definedName>
    <definedName name="Uhrs_Cntl_Valves" localSheetId="4">ROUND(IF(VLOOKUP(#REF!,ConDesIntCert,12,FALSE())=0,0,VLOOKUP(#REF!,ConDesIntCert,12,FALSE())),2)</definedName>
    <definedName name="UHrs_Conduit" localSheetId="4">IF(VLOOKUP(#REF!,ConDesStRetn,12,FALSE())=0,0,VLOOKUP(#REF!,ConDesStRetn,12,FALSE()))</definedName>
    <definedName name="Uhrs_DB" localSheetId="4">IF(VLOOKUP(#REF!,DELETE,12,FALSE())=0,0,VLOOKUP(#REF!,DELETE,12,FALSE()))</definedName>
    <definedName name="UHrs_MV_Cable" localSheetId="4">IF(VLOOKUP(#REF!,claim,10,FALSE())=0,0,VLOOKUP(#REF!,claim,10,FALSE()))</definedName>
    <definedName name="UHrs_Other" localSheetId="4">IF(VLOOKUP(#REF!,PA_CABLE,10,FALSE())=0,0,VLOOKUP(#REF!,PA_CABLE,10,FALSE()))</definedName>
    <definedName name="UHrs_tray" localSheetId="4">IF(VLOOKUP(#REF!,TSD,14,FALSE())=0,0,VLOOKUP(#REF!,TSD,14,FALSE()))</definedName>
    <definedName name="Uhrs1_Civil" localSheetId="4">#N/A</definedName>
    <definedName name="UHrs1_Conduit" localSheetId="4">IF(VLOOKUP(#REF!,ConDesStRetn,10,FALSE())=0,0,VLOOKUP(#REF!,ConDesStRetn,10,FALSE()))</definedName>
    <definedName name="UHrs1_MV_Cable" localSheetId="4">IF(VLOOKUP(#REF!,claim,10,FALSE())=0,0,VLOOKUP(#REF!,claim,10,FALSE()))</definedName>
    <definedName name="UHrs1_Other" localSheetId="4">IF(VLOOKUP(#REF!,PA_CABLE,10,FALSE())=0,0,VLOOKUP(#REF!,PA_CABLE,10,FALSE()))</definedName>
    <definedName name="UHrs1_tray" localSheetId="4">IF(VLOOKUP(#REF!,TSD,12,FALSE())=0,0,VLOOKUP(#REF!,TSD,12,FALSE()))</definedName>
    <definedName name="uj" localSheetId="4" hidden="1">{#N/A,#N/A,FALSE,"SumG";#N/A,#N/A,FALSE,"ElecG";#N/A,#N/A,FALSE,"MechG";#N/A,#N/A,FALSE,"GeotG";#N/A,#N/A,FALSE,"PrcsG";#N/A,#N/A,FALSE,"TunnG";#N/A,#N/A,FALSE,"CivlG";#N/A,#N/A,FALSE,"NtwkG";#N/A,#N/A,FALSE,"EstgG";#N/A,#N/A,FALSE,"PEngG"}</definedName>
    <definedName name="ulcost" localSheetId="4">#REF!-#REF!</definedName>
    <definedName name="ULD" localSheetId="4">#REF!</definedName>
    <definedName name="ululyulu"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atl_Civil" localSheetId="4">#N/A</definedName>
    <definedName name="UMatl_Cntl_Valves" localSheetId="4">ROUND(IF(VLOOKUP(#REF!,ConDesIntCert,10,FALSE())=0,0,VLOOKUP(#REF!,ConDesIntCert,10,FALSE())),-2)</definedName>
    <definedName name="UMatl_Conduit" localSheetId="4">IF(VLOOKUP(#REF!,ConDesStRetn,11,FALSE())=0,0,VLOOKUP(#REF!,ConDesStRetn,11,FALSE()))</definedName>
    <definedName name="UMatl_DB" localSheetId="4">IF(VLOOKUP(#REF!,DELETE,11,FALSE())=0,0,VLOOKUP(#REF!,DELETE,11,FALSE()))</definedName>
    <definedName name="UMatl_MV_Cable" localSheetId="4">IF(VLOOKUP(#REF!,claim,9,FALSE())=0,0,VLOOKUP(#REF!,claim,9,FALSE()))</definedName>
    <definedName name="UMatl_Other" localSheetId="4">IF(VLOOKUP(#REF!,PA_CABLE,9,FALSE())=0,0,VLOOKUP(#REF!,PA_CABLE,9,FALSE()))</definedName>
    <definedName name="UMatl_Tray" localSheetId="4">IF(VLOOKUP(#REF!,TSD,13,FALSE())=0,0,VLOOKUP(#REF!,TSD,13,FALSE()))</definedName>
    <definedName name="UMatl1_Civil" localSheetId="4">#N/A</definedName>
    <definedName name="UMatl1_Conduit" localSheetId="4">IF(VLOOKUP(#REF!,ConDesStRetn,9,FALSE())=0,0,VLOOKUP(#REF!,ConDesStRetn,9,FALSE()))</definedName>
    <definedName name="UMatl1_MV_Cable" localSheetId="4">IF(VLOOKUP(#REF!,claim,9,FALSE())=0,0,VLOOKUP(#REF!,claim,9,FALSE()))</definedName>
    <definedName name="UMatl1_Other" localSheetId="4">IF(VLOOKUP(#REF!,PA_CABLE,9,FALSE())=0,0,VLOOKUP(#REF!,PA_CABLE,9,FALSE()))</definedName>
    <definedName name="UMatl1_Tray" localSheetId="4">IF(VLOOKUP(#REF!,TSD,11,FALSE())=0,0,VLOOKUP(#REF!,TSD,11,FALSE()))</definedName>
    <definedName name="UNIT1" localSheetId="4">IF([0]!USC_MV_Cable=1,VLOOKUP(#REF!,CumulativePercentCompletion,3),VLOOKUP(#REF!,CumulativePercentCompletion,4))</definedName>
    <definedName name="unitname" localSheetId="4">#REF!</definedName>
    <definedName name="unspsc" localSheetId="4">'[1]KEY Data – do not delete –'!#REF!</definedName>
    <definedName name="UOM" localSheetId="4">#REF!</definedName>
    <definedName name="UPDATE" localSheetId="4">#REF!</definedName>
    <definedName name="uppipeabt" localSheetId="4">#REF!</definedName>
    <definedName name="US_C_Civil" localSheetId="4">#N/A</definedName>
    <definedName name="US_C1_Civil" localSheetId="4">#N/A</definedName>
    <definedName name="USC_Cntl_Valves" localSheetId="4">ROUND(IF(VLOOKUP(#REF!,ConDesIntCert,11,FALSE())=0,0,VLOOKUP(#REF!,ConDesIntCert,11,FALSE())),0)</definedName>
    <definedName name="USC_Conduit" localSheetId="4">ROUND(IF(VLOOKUP(#REF!,ConDesStRetn,19,FALSE())=0,0,VLOOKUP(#REF!,ConDesStRetn,19,FALSE())),0)</definedName>
    <definedName name="USC_DB" localSheetId="4">ROUND(IF(VLOOKUP(#REF!,DELETE,17,FALSE())=0,0,VLOOKUP(#REF!,DELETE,17,FALSE())),0)</definedName>
    <definedName name="USC_MV_Cable" localSheetId="4">ROUND(IF(VLOOKUP(#REF!,claim,15,FALSE())=0,0,VLOOKUP(#REF!,claim,15,FALSE())),0)</definedName>
    <definedName name="USC_Other" localSheetId="4">ROUND(IF(VLOOKUP(#REF!,PA_CABLE,15,FALSE())=0,0,VLOOKUP(#REF!,PA_CABLE,15,FALSE())),0)</definedName>
    <definedName name="USC_Tray" localSheetId="4">ROUND(IF(VLOOKUP(#REF!,TSD,21,FALSE())=0,0,VLOOKUP(#REF!,TSD,21,FALSE())),0)</definedName>
    <definedName name="USC1_Conduit" localSheetId="4">ROUND(IF(VLOOKUP(#REF!,ConDesStRetn,15,FALSE())=0,0,VLOOKUP(#REF!,ConDesStRetn,15,FALSE())),0)</definedName>
    <definedName name="USC1_MV_Cable" localSheetId="4">ROUND(IF(VLOOKUP(#REF!,claim,15,FALSE())=0,0,VLOOKUP(#REF!,claim,15,FALSE())),0)</definedName>
    <definedName name="USC1_Other" localSheetId="4">ROUND(IF(VLOOKUP(#REF!,PA_CABLE,15,FALSE())=0,0,VLOOKUP(#REF!,PA_CABLE,15,FALSE())),0)</definedName>
    <definedName name="USC1_Tray" localSheetId="4">ROUND(IF(VLOOKUP(#REF!,TSD,17,FALSE())=0,0,VLOOKUP(#REF!,TSD,17,FALSE())),0)</definedName>
    <definedName name="USCHrs_Civil" localSheetId="4">#N/A</definedName>
    <definedName name="USChrs_Cntl_Valves" localSheetId="4">ROUND(IF(VLOOKUP(#REF!,ConDesIntCert,13,FALSE())=0,0,VLOOKUP(#REF!,ConDesIntCert,13,FALSE())),2)</definedName>
    <definedName name="USChrs_Conduit" localSheetId="4">IF(VLOOKUP(#REF!,ConDesStRetn,18,FALSE())=0,0,VLOOKUP(#REF!,ConDesStRetn,18,FALSE()))</definedName>
    <definedName name="USChrs_DB" localSheetId="4">ROUND(IF(VLOOKUP(#REF!,DELETE,18,FALSE())=0,0,VLOOKUP(#REF!,DELETE,18,FALSE())),2)</definedName>
    <definedName name="USChrs_MV_Cable" localSheetId="4">IF(VLOOKUP(#REF!,claim,16,FALSE())=0,0,VLOOKUP(#REF!,claim,16,FALSE()))</definedName>
    <definedName name="USChrs_Other" localSheetId="4">IF(VLOOKUP(#REF!,PA_CABLE,16,FALSE())=0,0,VLOOKUP(#REF!,PA_CABLE,16,FALSE()))</definedName>
    <definedName name="USChrs_tray" localSheetId="4">IF(VLOOKUP(#REF!,TSD,20,FALSE())=0,0,VLOOKUP(#REF!,TSD,20,FALSE()))</definedName>
    <definedName name="USChrs1_Civil" localSheetId="4">#N/A</definedName>
    <definedName name="USChrs1_Conduit" localSheetId="4">IF(VLOOKUP(#REF!,ConDesStRetn,16,FALSE())=0,0,VLOOKUP(#REF!,ConDesStRetn,16,FALSE()))</definedName>
    <definedName name="USChrs1_MV_Cable" localSheetId="4">IF(VLOOKUP(#REF!,claim,16,FALSE())=0,0,VLOOKUP(#REF!,claim,16,FALSE()))</definedName>
    <definedName name="USChrs1_Other" localSheetId="4">IF(VLOOKUP(#REF!,PA_CABLE,16,FALSE())=0,0,VLOOKUP(#REF!,PA_CABLE,16,FALSE()))</definedName>
    <definedName name="USChrs1_tray" localSheetId="4">IF(VLOOKUP(#REF!,TSD,18,FALSE())=0,0,VLOOKUP(#REF!,TSD,18,FALSE()))</definedName>
    <definedName name="Variation" localSheetId="4" hidden="1">{#N/A,#N/A,FALSE,"SumD";#N/A,#N/A,FALSE,"ElecD";#N/A,#N/A,FALSE,"MechD";#N/A,#N/A,FALSE,"GeotD";#N/A,#N/A,FALSE,"PrcsD";#N/A,#N/A,FALSE,"TunnD";#N/A,#N/A,FALSE,"CivlD";#N/A,#N/A,FALSE,"NtwkD";#N/A,#N/A,FALSE,"EstgD";#N/A,#N/A,FALSE,"PEngD"}</definedName>
    <definedName name="VCA" localSheetId="4">'QIC_Contractual_ UP'!QTY*UMH</definedName>
    <definedName name="VCD" localSheetId="4">#REF!</definedName>
    <definedName name="vdgdfgdf" localSheetId="4">#REF!</definedName>
    <definedName name="ve" localSheetId="4">#REF!</definedName>
    <definedName name="vffsfs" localSheetId="4" hidden="1">{#N/A,#N/A,TRUE,"Basic";#N/A,#N/A,TRUE,"EXT-TABLE";#N/A,#N/A,TRUE,"STEEL";#N/A,#N/A,TRUE,"INT-Table";#N/A,#N/A,TRUE,"STEEL";#N/A,#N/A,TRUE,"Door"}</definedName>
    <definedName name="vv" localSheetId="4" hidden="1">{#N/A,#N/A,FALSE,"SumD";#N/A,#N/A,FALSE,"ElecD";#N/A,#N/A,FALSE,"MechD";#N/A,#N/A,FALSE,"GeotD";#N/A,#N/A,FALSE,"PrcsD";#N/A,#N/A,FALSE,"TunnD";#N/A,#N/A,FALSE,"CivlD";#N/A,#N/A,FALSE,"NtwkD";#N/A,#N/A,FALSE,"EstgD";#N/A,#N/A,FALSE,"PEngD"}</definedName>
    <definedName name="w3t344t" localSheetId="4" hidden="1">{#N/A,#N/A,FALSE,"표지목차"}</definedName>
    <definedName name="weekday" localSheetId="4">{1,2,3,4,5,6,7}</definedName>
    <definedName name="weekday_dates" localSheetId="4">#REF!,#REF!,#REF!,#REF!,#REF!,#REF!,#REF!,#REF!,#REF!,#REF!,#REF!,#REF!,#REF!,#REF!,#REF!,#REF!,#REF!,#REF!,#REF!,#REF!,#REF!,#REF!,#REF!,#REF!,#REF!,#REF!</definedName>
    <definedName name="weekend_dates" localSheetId="4">#REF!,#REF!,#REF!,#REF!,#REF!,#REF!,#REF!,#REF!,#REF!,#REF!,#REF!</definedName>
    <definedName name="WeekNo" localSheetId="4">{1;2;3;4;5;6}</definedName>
    <definedName name="wegWE" localSheetId="4" hidden="1">{#N/A,#N/A,TRUE,"Cover";#N/A,#N/A,TRUE,"Conts";#N/A,#N/A,TRUE,"VOS";#N/A,#N/A,TRUE,"Warrington";#N/A,#N/A,TRUE,"Widnes"}</definedName>
    <definedName name="weq" localSheetId="4" hidden="1">{#N/A,#N/A,FALSE,"SumD";#N/A,#N/A,FALSE,"ElecD";#N/A,#N/A,FALSE,"MechD";#N/A,#N/A,FALSE,"GeotD";#N/A,#N/A,FALSE,"PrcsD";#N/A,#N/A,FALSE,"TunnD";#N/A,#N/A,FALSE,"CivlD";#N/A,#N/A,FALSE,"NtwkD";#N/A,#N/A,FALSE,"EstgD";#N/A,#N/A,FALSE,"PEngD"}</definedName>
    <definedName name="wetrtyret" localSheetId="4" hidden="1">{#N/A,#N/A,FALSE,"운반시간"}</definedName>
    <definedName name="wetwety" localSheetId="4" hidden="1">{#N/A,#N/A,FALSE,"CAM-G7";#N/A,#N/A,FALSE,"SPL";#N/A,#N/A,FALSE,"butt-in G7";#N/A,#N/A,FALSE,"dia-in G7";#N/A,#N/A,FALSE,"추가-STA G7"}</definedName>
    <definedName name="WGEW" localSheetId="4" hidden="1">{#N/A,#N/A,TRUE,"Cover";#N/A,#N/A,TRUE,"Conts";#N/A,#N/A,TRUE,"VOS";#N/A,#N/A,TRUE,"Warrington";#N/A,#N/A,TRUE,"Widnes"}</definedName>
    <definedName name="wgWE" localSheetId="4" hidden="1">{#N/A,#N/A,TRUE,"Cover";#N/A,#N/A,TRUE,"Conts";#N/A,#N/A,TRUE,"VOS";#N/A,#N/A,TRUE,"Warrington";#N/A,#N/A,TRUE,"Widnes"}</definedName>
    <definedName name="wm.조골재1" localSheetId="4" hidden="1">{#N/A,#N/A,FALSE,"조골재"}</definedName>
    <definedName name="wrn.2번." localSheetId="4" hidden="1">{#N/A,#N/A,FALSE,"2~8번"}</definedName>
    <definedName name="wrn.AA." localSheetId="4" hidden="1">{#N/A,#N/A,FALSE,"CAM-G7";#N/A,#N/A,FALSE,"SPL";#N/A,#N/A,FALSE,"butt-in G7";#N/A,#N/A,FALSE,"dia-in G7";#N/A,#N/A,FALSE,"추가-STA G7"}</definedName>
    <definedName name="wrn.ALL." localSheetId="4" hidden="1">{#N/A,#N/A,FALSE,"Pro-forma claim";#N/A,#N/A,FALSE,"Summary sheet";#N/A,#N/A,FALSE,"SITE INSTRUCTIONS";#N/A,#N/A,FALSE,"DAY WORKS CIVILS";#N/A,#N/A,FALSE,"DAY WORKS STEEL"}</definedName>
    <definedName name="wrn.all._.lines." localSheetId="4" hidden="1">{#N/A,#N/A,FALSE,"Summary";#N/A,#N/A,FALSE,"3TJ";#N/A,#N/A,FALSE,"3TN";#N/A,#N/A,FALSE,"3TP";#N/A,#N/A,FALSE,"3SJ";#N/A,#N/A,FALSE,"3CJ";#N/A,#N/A,FALSE,"3CN";#N/A,#N/A,FALSE,"3CP";#N/A,#N/A,FALSE,"3A"}</definedName>
    <definedName name="wrn.Barbara._.Modular._.Indirects." localSheetId="4" hidden="1">{#N/A,#N/A,FALSE,"COVER";#N/A,#N/A,FALSE,"RECAP";#N/A,#N/A,FALSE,"SANTA BARBARA NONMANUAL";#N/A,#N/A,FALSE,"CEQUIP";#N/A,#N/A,FALSE,"WRATE";#N/A,#N/A,FALSE,"INDIRECT";#N/A,#N/A,FALSE,"TRAIN";#N/A,#N/A,FALSE,"MANLOADED SCHEDULE"}</definedName>
    <definedName name="wrn.BM." localSheetId="4" hidden="1">{#N/A,#N/A,TRUE,"Basic";#N/A,#N/A,TRUE,"EXT-TABLE";#N/A,#N/A,TRUE,"STEEL";#N/A,#N/A,TRUE,"INT-Table";#N/A,#N/A,TRUE,"STEEL";#N/A,#N/A,TRUE,"Door"}</definedName>
    <definedName name="wrn.CHIEF._.REVIEW." localSheetId="4" hidden="1">{#N/A,#N/A,FALSE,"Q&amp;AE";#N/A,#N/A,FALSE,"Params";#N/A,#N/A,FALSE,"ReconE";#N/A,#N/A,FALSE,"CostCompE";#N/A,#N/A,FALSE,"SummaryE";#N/A,#N/A,FALSE,"Detail";#N/A,#N/A,FALSE,"PayItem"}</definedName>
    <definedName name="wrn.CIRCUITS." localSheetId="4" hidden="1">{"DBANK",#N/A,FALSE,"PriceE";"CKTS",#N/A,FALSE,"PriceE"}</definedName>
    <definedName name="wrn.COST_SHEETS." localSheetId="4" hidden="1">{#N/A,#N/A,FALSE,"WBS 1.06";#N/A,#N/A,FALSE,"WBS 1.14";#N/A,#N/A,FALSE,"WBS 1.17";#N/A,#N/A,FALSE,"WBS 1.18"}</definedName>
    <definedName name="wrn.FINAL._.ESTIMATE." localSheetId="4" hidden="1">{#N/A,#N/A,FALSE,"ProjInfo";#N/A,#N/A,FALSE,"Params";#N/A,#N/A,FALSE,"Q&amp;AE";#N/A,#N/A,FALSE,"CostCompE";#N/A,#N/A,FALSE,"SummaryE";#N/A,#N/A,FALSE,"PayItem";#N/A,#N/A,FALSE,"Detail";#N/A,#N/A,FALSE,"ReconE"}</definedName>
    <definedName name="wrn.Fuel._.oil._.option." localSheetId="4" hidden="1">{"FUEL OIL",#N/A,FALSE,"Option"}</definedName>
    <definedName name="wrn.Print._.Output." localSheetId="4" hidden="1">{#N/A,#N/A,FALSE,"OUTPUT SHEET "}</definedName>
    <definedName name="wrn.PrintallD." localSheetId="4" hidden="1">{#N/A,#N/A,FALSE,"SumD";#N/A,#N/A,FALSE,"ElecD";#N/A,#N/A,FALSE,"MechD";#N/A,#N/A,FALSE,"GeotD";#N/A,#N/A,FALSE,"PrcsD";#N/A,#N/A,FALSE,"TunnD";#N/A,#N/A,FALSE,"CivlD";#N/A,#N/A,FALSE,"NtwkD";#N/A,#N/A,FALSE,"EstgD";#N/A,#N/A,FALSE,"PEngD"}</definedName>
    <definedName name="wrn.PrintallG." localSheetId="4" hidden="1">{#N/A,#N/A,FALSE,"SumG";#N/A,#N/A,FALSE,"ElecG";#N/A,#N/A,FALSE,"MechG";#N/A,#N/A,FALSE,"GeotG";#N/A,#N/A,FALSE,"PrcsG";#N/A,#N/A,FALSE,"TunnG";#N/A,#N/A,FALSE,"CivlG";#N/A,#N/A,FALSE,"NtwkG";#N/A,#N/A,FALSE,"EstgG";#N/A,#N/A,FALSE,"PEngG"}</definedName>
    <definedName name="wrn.prix." localSheetId="4" hidden="1">{#N/A,#N/A,TRUE,"Page de garde";#N/A,#N/A,TRUE,"Estimation ingénierie";#N/A,#N/A,TRUE,"Synthése des heures";#N/A,#N/A,TRUE,"Etudes préliminaires";#N/A,#N/A,TRUE,"Avant projet";#N/A,#N/A,TRUE,"Projet";#N/A,#N/A,TRUE,"Approvisionnement";#N/A,#N/A,TRUE,"Construction";#N/A,#N/A,TRUE,"Essais  mise en route"}</definedName>
    <definedName name="wrn.prix1." localSheetId="4" hidden="1">{#N/A,#N/A,TRUE,"Page de garde";#N/A,#N/A,TRUE,"Estimation ingénierie";#N/A,#N/A,TRUE,"Synthése des heures";#N/A,#N/A,TRUE,"Etudes préliminaires";#N/A,#N/A,TRUE,"Avant projet";#N/A,#N/A,TRUE,"Projet";#N/A,#N/A,TRUE,"Approvisionnement";#N/A,#N/A,TRUE,"Construction";#N/A,#N/A,TRUE,"Essais  mise en route"}</definedName>
    <definedName name="wrn.Redundant._.Equipment._.Option." localSheetId="4" hidden="1">{"pumps",#N/A,FALSE,"Option"}</definedName>
    <definedName name="wrn.REP502." localSheetId="4"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localSheetId="4"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localSheetId="4"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STG._.BLDG._.ENCLOSURE." localSheetId="4" hidden="1">{"turbine",#N/A,FALSE,"Option"}</definedName>
    <definedName name="wrn.struckgi." localSheetId="4" hidden="1">{#N/A,#N/A,TRUE,"arnitower";#N/A,#N/A,TRUE,"arnigarage "}</definedName>
    <definedName name="wrn.Warrington._.Widnes._.QS._.Costs." localSheetId="4" hidden="1">{#N/A,#N/A,TRUE,"Cover";#N/A,#N/A,TRUE,"Conts";#N/A,#N/A,TRUE,"VOS";#N/A,#N/A,TRUE,"Warrington";#N/A,#N/A,TRUE,"Widnes"}</definedName>
    <definedName name="wrn.WHOUSE._.CT." localSheetId="4" hidden="1">{"WESTINGHOUSE",#N/A,FALSE,"Option"}</definedName>
    <definedName name="wrn.골재소요량." localSheetId="4" hidden="1">{#N/A,#N/A,FALSE,"골재소요량";#N/A,#N/A,FALSE,"골재소요량"}</definedName>
    <definedName name="wrn.교육청." localSheetId="4" hidden="1">{#N/A,#N/A,FALSE,"전력간선"}</definedName>
    <definedName name="wrn.구조2." localSheetId="4" hidden="1">{#N/A,#N/A,FALSE,"구조2"}</definedName>
    <definedName name="wrn.단가표지." localSheetId="4" hidden="1">{#N/A,#N/A,FALSE,"단가표지"}</definedName>
    <definedName name="wrn.배수1." localSheetId="4" hidden="1">{#N/A,#N/A,FALSE,"배수1"}</definedName>
    <definedName name="wrn.배수2." localSheetId="4" hidden="1">{#N/A,#N/A,FALSE,"배수2"}</definedName>
    <definedName name="wrn.부대1." localSheetId="4" hidden="1">{#N/A,#N/A,FALSE,"부대1"}</definedName>
    <definedName name="wrn.부대2." localSheetId="4" hidden="1">{#N/A,#N/A,FALSE,"부대2"}</definedName>
    <definedName name="wrn.부산주경기장."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4" hidden="1">{#N/A,#N/A,FALSE,"속도"}</definedName>
    <definedName name="wrn.실행품의." localSheetId="4" hidden="1">{#N/A,#N/A,FALSE,"갑지";#N/A,#N/A,FALSE,"개요";#N/A,#N/A,FALSE,"비목별";#N/A,#N/A,FALSE,"건물별";#N/A,#N/A,FALSE,"기구표";#N/A,#N/A,FALSE,"직원투입"}</definedName>
    <definedName name="wrn.운반시간." localSheetId="4" hidden="1">{#N/A,#N/A,FALSE,"운반시간"}</definedName>
    <definedName name="wrn.이인주." localSheetId="4" hidden="1">{#N/A,#N/A,FALSE,"물량산출"}</definedName>
    <definedName name="wrn.이정표." localSheetId="4" hidden="1">{#N/A,#N/A,FALSE,"이정표"}</definedName>
    <definedName name="wrn.조골재." localSheetId="4" hidden="1">{#N/A,#N/A,FALSE,"조골재"}</definedName>
    <definedName name="wrn.토공1." localSheetId="4" hidden="1">{#N/A,#N/A,FALSE,"구조1"}</definedName>
    <definedName name="wrn.토공2." localSheetId="4" hidden="1">{#N/A,#N/A,FALSE,"토공2"}</definedName>
    <definedName name="wrn.포장1." localSheetId="4" hidden="1">{#N/A,#N/A,FALSE,"포장1";#N/A,#N/A,FALSE,"포장1"}</definedName>
    <definedName name="wrn.포장2." localSheetId="4" hidden="1">{#N/A,#N/A,FALSE,"포장2"}</definedName>
    <definedName name="wrn.표지목차." localSheetId="4" hidden="1">{#N/A,#N/A,FALSE,"표지목차"}</definedName>
    <definedName name="wrn.혼합골재." localSheetId="4" hidden="1">{#N/A,#N/A,FALSE,"혼합골재"}</definedName>
    <definedName name="wtewtwet" localSheetId="4" hidden="1">{#N/A,#N/A,FALSE,"이정표"}</definedName>
    <definedName name="wtrtwt" localSheetId="4" hidden="1">{#N/A,#N/A,FALSE,"조골재"}</definedName>
    <definedName name="wtwet" localSheetId="4" hidden="1">{#N/A,#N/A,FALSE,"물량산출"}</definedName>
    <definedName name="wtwetert" localSheetId="4" hidden="1">{#N/A,#N/A,FALSE,"CAM-G7";#N/A,#N/A,FALSE,"SPL";#N/A,#N/A,FALSE,"butt-in G7";#N/A,#N/A,FALSE,"dia-in G7";#N/A,#N/A,FALSE,"추가-STA G7"}</definedName>
    <definedName name="wtwt" localSheetId="4" hidden="1">{#N/A,#N/A,FALSE,"CAM-G7";#N/A,#N/A,FALSE,"SPL";#N/A,#N/A,FALSE,"butt-in G7";#N/A,#N/A,FALSE,"dia-in G7";#N/A,#N/A,FALSE,"추가-STA G7"}</definedName>
    <definedName name="xc" localSheetId="4" hidden="1">{#N/A,#N/A,FALSE,"SumD";#N/A,#N/A,FALSE,"ElecD";#N/A,#N/A,FALSE,"MechD";#N/A,#N/A,FALSE,"GeotD";#N/A,#N/A,FALSE,"PrcsD";#N/A,#N/A,FALSE,"TunnD";#N/A,#N/A,FALSE,"CivlD";#N/A,#N/A,FALSE,"NtwkD";#N/A,#N/A,FALSE,"EstgD";#N/A,#N/A,FALSE,"PEngD"}</definedName>
    <definedName name="xls." localSheetId="4" hidden="1">{"'Break down'!$A$4"}</definedName>
    <definedName name="xx" localSheetId="4">#REF!</definedName>
    <definedName name="YARD_INS" localSheetId="4">IF(#REF!="INS",VLOOKUP(#REF!,IntCertCW_NSC,HLOOKUP(#REF!,Year,2)+1,FALSE()),0)</definedName>
    <definedName name="YARD_LAB" localSheetId="4">(VLOOKUP(#REF!,zpr,HLOOKUP(#REF!,Year,2),FALSE())+(VLOOKUP(#REF!,zpr,HLOOKUP(#REF!,Year,2)+1,FALSE())-VLOOKUP(#REF!,zpr,HLOOKUP(#REF!,Year,2),FALSE()))*(#REF!-HLOOKUP(#REF!,Year,1))/(HLOOKUP(#REF!+2,Year,1)-HLOOKUP(#REF!,Year,1)))</definedName>
    <definedName name="YARD_MAT" localSheetId="4">VLOOKUP(#REF!,[0]!zse,HLOOKUP(#REF!,Year,2)+1,FALSE())+(VLOOKUP(#REF!,[0]!zse,HLOOKUP(#REF!,Year,2)+1+1,FALSE())-VLOOKUP(#REF!,[0]!zse,HLOOKUP(#REF!,Year,2)+1,FALSE()))*(#REF!-HLOOKUP(#REF!,Year,1))/(HLOOKUP(#REF!+2,Year,1)-HLOOKUP(#REF!,Year,1))</definedName>
    <definedName name="yretyery"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teyyew" localSheetId="4" hidden="1">{#N/A,#N/A,FALSE,"골재소요량";#N/A,#N/A,FALSE,"골재소요량"}</definedName>
    <definedName name="yrtyerye" localSheetId="4" hidden="1">{#N/A,#N/A,FALSE,"전력간선"}</definedName>
    <definedName name="ytwetwt"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 localSheetId="4" hidden="1">{#N/A,#N/A,TRUE,"Page de garde";#N/A,#N/A,TRUE,"Estimation ingénierie";#N/A,#N/A,TRUE,"Synthése des heures";#N/A,#N/A,TRUE,"Etudes préliminaires";#N/A,#N/A,TRUE,"Avant projet";#N/A,#N/A,TRUE,"Projet";#N/A,#N/A,TRUE,"Approvisionnement";#N/A,#N/A,TRUE,"Construction";#N/A,#N/A,TRUE,"Essais  mise en route"}</definedName>
    <definedName name="Z_69C7EDC4_4654_4BA1_A322_7C3E72B6E417_.wvu.Cols" localSheetId="4">(#REF!,#REF!)</definedName>
    <definedName name="Z_69CB8650_B747_4FE4_8403_241F756CCB38_.wvu.Cols" localSheetId="4">(#REF!,#REF!)</definedName>
    <definedName name="Z_69F49408_E8AA_4C55_9DD5_1B87E94DC7AF_.wvu.Cols" localSheetId="4">(#REF!,#REF!)</definedName>
    <definedName name="zse" localSheetId="4" hidden="1">{#N/A,#N/A,FALSE,"SumG";#N/A,#N/A,FALSE,"ElecG";#N/A,#N/A,FALSE,"MechG";#N/A,#N/A,FALSE,"GeotG";#N/A,#N/A,FALSE,"PrcsG";#N/A,#N/A,FALSE,"TunnG";#N/A,#N/A,FALSE,"CivlG";#N/A,#N/A,FALSE,"NtwkG";#N/A,#N/A,FALSE,"EstgG";#N/A,#N/A,FALSE,"PEngG"}</definedName>
    <definedName name="ㄱ미" localSheetId="4" hidden="1">{#N/A,#N/A,TRUE,"Basic";#N/A,#N/A,TRUE,"EXT-TABLE";#N/A,#N/A,TRUE,"STEEL";#N/A,#N/A,TRUE,"INT-Table";#N/A,#N/A,TRUE,"STEEL";#N/A,#N/A,TRUE,"Door"}</definedName>
    <definedName name="가설계획" localSheetId="4" hidden="1">{#N/A,#N/A,FALSE,"갑지";#N/A,#N/A,FALSE,"개요";#N/A,#N/A,FALSE,"비목별";#N/A,#N/A,FALSE,"건물별";#N/A,#N/A,FALSE,"기구표";#N/A,#N/A,FALSE,"직원투입"}</definedName>
    <definedName name="간접비" localSheetId="4" hidden="1">{#N/A,#N/A,FALSE,"갑지";#N/A,#N/A,FALSE,"개요";#N/A,#N/A,FALSE,"비목별";#N/A,#N/A,FALSE,"건물별";#N/A,#N/A,FALSE,"기구표";#N/A,#N/A,FALSE,"직원투입"}</definedName>
    <definedName name="간접비1" localSheetId="4" hidden="1">{#N/A,#N/A,FALSE,"갑지";#N/A,#N/A,FALSE,"개요";#N/A,#N/A,FALSE,"비목별";#N/A,#N/A,FALSE,"건물별";#N/A,#N/A,FALSE,"기구표";#N/A,#N/A,FALSE,"직원투입"}</definedName>
    <definedName name="계측기기"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골재" localSheetId="4" hidden="1">{#N/A,#N/A,FALSE,"골재소요량";#N/A,#N/A,FALSE,"골재소요량"}</definedName>
    <definedName name="골조" localSheetId="4" hidden="1">{#N/A,#N/A,FALSE,"물량산출"}</definedName>
    <definedName name="공공도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정" localSheetId="4" hidden="1">{#N/A,#N/A,FALSE,"물량산출"}</definedName>
    <definedName name="관리비2" localSheetId="4" hidden="1">{#N/A,#N/A,FALSE,"갑지";#N/A,#N/A,FALSE,"개요";#N/A,#N/A,FALSE,"비목별";#N/A,#N/A,FALSE,"건물별";#N/A,#N/A,FALSE,"기구표";#N/A,#N/A,FALSE,"직원투입"}</definedName>
    <definedName name="광" localSheetId="4" hidden="1">{#N/A,#N/A,FALSE,"물량산출"}</definedName>
    <definedName name="광덕기업" localSheetId="4" hidden="1">{#N/A,#N/A,FALSE,"물량산출"}</definedName>
    <definedName name="교육" localSheetId="4" hidden="1">{#N/A,#N/A,FALSE,"전력간선"}</definedName>
    <definedName name="금강" localSheetId="4" hidden="1">{#N/A,#N/A,FALSE,"물량산출"}</definedName>
    <definedName name="금강고려" localSheetId="4" hidden="1">{#N/A,#N/A,FALSE,"물량산출"}</definedName>
    <definedName name="금오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존도로상태" localSheetId="4" hidden="1">{#N/A,#N/A,FALSE,"혼합골재"}</definedName>
    <definedName name="김" localSheetId="4" hidden="1">{#N/A,#N/A,TRUE,"Basic";#N/A,#N/A,TRUE,"EXT-TABLE";#N/A,#N/A,TRUE,"STEEL";#N/A,#N/A,TRUE,"INT-Table";#N/A,#N/A,TRUE,"STEEL";#N/A,#N/A,TRUE,"Door"}</definedName>
    <definedName name="김1" localSheetId="4" hidden="1">{#N/A,#N/A,TRUE,"Basic";#N/A,#N/A,TRUE,"EXT-TABLE";#N/A,#N/A,TRUE,"STEEL";#N/A,#N/A,TRUE,"INT-Table";#N/A,#N/A,TRUE,"STEEL";#N/A,#N/A,TRUE,"Door"}</definedName>
    <definedName name="김3" localSheetId="4" hidden="1">{#N/A,#N/A,TRUE,"Basic";#N/A,#N/A,TRUE,"EXT-TABLE";#N/A,#N/A,TRUE,"STEEL";#N/A,#N/A,TRUE,"INT-Table";#N/A,#N/A,TRUE,"STEEL";#N/A,#N/A,TRUE,"Door"}</definedName>
    <definedName name="ㄴㄴ" localSheetId="4" hidden="1">{#N/A,#N/A,FALSE,"물량산출"}</definedName>
    <definedName name="ㄴㅇ" localSheetId="4" hidden="1">{#N/A,#N/A,FALSE,"물량산출"}</definedName>
    <definedName name="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고가" localSheetId="4" hidden="1">{#N/A,#N/A,FALSE,"물량산출"}</definedName>
    <definedName name="내역서"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다음" localSheetId="4" hidden="1">{#N/A,#N/A,FALSE,"갑지";#N/A,#N/A,FALSE,"개요";#N/A,#N/A,FALSE,"비목별";#N/A,#N/A,FALSE,"건물별";#N/A,#N/A,FALSE,"기구표";#N/A,#N/A,FALSE,"직원투입"}</definedName>
    <definedName name="대구공항"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로" localSheetId="4" hidden="1">{#N/A,#N/A,FALSE,"2~8번"}</definedName>
    <definedName name="ㄹㅇㅎㄹㅀ" localSheetId="4" hidden="1">{#N/A,#N/A,FALSE,"골재소요량";#N/A,#N/A,FALSE,"골재소요량"}</definedName>
    <definedName name="라미우드" localSheetId="4" hidden="1">{#N/A,#N/A,FALSE,"물량산출"}</definedName>
    <definedName name="ㄻㄴㄹ" localSheetId="4" hidden="1">{#N/A,#N/A,FALSE,"물량산출"}</definedName>
    <definedName name="ㅁㅁ" localSheetId="4" hidden="1">{#N/A,#N/A,FALSE,"운반시간"}</definedName>
    <definedName name="ㅁㅁㅁㅁ" localSheetId="4" hidden="1">{#N/A,#N/A,FALSE,"혼합골재"}</definedName>
    <definedName name="바"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localSheetId="4" hidden="1">{#N/A,#N/A,FALSE,"표지목차"}</definedName>
    <definedName name="바보2" localSheetId="4" hidden="1">{#N/A,#N/A,FALSE,"운반시간"}</definedName>
    <definedName name="발코니난간" localSheetId="4" hidden="1">{#N/A,#N/A,FALSE,"물량산출"}</definedName>
    <definedName name="밥보" localSheetId="4" hidden="1">{#N/A,#N/A,FALSE,"표지목차"}</definedName>
    <definedName name="보라" localSheetId="4" hidden="1">{#N/A,#N/A,FALSE,"갑지";#N/A,#N/A,FALSE,"개요";#N/A,#N/A,FALSE,"비목별";#N/A,#N/A,FALSE,"건물별";#N/A,#N/A,FALSE,"기구표";#N/A,#N/A,FALSE,"직원투입"}</definedName>
    <definedName name="보오링그라우팅"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 localSheetId="4" hidden="1">{#N/A,#N/A,TRUE,"Basic";#N/A,#N/A,TRUE,"EXT-TABLE";#N/A,#N/A,TRUE,"STEEL";#N/A,#N/A,TRUE,"INT-Table";#N/A,#N/A,TRUE,"STEEL";#N/A,#N/A,TRUE,"Door"}</definedName>
    <definedName name="ㅇㅇ" localSheetId="4" hidden="1">{#N/A,#N/A,FALSE,"물량산출"}</definedName>
    <definedName name="억이상" localSheetId="4" hidden="1">{#N/A,#N/A,FALSE,"2~8번"}</definedName>
    <definedName name="울산" localSheetId="4" hidden="1">{#N/A,#N/A,FALSE,"물량산출"}</definedName>
    <definedName name="원가" localSheetId="4" hidden="1">{#N/A,#N/A,FALSE,"운반시간"}</definedName>
    <definedName name="의" localSheetId="4" hidden="1">{#N/A,#N/A,FALSE,"운반시간"}</definedName>
    <definedName name="인천지검"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 localSheetId="4" hidden="1">{#N/A,#N/A,FALSE,"갑지";#N/A,#N/A,FALSE,"개요";#N/A,#N/A,FALSE,"비목별";#N/A,#N/A,FALSE,"건물별";#N/A,#N/A,FALSE,"기구표";#N/A,#N/A,FALSE,"직원투입"}</definedName>
    <definedName name="일반조건"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 localSheetId="4" hidden="1">{#N/A,#N/A,FALSE,"물량산출"}</definedName>
    <definedName name="ㅈㄷㅈㄱㅈㅂ" localSheetId="4" hidden="1">{#N/A,#N/A,FALSE,"갑지";#N/A,#N/A,FALSE,"개요";#N/A,#N/A,FALSE,"비목별";#N/A,#N/A,FALSE,"건물별";#N/A,#N/A,FALSE,"기구표";#N/A,#N/A,FALSE,"직원투입"}</definedName>
    <definedName name="조경집계"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목설계" localSheetId="4" hidden="1">{#N/A,#N/A,FALSE,"골재소요량";#N/A,#N/A,FALSE,"골재소요량"}</definedName>
    <definedName name="하늘" localSheetId="4" hidden="1">{#N/A,#N/A,FALSE,"물량산출"}</definedName>
    <definedName name="하도급일반조건2"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이스느" localSheetId="4" hidden="1">{#N/A,#N/A,FALSE,"물량산출"}</definedName>
    <definedName name="ㅠㅠ" localSheetId="4" hidden="1">{#N/A,#N/A,FALSE,"포장2"}</definedName>
    <definedName name="_________SHT2" localSheetId="5">[0]!TMH*[0]!ulcost</definedName>
    <definedName name="ATF" localSheetId="5">[0]!QTY*[0]!UMH</definedName>
    <definedName name="BOP_INS" localSheetId="5">IF(#REF!="INS",VLOOKUP(#REF!,insb,HLOOKUP(#REF!,bop,2)+1,FALSE()),0)</definedName>
    <definedName name="BOP_LAB" localSheetId="5">VLOOKUP(#REF!,boplab,HLOOKUP(#REF!,bop,2),FALSE())+(VLOOKUP(#REF!,boplab,HLOOKUP(#REF!,bop,2)+1,FALSE())-VLOOKUP(#REF!,boplab,HLOOKUP(#REF!,bop,2),FALSE()))*(#REF!-HLOOKUP(#REF!,bop,1))/(HLOOKUP(#REF!+2,bop,1)-HLOOKUP(#REF!,bop,1))</definedName>
    <definedName name="BOP_MAT" localSheetId="5">VLOOKUP(#REF!,bopmat,HLOOKUP(#REF!,bop,2)+1,FALSE())+(VLOOKUP(#REF!,bopmat,HLOOKUP(#REF!,bop,2)+1+1,FALSE())-VLOOKUP(#REF!,bopmat,HLOOKUP(#REF!,bop,2)+1,FALSE()))*(#REF!-HLOOKUP(#REF!,bop,1))</definedName>
    <definedName name="Civ_Det_Des" localSheetId="5">IF(VLOOKUP(#REF!,price_civil,1,FALSE())=0,0,VLOOKUP(#REF!,price_civil,2,FALSE()))</definedName>
    <definedName name="Civ_Det_Des1" localSheetId="5">IF(VLOOKUP(#REF!,price_civil,1,FALSE())=0,0,VLOOKUP(#REF!,price_civil,2,FALSE()))</definedName>
    <definedName name="dblookup4analysis" localSheetId="5">dbreferencia&amp;dbano&amp;dbsemana&amp;dbproveedor</definedName>
    <definedName name="dblookup4chart1" localSheetId="5">dbano&amp;dbsemana&amp;dbproveedor&amp;dbreferencia&amp;dbcontrato</definedName>
    <definedName name="ffffffffffffffffffffffffff" localSheetId="5">IF(#REF!="INS",VLOOKUP(#REF!,insb,HLOOKUP(#REF!,bop,2)+1,FALSE()),0)</definedName>
    <definedName name="lcost" localSheetId="5">[0]!TMH*[0]!ulcost</definedName>
    <definedName name="QTY" localSheetId="5">input</definedName>
    <definedName name="TC" localSheetId="5">'QIC_ Actual_5&amp;6'!QTY*[0]!unit</definedName>
    <definedName name="TMH" localSheetId="5">'QIC_ Actual_5&amp;6'!QTY*[0]!UMH</definedName>
    <definedName name="UHrs_Civil" localSheetId="5">IF(VLOOKUP(#REF!,'QIC_ Actual_5&amp;6'!_xlnm.Print_Area,9,FALSE())=0,0,VLOOKUP(#REF!,'QIC_ Actual_5&amp;6'!_xlnm.Print_Area,9,FALSE()))</definedName>
    <definedName name="Uhrs1_Civil" localSheetId="5">IF(VLOOKUP(#REF!,SHADAB,9,FALSE())=0,0,VLOOKUP(#REF!,'QIC_ Actual_5&amp;6'!_xlnm.Print_Area,9,FALSE()))</definedName>
    <definedName name="UMatl_Civil" localSheetId="5">IF(VLOOKUP(#REF!,'QIC_ Actual_5&amp;6'!_xlnm.Print_Area,7,FALSE())=0,0,VLOOKUP(#REF!,'QIC_ Actual_5&amp;6'!_xlnm.Print_Area,7,FALSE()))</definedName>
    <definedName name="UMatl1_Civil" localSheetId="5">IF(VLOOKUP(#REF!,'QIC_ Actual_5&amp;6'!_xlnm.Print_Area,7,FALSE())=0,0,VLOOKUP(#REF!,'QIC_ Actual_5&amp;6'!_xlnm.Print_Area,7,FALSE()))</definedName>
    <definedName name="US_C_Civil" localSheetId="5">IF(VLOOKUP(#REF!,'QIC_ Actual_5&amp;6'!_xlnm.Print_Area,8,FALSE())=0,0,VLOOKUP(#REF!,'QIC_ Actual_5&amp;6'!_xlnm.Print_Area,8,FALSE()))</definedName>
    <definedName name="US_C1_Civil" localSheetId="5">IF(VLOOKUP(#REF!,'QIC_ Actual_5&amp;6'!_xlnm.Print_Area,8)=0,0,VLOOKUP(#REF!,'QIC_ Actual_5&amp;6'!_xlnm.Print_Area,8))</definedName>
    <definedName name="USCHrs_Civil" localSheetId="5">IF(VLOOKUP(#REF!,'QIC_ Actual_5&amp;6'!_xlnm.Print_Area,10,FALSE())=0,0,VLOOKUP(#REF!,'QIC_ Actual_5&amp;6'!_xlnm.Print_Area,10,FALSE()))</definedName>
    <definedName name="USChrs1_Civil" localSheetId="5">IF(VLOOKUP(#REF!,'QIC_ Actual_5&amp;6'!_xlnm.Print_Area,10,FALSE())=0,0,VLOOKUP(#REF!,'QIC_ Actual_5&amp;6'!_xlnm.Print_Area,10,FALSE()))</definedName>
    <definedName name="VCA" localSheetId="5">'QIC_ Actual_5&amp;6'!QTY*[0]!UMH</definedName>
    <definedName name="_xlnm.Print_Titles" localSheetId="5">'QIC_ Actual_5&amp;6'!$1:$3</definedName>
    <definedName name="_xlnm.Print_Area" localSheetId="5">'QIC_ Actual_5&amp;6'!$A$1:$P$109</definedName>
  </definedNames>
  <calcPr calcId="191029" fullCalcOnLoad="1"/>
</workbook>
</file>

<file path=xl/styles.xml><?xml version="1.0" encoding="utf-8"?>
<styleSheet xmlns="http://schemas.openxmlformats.org/spreadsheetml/2006/main">
  <numFmts count="7">
    <numFmt numFmtId="164" formatCode="[$-4009]d\ mmmm\ yyyy;@"/>
    <numFmt numFmtId="165" formatCode="0.0%"/>
    <numFmt numFmtId="166" formatCode="[$-409]dd\-mmm\-yy;@"/>
    <numFmt numFmtId="167" formatCode="_(* #,##0.00_);_(* \(#,##0.00\);_(* \-??_);_(@_)"/>
    <numFmt numFmtId="168" formatCode="[$-409]d\-mmm\-yy;@"/>
    <numFmt numFmtId="169" formatCode="mm/dd/yy;@"/>
    <numFmt numFmtId="170" formatCode="yyyy\-mm\-dd\ h:mm:ss"/>
  </numFmts>
  <fonts count="60">
    <font>
      <name val="Aptos Narrow"/>
      <charset val="1"/>
      <family val="2"/>
      <color theme="1"/>
      <sz val="11"/>
    </font>
    <font>
      <name val="Times New Roman"/>
      <charset val="1"/>
      <family val="1"/>
      <color rgb="FF000000"/>
      <sz val="10"/>
    </font>
    <font>
      <name val="Calibri Light"/>
      <charset val="1"/>
      <family val="2"/>
      <b val="1"/>
      <color rgb="FF000000"/>
      <sz val="10"/>
    </font>
    <font>
      <name val="Calibri Light"/>
      <charset val="1"/>
      <family val="2"/>
      <b val="1"/>
      <color theme="1"/>
      <sz val="10"/>
    </font>
    <font>
      <name val="Calibri Light"/>
      <charset val="1"/>
      <family val="2"/>
      <b val="1"/>
      <sz val="10"/>
    </font>
    <font>
      <name val="Arial Black"/>
      <family val="2"/>
      <b val="1"/>
      <color theme="1"/>
      <sz val="11"/>
    </font>
    <font>
      <name val="Times New Roman"/>
      <family val="1"/>
      <b val="1"/>
      <color rgb="FF000000"/>
      <sz val="11"/>
    </font>
    <font>
      <name val="Times New Roman"/>
      <family val="1"/>
      <b val="1"/>
      <color theme="1"/>
      <sz val="11"/>
    </font>
    <font>
      <name val="Times New Roman"/>
      <family val="1"/>
      <color theme="1"/>
      <sz val="11"/>
    </font>
    <font>
      <name val="Times New Roman"/>
      <family val="1"/>
      <sz val="11"/>
    </font>
    <font>
      <name val="Times New Roman"/>
      <family val="1"/>
      <color rgb="FF000000"/>
      <sz val="11"/>
    </font>
    <font>
      <name val="Times New Roman"/>
      <charset val="1"/>
      <family val="1"/>
      <color theme="1"/>
      <sz val="12"/>
    </font>
    <font>
      <name val="Times New Roman"/>
      <charset val="1"/>
      <family val="1"/>
      <color rgb="FF000000"/>
      <sz val="12"/>
    </font>
    <font>
      <name val="Times New Roman"/>
      <family val="1"/>
      <color theme="0"/>
      <sz val="11"/>
    </font>
    <font>
      <name val="Times New Roman"/>
      <family val="1"/>
      <b val="1"/>
      <color theme="0"/>
      <sz val="11"/>
    </font>
    <font>
      <name val="Calibri Light"/>
      <family val="2"/>
      <b val="1"/>
      <color rgb="FF000000"/>
      <sz val="11"/>
    </font>
    <font>
      <name val="Calibri Light"/>
      <family val="2"/>
      <b val="1"/>
      <color theme="1"/>
      <sz val="11"/>
    </font>
    <font>
      <name val="Times New Roman"/>
      <charset val="1"/>
      <family val="1"/>
      <b val="1"/>
      <color theme="0"/>
      <sz val="12"/>
    </font>
    <font>
      <name val="Times New Roman"/>
      <charset val="1"/>
      <family val="1"/>
      <sz val="12"/>
    </font>
    <font>
      <name val="Times New Roman"/>
      <charset val="1"/>
      <family val="1"/>
      <b val="1"/>
      <color theme="1"/>
      <sz val="12"/>
    </font>
    <font>
      <name val="Times New Roman"/>
      <charset val="1"/>
      <family val="1"/>
      <b val="1"/>
      <sz val="12"/>
    </font>
    <font>
      <name val="Times New Roman"/>
      <family val="1"/>
      <color rgb="FFFF0000"/>
      <sz val="11"/>
    </font>
    <font>
      <name val="Calibri"/>
      <family val="2"/>
      <sz val="11"/>
    </font>
    <font>
      <name val="Aptos"/>
      <family val="2"/>
      <color rgb="FF000000"/>
      <sz val="11"/>
    </font>
    <font>
      <name val="Aptos Narrow"/>
      <charset val="1"/>
      <family val="2"/>
      <color theme="1"/>
      <sz val="12"/>
    </font>
    <font>
      <name val="Cambria"/>
      <family val="1"/>
      <b val="1"/>
      <color theme="1"/>
      <sz val="11"/>
    </font>
    <font>
      <name val="Cambria"/>
      <charset val="1"/>
      <family val="1"/>
      <b val="1"/>
      <color theme="1"/>
      <sz val="14"/>
    </font>
    <font>
      <name val="Aptos Narrow"/>
      <charset val="1"/>
      <family val="2"/>
      <color theme="1"/>
      <sz val="14"/>
    </font>
    <font>
      <name val="Arial"/>
      <family val="2"/>
      <color theme="1"/>
      <sz val="11"/>
    </font>
    <font>
      <name val="Aptos Narrow"/>
      <family val="2"/>
      <color theme="1"/>
      <sz val="11"/>
    </font>
    <font>
      <name val="Cambria"/>
      <family val="1"/>
      <color theme="1"/>
      <sz val="11"/>
    </font>
    <font>
      <name val="Cambria"/>
      <family val="1"/>
      <sz val="11"/>
    </font>
    <font>
      <name val="Times New Roman"/>
      <charset val="1"/>
      <family val="1"/>
      <b val="1"/>
      <color rgb="FF000000"/>
      <sz val="12"/>
    </font>
    <font>
      <name val="Aptos"/>
      <family val="2"/>
      <color theme="1"/>
      <sz val="11"/>
    </font>
    <font>
      <name val="Aptos Narrow"/>
      <family val="2"/>
      <color rgb="FF000000"/>
      <sz val="11"/>
    </font>
    <font>
      <name val="Calibri"/>
      <family val="2"/>
      <color theme="1"/>
      <sz val="11"/>
    </font>
    <font>
      <name val="Calibri"/>
      <family val="2"/>
      <b val="1"/>
      <color theme="1"/>
      <sz val="11"/>
    </font>
    <font>
      <name val="Calibri"/>
      <family val="2"/>
      <color theme="0"/>
      <sz val="11"/>
    </font>
    <font>
      <name val="Calibri"/>
      <family val="2"/>
      <color rgb="FF000000"/>
      <sz val="11"/>
    </font>
    <font>
      <name val="Calibri"/>
      <charset val="1"/>
      <family val="2"/>
      <b val="1"/>
      <color theme="1"/>
      <sz val="11"/>
    </font>
    <font>
      <name val="Calibri"/>
      <charset val="1"/>
      <family val="2"/>
      <color theme="1"/>
      <sz val="11"/>
    </font>
    <font>
      <name val="Calibri"/>
      <family val="2"/>
      <b val="1"/>
      <color theme="0"/>
      <sz val="11"/>
    </font>
    <font>
      <name val="Calibri"/>
      <charset val="1"/>
      <family val="2"/>
      <b val="1"/>
      <color theme="0"/>
      <sz val="11"/>
    </font>
    <font>
      <name val="Aptos Narrow"/>
      <charset val="1"/>
      <family val="2"/>
      <color theme="1"/>
      <sz val="11"/>
    </font>
    <font>
      <name val="Aptos Narrow"/>
      <family val="2"/>
      <b val="1"/>
      <color theme="1"/>
      <sz val="11"/>
      <scheme val="minor"/>
    </font>
    <font>
      <name val="Aptos Narrow"/>
      <family val="2"/>
      <b val="1"/>
      <color theme="1"/>
      <sz val="16"/>
      <scheme val="minor"/>
    </font>
    <font>
      <name val="Aptos Narrow"/>
      <family val="2"/>
      <b val="1"/>
      <color theme="1"/>
      <sz val="12"/>
      <scheme val="minor"/>
    </font>
    <font>
      <name val="Calibri"/>
      <family val="2"/>
      <color theme="1"/>
      <sz val="9"/>
    </font>
    <font>
      <name val="Aptos Narrow"/>
      <family val="2"/>
      <color theme="1"/>
      <sz val="9"/>
      <scheme val="minor"/>
    </font>
    <font>
      <name val="Calibri"/>
      <family val="2"/>
      <sz val="9"/>
    </font>
    <font>
      <name val="Calibri"/>
      <family val="2"/>
      <color rgb="FF000000"/>
      <sz val="9"/>
    </font>
    <font>
      <name val="Calibri"/>
      <family val="2"/>
      <b val="1"/>
      <color rgb="FF000000"/>
      <sz val="11"/>
    </font>
    <font>
      <name val="Open Sans"/>
      <family val="2"/>
      <color rgb="FF000000"/>
      <sz val="10"/>
    </font>
    <font>
      <name val="Open Sans"/>
      <family val="2"/>
      <sz val="10"/>
    </font>
    <font>
      <name val="Open Sans"/>
      <family val="2"/>
      <b val="1"/>
      <color rgb="FF000000"/>
      <sz val="11"/>
    </font>
    <font>
      <name val="Open Sans"/>
      <family val="2"/>
      <b val="1"/>
      <color rgb="FF000000"/>
      <sz val="9"/>
    </font>
    <font>
      <name val="Aptos Narrow"/>
      <family val="2"/>
      <b val="1"/>
      <color theme="1"/>
      <sz val="14"/>
    </font>
    <font>
      <name val="Aptos Narrow"/>
      <family val="2"/>
      <color theme="1"/>
      <sz val="11"/>
    </font>
    <font>
      <name val="Aptos"/>
      <color rgb="FF000000"/>
      <sz val="10"/>
    </font>
    <font>
      <name val="Open Sans"/>
      <family val="2"/>
      <b val="1"/>
      <color rgb="FF000000"/>
      <sz val="10"/>
    </font>
  </fonts>
  <fills count="20">
    <fill>
      <patternFill/>
    </fill>
    <fill>
      <patternFill patternType="gray125"/>
    </fill>
    <fill>
      <patternFill patternType="solid">
        <fgColor theme="0"/>
        <bgColor rgb="FFFFFFCC"/>
      </patternFill>
    </fill>
    <fill>
      <patternFill patternType="solid">
        <fgColor theme="7" tint="0.7998901333658864"/>
        <bgColor rgb="FFCCFFFF"/>
      </patternFill>
    </fill>
    <fill>
      <patternFill patternType="solid">
        <fgColor rgb="FF00B050"/>
        <bgColor rgb="FF008080"/>
      </patternFill>
    </fill>
    <fill>
      <patternFill patternType="solid">
        <fgColor rgb="FFFF0000"/>
        <bgColor rgb="FF9C0006"/>
      </patternFill>
    </fill>
    <fill>
      <patternFill patternType="solid">
        <fgColor rgb="FFFFFF00"/>
        <bgColor rgb="FFFFFF00"/>
      </patternFill>
    </fill>
    <fill>
      <patternFill patternType="solid">
        <fgColor theme="9" tint="-0.499984740745262"/>
        <bgColor rgb="FF333333"/>
      </patternFill>
    </fill>
    <fill>
      <patternFill patternType="solid">
        <fgColor rgb="FFFFFFCC"/>
        <bgColor rgb="FFFFFFFF"/>
      </patternFill>
    </fill>
    <fill>
      <patternFill patternType="solid">
        <fgColor theme="2" tint="-0.09997863704336681"/>
        <bgColor rgb="FFF6C6AD"/>
      </patternFill>
    </fill>
    <fill>
      <patternFill patternType="solid">
        <fgColor theme="3" tint="0.5999938962981048"/>
        <bgColor indexed="64"/>
      </patternFill>
    </fill>
    <fill>
      <patternFill patternType="solid">
        <fgColor theme="0" tint="-0.249977111117893"/>
        <bgColor indexed="64"/>
      </patternFill>
    </fill>
    <fill>
      <patternFill patternType="solid">
        <fgColor theme="0"/>
        <bgColor indexed="64"/>
      </patternFill>
    </fill>
    <fill>
      <patternFill patternType="solid">
        <fgColor rgb="FFD9D9D9"/>
        <bgColor rgb="FF000000"/>
      </patternFill>
    </fill>
    <fill>
      <patternFill patternType="solid">
        <fgColor rgb="FFFFFFFF"/>
        <bgColor rgb="FF000000"/>
      </patternFill>
    </fill>
    <fill>
      <patternFill patternType="solid">
        <fgColor rgb="FFFFF2CC"/>
        <bgColor rgb="FF000000"/>
      </patternFill>
    </fill>
    <fill>
      <patternFill patternType="solid">
        <fgColor rgb="FFFFFFFF"/>
        <bgColor indexed="64"/>
      </patternFill>
    </fill>
    <fill>
      <patternFill patternType="solid">
        <fgColor rgb="FFFFFF00"/>
        <bgColor indexed="64"/>
      </patternFill>
    </fill>
    <fill>
      <patternFill patternType="solid">
        <fgColor rgb="FFB4C6E7"/>
        <bgColor indexed="64"/>
      </patternFill>
    </fill>
    <fill>
      <patternFill patternType="solid">
        <fgColor rgb="FF92D050"/>
        <bgColor indexed="64"/>
      </patternFill>
    </fill>
  </fills>
  <borders count="4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Dashed">
        <color auto="1"/>
      </left>
      <right/>
      <top/>
      <bottom/>
      <diagonal/>
    </border>
    <border>
      <left/>
      <right style="mediumDashed">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Dashed">
        <color auto="1"/>
      </left>
      <right style="mediumDashed">
        <color auto="1"/>
      </right>
      <top/>
      <bottom/>
      <diagonal/>
    </border>
    <border>
      <left style="thin">
        <color auto="1"/>
      </left>
      <right style="thin">
        <color auto="1"/>
      </right>
      <top/>
      <bottom/>
      <diagonal/>
    </border>
    <border>
      <left style="mediumDashed">
        <color auto="1"/>
      </left>
      <right/>
      <top style="thin">
        <color auto="1"/>
      </top>
      <bottom style="thin">
        <color auto="1"/>
      </bottom>
      <diagonal/>
    </border>
    <border>
      <left/>
      <right/>
      <top style="thin">
        <color auto="1"/>
      </top>
      <bottom style="thin">
        <color auto="1"/>
      </bottom>
      <diagonal/>
    </border>
    <border>
      <left/>
      <right style="mediumDashed">
        <color auto="1"/>
      </right>
      <top style="thin">
        <color auto="1"/>
      </top>
      <bottom style="thin">
        <color auto="1"/>
      </bottom>
      <diagonal/>
    </border>
    <border>
      <left style="mediumDashed">
        <color auto="1"/>
      </left>
      <right/>
      <top style="mediumDashed">
        <color auto="1"/>
      </top>
      <bottom style="mediumDashed">
        <color auto="1"/>
      </bottom>
      <diagonal/>
    </border>
    <border>
      <left/>
      <right/>
      <top style="mediumDashed">
        <color auto="1"/>
      </top>
      <bottom style="mediumDashed">
        <color auto="1"/>
      </bottom>
      <diagonal/>
    </border>
    <border>
      <left/>
      <right style="mediumDashed">
        <color auto="1"/>
      </right>
      <top style="mediumDashed">
        <color auto="1"/>
      </top>
      <bottom style="mediumDashed">
        <color auto="1"/>
      </bottom>
      <diagonal/>
    </border>
    <border>
      <left style="thin">
        <color theme="1" tint="0.499893185216834"/>
      </left>
      <right style="thin">
        <color theme="1" tint="0.499893185216834"/>
      </right>
      <top style="thin">
        <color theme="1" tint="0.499893185216834"/>
      </top>
      <bottom style="thin">
        <color theme="1" tint="0.499893185216834"/>
      </bottom>
      <diagonal/>
    </border>
    <border>
      <left/>
      <right style="thin">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style="thin">
        <color auto="1"/>
      </top>
      <bottom/>
      <diagonal/>
    </border>
    <border>
      <left/>
      <right style="medium">
        <color indexed="64"/>
      </right>
      <top style="medium">
        <color indexed="64"/>
      </top>
      <bottom style="medium">
        <color indexed="64"/>
      </bottom>
      <diagonal/>
    </border>
    <border>
      <left style="thin">
        <color theme="1" tint="0.499893185216834"/>
      </left>
      <right style="thin">
        <color theme="1" tint="0.499893185216834"/>
      </right>
      <top/>
      <bottom style="thin">
        <color theme="1" tint="0.499893185216834"/>
      </bottom>
      <diagonal/>
    </border>
    <border>
      <left style="thin">
        <color theme="1" tint="0.499893185216834"/>
      </left>
      <right/>
      <top style="thin">
        <color theme="1" tint="0.499893185216834"/>
      </top>
      <bottom style="thin">
        <color theme="1" tint="0.499893185216834"/>
      </bottom>
      <diagonal/>
    </border>
    <border>
      <left/>
      <right/>
      <top style="thin">
        <color theme="1" tint="0.499893185216834"/>
      </top>
      <bottom style="thin">
        <color theme="1" tint="0.499893185216834"/>
      </bottom>
      <diagonal/>
    </border>
    <border>
      <left/>
      <right style="thin">
        <color theme="1" tint="0.499893185216834"/>
      </right>
      <top style="thin">
        <color theme="1" tint="0.499893185216834"/>
      </top>
      <bottom style="thin">
        <color theme="1" tint="0.499893185216834"/>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top/>
      <bottom/>
      <diagonal/>
    </border>
    <border>
      <left style="thin">
        <color auto="1"/>
      </left>
      <right/>
      <top/>
      <bottom style="thin">
        <color auto="1"/>
      </bottom>
      <diagonal/>
    </border>
    <border>
      <left/>
      <right/>
      <top style="thin">
        <color theme="1" tint="0.499893185216834"/>
      </top>
      <bottom/>
      <diagonal/>
    </border>
    <border>
      <left/>
      <right style="thin">
        <color theme="1" tint="0.499893185216834"/>
      </right>
      <top style="thin">
        <color theme="1" tint="0.499893185216834"/>
      </top>
      <bottom/>
      <diagonal/>
    </border>
    <border>
      <left/>
      <right/>
      <top style="medium">
        <color indexed="64"/>
      </top>
      <bottom/>
      <diagonal/>
    </border>
    <border>
      <left/>
      <right style="thin">
        <color auto="1"/>
      </right>
      <top style="thin">
        <color auto="1"/>
      </top>
      <bottom/>
      <diagonal/>
    </border>
  </borders>
  <cellStyleXfs count="5">
    <xf numFmtId="0" fontId="43" fillId="0" borderId="0"/>
    <xf numFmtId="167" fontId="43" fillId="0" borderId="0"/>
    <xf numFmtId="0" fontId="1" fillId="0" borderId="0"/>
    <xf numFmtId="0" fontId="43" fillId="0" borderId="0"/>
    <xf numFmtId="0" fontId="1" fillId="0" borderId="0"/>
  </cellStyleXfs>
  <cellXfs count="532">
    <xf numFmtId="0" fontId="0" fillId="0" borderId="0" pivotButton="0" quotePrefix="0" xfId="0"/>
    <xf numFmtId="0" fontId="2" fillId="2" borderId="0" applyAlignment="1" applyProtection="1" pivotButton="0" quotePrefix="0" xfId="0">
      <alignment horizontal="center" vertical="center"/>
      <protection locked="0" hidden="0"/>
    </xf>
    <xf numFmtId="0" fontId="3" fillId="2" borderId="0" applyAlignment="1" applyProtection="1" pivotButton="0" quotePrefix="0" xfId="0">
      <alignment horizontal="center" vertical="center"/>
      <protection locked="0" hidden="0"/>
    </xf>
    <xf numFmtId="0" fontId="4"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indent="1"/>
      <protection locked="0" hidden="0"/>
    </xf>
    <xf numFmtId="0" fontId="3" fillId="2" borderId="0" applyAlignment="1" applyProtection="1" pivotButton="0" quotePrefix="0" xfId="0">
      <alignment horizontal="left" vertical="center" indent="1"/>
      <protection locked="0" hidden="0"/>
    </xf>
    <xf numFmtId="0" fontId="2" fillId="2" borderId="0" applyAlignment="1" applyProtection="1" pivotButton="0" quotePrefix="0" xfId="0">
      <alignment horizontal="center" vertical="center" wrapText="1"/>
      <protection locked="0" hidden="0"/>
    </xf>
    <xf numFmtId="0" fontId="2" fillId="0" borderId="0" applyAlignment="1" applyProtection="1" pivotButton="0" quotePrefix="0" xfId="0">
      <alignment horizontal="center" vertical="center"/>
      <protection locked="0" hidden="0"/>
    </xf>
    <xf numFmtId="0" fontId="7" fillId="3" borderId="1" applyAlignment="1" pivotButton="0" quotePrefix="0" xfId="0">
      <alignment horizontal="left" vertical="center" indent="1"/>
    </xf>
    <xf numFmtId="0" fontId="7" fillId="3" borderId="1" applyAlignment="1" pivotButton="0" quotePrefix="0" xfId="0">
      <alignment horizontal="center" vertical="center" wrapText="1"/>
    </xf>
    <xf numFmtId="0" fontId="7" fillId="3" borderId="1" applyAlignment="1" applyProtection="1" pivotButton="0" quotePrefix="0" xfId="0">
      <alignment horizontal="left" vertical="center" indent="2"/>
      <protection locked="0" hidden="0"/>
    </xf>
    <xf numFmtId="0" fontId="7" fillId="3" borderId="1" applyAlignment="1" applyProtection="1" pivotButton="0" quotePrefix="0" xfId="0">
      <alignment horizontal="center" vertical="center" wrapText="1"/>
      <protection locked="0" hidden="0"/>
    </xf>
    <xf numFmtId="0" fontId="7" fillId="3" borderId="1" applyAlignment="1" applyProtection="1" pivotButton="0" quotePrefix="0" xfId="0">
      <alignment horizontal="center" vertical="center"/>
      <protection locked="0" hidden="0"/>
    </xf>
    <xf numFmtId="0" fontId="7" fillId="3" borderId="1" applyAlignment="1" applyProtection="1" pivotButton="0" quotePrefix="0" xfId="0">
      <alignment horizontal="left" vertical="center" indent="1"/>
      <protection locked="0" hidden="0"/>
    </xf>
    <xf numFmtId="0" fontId="8" fillId="2" borderId="1" applyAlignment="1" applyProtection="1" pivotButton="0" quotePrefix="0" xfId="0">
      <alignment horizontal="left" vertical="center" indent="1"/>
      <protection locked="0" hidden="0"/>
    </xf>
    <xf numFmtId="0" fontId="11" fillId="2" borderId="1" applyAlignment="1" applyProtection="1" pivotButton="0" quotePrefix="0" xfId="0">
      <alignment horizontal="left" vertical="center" indent="1"/>
      <protection locked="0" hidden="0"/>
    </xf>
    <xf numFmtId="164" fontId="11" fillId="2" borderId="2" applyAlignment="1" applyProtection="1" pivotButton="0" quotePrefix="0" xfId="0">
      <alignment horizontal="center" vertical="center"/>
      <protection locked="0" hidden="0"/>
    </xf>
    <xf numFmtId="164" fontId="11" fillId="2" borderId="3" applyAlignment="1" applyProtection="1" pivotButton="0" quotePrefix="0" xfId="0">
      <alignment horizontal="center" vertical="center"/>
      <protection locked="0" hidden="0"/>
    </xf>
    <xf numFmtId="0" fontId="12" fillId="0" borderId="1" applyAlignment="1" applyProtection="1" pivotButton="0" quotePrefix="0" xfId="0">
      <alignment horizontal="left" vertical="center" indent="1"/>
      <protection locked="0" hidden="0"/>
    </xf>
    <xf numFmtId="0" fontId="10" fillId="2" borderId="1" applyAlignment="1" applyProtection="1" pivotButton="0" quotePrefix="0" xfId="0">
      <alignment horizontal="center" vertical="center"/>
      <protection locked="0" hidden="0"/>
    </xf>
    <xf numFmtId="0" fontId="6" fillId="2"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left" vertical="center" indent="1"/>
      <protection locked="0" hidden="0"/>
    </xf>
    <xf numFmtId="0" fontId="10" fillId="2" borderId="1" applyAlignment="1" applyProtection="1" pivotButton="0" quotePrefix="0" xfId="0">
      <alignment horizontal="left" vertical="center" indent="1"/>
      <protection locked="0" hidden="0"/>
    </xf>
    <xf numFmtId="0" fontId="8" fillId="2" borderId="1" applyAlignment="1" applyProtection="1" pivotButton="0" quotePrefix="0" xfId="0">
      <alignment horizontal="left" vertical="center" wrapText="1" indent="1"/>
      <protection locked="0" hidden="0"/>
    </xf>
    <xf numFmtId="0" fontId="13" fillId="5" borderId="1" applyAlignment="1" applyProtection="1" pivotButton="0" quotePrefix="0" xfId="0">
      <alignment horizontal="left" vertical="center" indent="1"/>
      <protection locked="0" hidden="0"/>
    </xf>
    <xf numFmtId="0" fontId="8" fillId="6" borderId="1" applyAlignment="1" applyProtection="1" pivotButton="0" quotePrefix="0" xfId="0">
      <alignment horizontal="left" vertical="center" indent="1"/>
      <protection locked="0" hidden="0"/>
    </xf>
    <xf numFmtId="0" fontId="10" fillId="0" borderId="1" applyAlignment="1" pivotButton="0" quotePrefix="0" xfId="0">
      <alignment horizontal="center" vertical="center"/>
    </xf>
    <xf numFmtId="0" fontId="10" fillId="0" borderId="4" applyAlignment="1" pivotButton="0" quotePrefix="0" xfId="0">
      <alignment horizontal="center" vertical="center"/>
    </xf>
    <xf numFmtId="0" fontId="10" fillId="0" borderId="4" applyAlignment="1" pivotButton="0" quotePrefix="0" xfId="0">
      <alignment horizontal="left" indent="1"/>
    </xf>
    <xf numFmtId="0" fontId="8" fillId="2" borderId="1" applyAlignment="1" applyProtection="1" pivotButton="0" quotePrefix="0" xfId="0">
      <alignment horizontal="center" vertical="center" wrapText="1"/>
      <protection locked="0" hidden="0"/>
    </xf>
    <xf numFmtId="0" fontId="9" fillId="2" borderId="1" applyAlignment="1" applyProtection="1" pivotButton="0" quotePrefix="0" xfId="0">
      <alignment horizontal="left" vertical="center" indent="1"/>
      <protection locked="0" hidden="0"/>
    </xf>
    <xf numFmtId="0" fontId="14" fillId="5" borderId="1" applyAlignment="1" applyProtection="1" pivotButton="0" quotePrefix="0" xfId="0">
      <alignment horizontal="left" vertical="center" indent="1"/>
      <protection locked="0" hidden="0"/>
    </xf>
    <xf numFmtId="0" fontId="10" fillId="0" borderId="1" applyAlignment="1" applyProtection="1" pivotButton="0" quotePrefix="0" xfId="0">
      <alignment horizontal="left" vertical="center" indent="1"/>
      <protection locked="0" hidden="0"/>
    </xf>
    <xf numFmtId="0" fontId="15" fillId="2" borderId="1" applyAlignment="1" applyProtection="1" pivotButton="0" quotePrefix="0" xfId="0">
      <alignment horizontal="center" vertical="center"/>
      <protection locked="0" hidden="0"/>
    </xf>
    <xf numFmtId="0" fontId="16" fillId="2" borderId="1" applyAlignment="1" applyProtection="1" pivotButton="0" quotePrefix="0" xfId="0">
      <alignment horizontal="left" vertical="center" indent="1"/>
      <protection locked="0" hidden="0"/>
    </xf>
    <xf numFmtId="0" fontId="14" fillId="7" borderId="1" applyAlignment="1" pivotButton="0" quotePrefix="0" xfId="0">
      <alignment horizontal="left" vertical="center" wrapText="1" indent="1"/>
    </xf>
    <xf numFmtId="0" fontId="14" fillId="7" borderId="1" applyAlignment="1" pivotButton="0" quotePrefix="0" xfId="0">
      <alignment horizontal="center" vertical="center" wrapText="1"/>
    </xf>
    <xf numFmtId="0" fontId="14" fillId="7" borderId="1" applyAlignment="1" applyProtection="1" pivotButton="0" quotePrefix="0" xfId="0">
      <alignment horizontal="left" vertical="center" indent="1"/>
      <protection locked="0" hidden="0"/>
    </xf>
    <xf numFmtId="0" fontId="14" fillId="7" borderId="1" applyAlignment="1" applyProtection="1" pivotButton="0" quotePrefix="0" xfId="0">
      <alignment horizontal="center" vertical="center" wrapText="1"/>
      <protection locked="0" hidden="0"/>
    </xf>
    <xf numFmtId="0" fontId="17" fillId="7" borderId="1" applyAlignment="1" applyProtection="1" pivotButton="0" quotePrefix="0" xfId="0">
      <alignment horizontal="center" vertical="center"/>
      <protection locked="0" hidden="0"/>
    </xf>
    <xf numFmtId="0" fontId="17" fillId="7" borderId="1" applyAlignment="1" applyProtection="1" pivotButton="0" quotePrefix="0" xfId="0">
      <alignment horizontal="left" vertical="center" indent="1"/>
      <protection locked="0" hidden="0"/>
    </xf>
    <xf numFmtId="0" fontId="14" fillId="7" borderId="1" applyAlignment="1" applyProtection="1" pivotButton="0" quotePrefix="0" xfId="0">
      <alignment horizontal="left" vertical="center" wrapText="1" indent="1"/>
      <protection locked="0" hidden="0"/>
    </xf>
    <xf numFmtId="0" fontId="17" fillId="7" borderId="1" applyAlignment="1" applyProtection="1" pivotButton="0" quotePrefix="0" xfId="0">
      <alignment horizontal="center" vertical="center" wrapText="1"/>
      <protection locked="0" hidden="0"/>
    </xf>
    <xf numFmtId="0" fontId="17" fillId="7" borderId="1" applyAlignment="1" applyProtection="1" pivotButton="0" quotePrefix="0" xfId="0">
      <alignment horizontal="left" vertical="center" wrapText="1" indent="1"/>
      <protection locked="0" hidden="0"/>
    </xf>
    <xf numFmtId="0" fontId="18" fillId="2" borderId="5" applyAlignment="1" pivotButton="0" quotePrefix="0" xfId="0">
      <alignment vertical="center" wrapText="1"/>
    </xf>
    <xf numFmtId="0" fontId="18" fillId="2" borderId="0" applyAlignment="1" pivotButton="0" quotePrefix="0" xfId="0">
      <alignment vertical="center" wrapText="1"/>
    </xf>
    <xf numFmtId="0" fontId="18" fillId="2" borderId="0" applyAlignment="1" applyProtection="1" pivotButton="0" quotePrefix="0" xfId="0">
      <alignment vertical="center" wrapText="1"/>
      <protection locked="0" hidden="0"/>
    </xf>
    <xf numFmtId="0" fontId="18" fillId="2" borderId="0" applyAlignment="1" applyProtection="1" pivotButton="0" quotePrefix="0" xfId="0">
      <alignment horizontal="left" vertical="center" wrapText="1" indent="1"/>
      <protection locked="0" hidden="0"/>
    </xf>
    <xf numFmtId="0" fontId="18" fillId="2" borderId="6" applyAlignment="1" applyProtection="1" pivotButton="0" quotePrefix="0" xfId="0">
      <alignment vertical="center" wrapText="1"/>
      <protection locked="0" hidden="0"/>
    </xf>
    <xf numFmtId="0" fontId="19" fillId="3" borderId="1" applyAlignment="1" applyProtection="1" pivotButton="0" quotePrefix="0" xfId="0">
      <alignment horizontal="left" vertical="center" indent="1"/>
      <protection locked="0" hidden="0"/>
    </xf>
    <xf numFmtId="0" fontId="9" fillId="2" borderId="1" applyAlignment="1" applyProtection="1" pivotButton="0" quotePrefix="0" xfId="0">
      <alignment horizontal="center" vertical="center" wrapText="1"/>
      <protection locked="0" hidden="0"/>
    </xf>
    <xf numFmtId="0" fontId="10" fillId="0" borderId="0" applyAlignment="1" applyProtection="1" pivotButton="0" quotePrefix="0" xfId="0">
      <alignment horizontal="left" vertical="center" indent="1"/>
      <protection locked="0" hidden="0"/>
    </xf>
    <xf numFmtId="0" fontId="11" fillId="2" borderId="1" applyAlignment="1" applyProtection="1" pivotButton="0" quotePrefix="0" xfId="0">
      <alignment horizontal="left" vertical="center" indent="2"/>
      <protection locked="0" hidden="0"/>
    </xf>
    <xf numFmtId="0" fontId="13" fillId="0" borderId="1" applyAlignment="1" applyProtection="1" pivotButton="0" quotePrefix="0" xfId="0">
      <alignment horizontal="left" vertical="center" wrapText="1" indent="1"/>
      <protection locked="0" hidden="0"/>
    </xf>
    <xf numFmtId="0" fontId="10" fillId="0" borderId="7" applyAlignment="1" applyProtection="1" pivotButton="0" quotePrefix="0" xfId="0">
      <alignment horizontal="left" vertical="center" indent="1"/>
      <protection locked="0" hidden="0"/>
    </xf>
    <xf numFmtId="0" fontId="9" fillId="2" borderId="3" applyAlignment="1" applyProtection="1" pivotButton="0" quotePrefix="0" xfId="0">
      <alignment horizontal="center" vertical="center" wrapText="1"/>
      <protection locked="0" hidden="0"/>
    </xf>
    <xf numFmtId="0" fontId="11" fillId="2" borderId="1" applyAlignment="1" applyProtection="1" pivotButton="0" quotePrefix="0" xfId="0">
      <alignment horizontal="left" vertical="center" wrapText="1" indent="2"/>
      <protection locked="0" hidden="0"/>
    </xf>
    <xf numFmtId="0" fontId="7" fillId="2" borderId="1" applyAlignment="1" applyProtection="1" pivotButton="0" quotePrefix="0" xfId="0">
      <alignment horizontal="center" vertical="center" wrapText="1"/>
      <protection locked="0" hidden="0"/>
    </xf>
    <xf numFmtId="0" fontId="14" fillId="7" borderId="1" applyAlignment="1" applyProtection="1" pivotButton="0" quotePrefix="0" xfId="0">
      <alignment horizontal="center" vertical="center"/>
      <protection locked="0" hidden="0"/>
    </xf>
    <xf numFmtId="0" fontId="20" fillId="0" borderId="9" applyAlignment="1" pivotButton="0" quotePrefix="0" xfId="0">
      <alignment vertical="center" wrapText="1"/>
    </xf>
    <xf numFmtId="0" fontId="20" fillId="0" borderId="9" applyAlignment="1" applyProtection="1" pivotButton="0" quotePrefix="0" xfId="0">
      <alignment vertical="center" wrapText="1"/>
      <protection locked="0" hidden="0"/>
    </xf>
    <xf numFmtId="0" fontId="20" fillId="0" borderId="9" applyAlignment="1" applyProtection="1" pivotButton="0" quotePrefix="0" xfId="0">
      <alignment horizontal="left" vertical="center" wrapText="1" indent="1"/>
      <protection locked="0" hidden="0"/>
    </xf>
    <xf numFmtId="0" fontId="7" fillId="3" borderId="7" applyAlignment="1" applyProtection="1" pivotButton="0" quotePrefix="0" xfId="0">
      <alignment horizontal="left" vertical="center" indent="2"/>
      <protection locked="0" hidden="0"/>
    </xf>
    <xf numFmtId="0" fontId="9" fillId="0" borderId="4" applyAlignment="1" applyProtection="1" pivotButton="0" quotePrefix="0" xfId="0">
      <alignment horizontal="center"/>
      <protection locked="0" hidden="0"/>
    </xf>
    <xf numFmtId="0" fontId="10" fillId="0" borderId="4" applyAlignment="1" applyProtection="1" pivotButton="0" quotePrefix="0" xfId="0">
      <alignment horizontal="center"/>
      <protection locked="0" hidden="0"/>
    </xf>
    <xf numFmtId="0" fontId="2" fillId="2" borderId="1" applyAlignment="1" applyProtection="1" pivotButton="0" quotePrefix="0" xfId="0">
      <alignment horizontal="left" vertical="center" indent="1"/>
      <protection locked="0" hidden="0"/>
    </xf>
    <xf numFmtId="0" fontId="12" fillId="2" borderId="1" applyAlignment="1" applyProtection="1" pivotButton="0" quotePrefix="0" xfId="0">
      <alignment horizontal="left" vertical="center" wrapText="1" indent="1"/>
      <protection locked="0" hidden="0"/>
    </xf>
    <xf numFmtId="0" fontId="8" fillId="0" borderId="8" applyAlignment="1" applyProtection="1" pivotButton="0" quotePrefix="0" xfId="0">
      <alignment horizontal="left" vertical="center" indent="1"/>
      <protection locked="0" hidden="0"/>
    </xf>
    <xf numFmtId="0" fontId="9" fillId="0"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indent="1"/>
      <protection locked="0" hidden="0"/>
    </xf>
    <xf numFmtId="0" fontId="10" fillId="0" borderId="8" applyAlignment="1" applyProtection="1" pivotButton="0" quotePrefix="0" xfId="0">
      <alignment horizontal="left" vertical="center" indent="1"/>
      <protection locked="0" hidden="0"/>
    </xf>
    <xf numFmtId="0" fontId="8" fillId="2" borderId="1" applyAlignment="1" applyProtection="1" pivotButton="0" quotePrefix="0" xfId="0">
      <alignment vertical="center" wrapText="1"/>
      <protection locked="0" hidden="0"/>
    </xf>
    <xf numFmtId="0" fontId="8" fillId="2" borderId="7" applyAlignment="1" pivotButton="0" quotePrefix="0" xfId="0">
      <alignment horizontal="left" vertical="center" indent="1"/>
    </xf>
    <xf numFmtId="0" fontId="8" fillId="2" borderId="1" applyAlignment="1" applyProtection="1" pivotButton="0" quotePrefix="0" xfId="0">
      <alignment vertical="center"/>
      <protection locked="0" hidden="0"/>
    </xf>
    <xf numFmtId="0" fontId="10" fillId="2" borderId="1" applyAlignment="1" applyProtection="1" pivotButton="0" quotePrefix="0" xfId="0">
      <alignment vertical="center"/>
      <protection locked="0" hidden="0"/>
    </xf>
    <xf numFmtId="0" fontId="15" fillId="2" borderId="1" applyAlignment="1" applyProtection="1" pivotButton="0" quotePrefix="0" xfId="0">
      <alignment vertical="center"/>
      <protection locked="0" hidden="0"/>
    </xf>
    <xf numFmtId="0" fontId="2" fillId="2" borderId="5" applyAlignment="1" pivotButton="0" quotePrefix="0" xfId="0">
      <alignment vertical="center"/>
    </xf>
    <xf numFmtId="0" fontId="2" fillId="2" borderId="0" applyAlignment="1" pivotButton="0" quotePrefix="0" xfId="0">
      <alignment vertical="center"/>
    </xf>
    <xf numFmtId="0" fontId="2" fillId="2" borderId="0" applyAlignment="1" applyProtection="1" pivotButton="0" quotePrefix="0" xfId="0">
      <alignment vertical="center"/>
      <protection locked="0" hidden="0"/>
    </xf>
    <xf numFmtId="0" fontId="2" fillId="2" borderId="6" applyAlignment="1" applyProtection="1" pivotButton="0" quotePrefix="0" xfId="0">
      <alignment vertical="center"/>
      <protection locked="0" hidden="0"/>
    </xf>
    <xf numFmtId="0" fontId="12" fillId="2" borderId="1" applyAlignment="1" applyProtection="1" pivotButton="0" quotePrefix="0" xfId="0">
      <alignment horizontal="center" vertical="center"/>
      <protection locked="0" hidden="0"/>
    </xf>
    <xf numFmtId="0" fontId="2" fillId="2" borderId="11" applyAlignment="1" pivotButton="0" quotePrefix="0" xfId="0">
      <alignment vertical="center"/>
    </xf>
    <xf numFmtId="0" fontId="2" fillId="2" borderId="12" applyAlignment="1" pivotButton="0" quotePrefix="0" xfId="0">
      <alignment vertical="center"/>
    </xf>
    <xf numFmtId="0" fontId="2" fillId="2" borderId="12" applyAlignment="1" applyProtection="1" pivotButton="0" quotePrefix="0" xfId="0">
      <alignment vertical="center"/>
      <protection locked="0" hidden="0"/>
    </xf>
    <xf numFmtId="0" fontId="2" fillId="2" borderId="12" applyAlignment="1" applyProtection="1" pivotButton="0" quotePrefix="0" xfId="0">
      <alignment horizontal="left" vertical="center" indent="1"/>
      <protection locked="0" hidden="0"/>
    </xf>
    <xf numFmtId="0" fontId="2" fillId="2" borderId="13" applyAlignment="1" applyProtection="1" pivotButton="0" quotePrefix="0" xfId="0">
      <alignment vertical="center"/>
      <protection locked="0" hidden="0"/>
    </xf>
    <xf numFmtId="0" fontId="15" fillId="2" borderId="1" applyAlignment="1" applyProtection="1" pivotButton="0" quotePrefix="0" xfId="0">
      <alignment horizontal="center" vertical="center" wrapText="1"/>
      <protection locked="0" hidden="0"/>
    </xf>
    <xf numFmtId="0" fontId="3" fillId="2" borderId="1" applyAlignment="1" applyProtection="1" pivotButton="0" quotePrefix="0" xfId="0">
      <alignment horizontal="left" vertical="center" indent="1"/>
      <protection locked="0" hidden="0"/>
    </xf>
    <xf numFmtId="0" fontId="16" fillId="2" borderId="1" applyAlignment="1" applyProtection="1" pivotButton="0" quotePrefix="0" xfId="0">
      <alignment horizontal="center" vertical="center"/>
      <protection locked="0" hidden="0"/>
    </xf>
    <xf numFmtId="0" fontId="2" fillId="2" borderId="5" applyAlignment="1" pivotButton="0" quotePrefix="0" xfId="0">
      <alignment horizontal="center" vertical="center"/>
    </xf>
    <xf numFmtId="0" fontId="2" fillId="2" borderId="0" applyAlignment="1" pivotButton="0" quotePrefix="0" xfId="0">
      <alignment horizontal="center" vertical="center"/>
    </xf>
    <xf numFmtId="0" fontId="10" fillId="2" borderId="3" applyAlignment="1" applyProtection="1" pivotButton="0" quotePrefix="0" xfId="0">
      <alignment horizontal="center" vertical="center"/>
      <protection locked="0" hidden="0"/>
    </xf>
    <xf numFmtId="0" fontId="14" fillId="7" borderId="8" applyAlignment="1" applyProtection="1" pivotButton="0" quotePrefix="0" xfId="0">
      <alignment horizontal="left" vertical="center" indent="1"/>
      <protection locked="0" hidden="0"/>
    </xf>
    <xf numFmtId="0" fontId="14" fillId="7" borderId="7" applyAlignment="1" pivotButton="0" quotePrefix="0" xfId="0">
      <alignment horizontal="center" vertical="center" wrapText="1"/>
    </xf>
    <xf numFmtId="0" fontId="14" fillId="7" borderId="7" applyAlignment="1" applyProtection="1" pivotButton="0" quotePrefix="0" xfId="0">
      <alignment horizontal="left" vertical="center" wrapText="1" indent="1"/>
      <protection locked="0" hidden="0"/>
    </xf>
    <xf numFmtId="0" fontId="14" fillId="7" borderId="7" applyAlignment="1" applyProtection="1" pivotButton="0" quotePrefix="0" xfId="0">
      <alignment horizontal="center" vertical="center" wrapText="1"/>
      <protection locked="0" hidden="0"/>
    </xf>
    <xf numFmtId="0" fontId="17" fillId="7" borderId="7" applyAlignment="1" applyProtection="1" pivotButton="0" quotePrefix="0" xfId="0">
      <alignment horizontal="center" vertical="center" wrapText="1"/>
      <protection locked="0" hidden="0"/>
    </xf>
    <xf numFmtId="0" fontId="17" fillId="7" borderId="7" applyAlignment="1" applyProtection="1" pivotButton="0" quotePrefix="0" xfId="0">
      <alignment horizontal="left" vertical="center" wrapText="1" indent="1"/>
      <protection locked="0" hidden="0"/>
    </xf>
    <xf numFmtId="0" fontId="2" fillId="2" borderId="14" applyAlignment="1" applyProtection="1" pivotButton="0" quotePrefix="0" xfId="0">
      <alignment horizontal="center" vertical="center"/>
      <protection locked="0" hidden="0"/>
    </xf>
    <xf numFmtId="0" fontId="3" fillId="2" borderId="15" applyAlignment="1" applyProtection="1" pivotButton="0" quotePrefix="0" xfId="0">
      <alignment horizontal="center" vertical="center"/>
      <protection locked="0" hidden="0"/>
    </xf>
    <xf numFmtId="0" fontId="4" fillId="2" borderId="15" applyAlignment="1" applyProtection="1" pivotButton="0" quotePrefix="0" xfId="0">
      <alignment horizontal="center" vertical="center"/>
      <protection locked="0" hidden="0"/>
    </xf>
    <xf numFmtId="0" fontId="2" fillId="2" borderId="15" applyAlignment="1" applyProtection="1" pivotButton="0" quotePrefix="0" xfId="0">
      <alignment horizontal="left" vertical="center" indent="1"/>
      <protection locked="0" hidden="0"/>
    </xf>
    <xf numFmtId="0" fontId="2" fillId="2" borderId="15" applyAlignment="1" applyProtection="1" pivotButton="0" quotePrefix="0" xfId="0">
      <alignment horizontal="center" vertical="center"/>
      <protection locked="0" hidden="0"/>
    </xf>
    <xf numFmtId="0" fontId="3" fillId="2" borderId="15" applyAlignment="1" applyProtection="1" pivotButton="0" quotePrefix="0" xfId="0">
      <alignment horizontal="left" vertical="center" indent="1"/>
      <protection locked="0" hidden="0"/>
    </xf>
    <xf numFmtId="0" fontId="2" fillId="2" borderId="16" applyAlignment="1" applyProtection="1" pivotButton="0" quotePrefix="0" xfId="0">
      <alignment horizontal="center" vertical="center" wrapText="1"/>
      <protection locked="0" hidden="0"/>
    </xf>
    <xf numFmtId="0" fontId="7" fillId="3" borderId="8" applyAlignment="1" pivotButton="0" quotePrefix="0" xfId="0">
      <alignment horizontal="left" vertical="center" indent="1"/>
    </xf>
    <xf numFmtId="0" fontId="7" fillId="3" borderId="8" applyAlignment="1" pivotButton="0" quotePrefix="0" xfId="0">
      <alignment horizontal="center" vertical="center" wrapText="1"/>
    </xf>
    <xf numFmtId="0" fontId="7" fillId="3" borderId="8" applyAlignment="1" applyProtection="1" pivotButton="0" quotePrefix="0" xfId="0">
      <alignment horizontal="left" vertical="center" indent="2"/>
      <protection locked="0" hidden="0"/>
    </xf>
    <xf numFmtId="0" fontId="7" fillId="3" borderId="8" applyAlignment="1" applyProtection="1" pivotButton="0" quotePrefix="0" xfId="0">
      <alignment horizontal="center" vertical="center" wrapText="1"/>
      <protection locked="0" hidden="0"/>
    </xf>
    <xf numFmtId="0" fontId="7" fillId="3" borderId="8" applyAlignment="1" applyProtection="1" pivotButton="0" quotePrefix="0" xfId="0">
      <alignment horizontal="center" vertical="center"/>
      <protection locked="0" hidden="0"/>
    </xf>
    <xf numFmtId="0" fontId="7" fillId="3" borderId="8" applyAlignment="1" applyProtection="1" pivotButton="0" quotePrefix="0" xfId="0">
      <alignment horizontal="left" vertical="center" indent="1"/>
      <protection locked="0" hidden="0"/>
    </xf>
    <xf numFmtId="0" fontId="6" fillId="2" borderId="4" applyAlignment="1" applyProtection="1" pivotButton="0" quotePrefix="0" xfId="0">
      <alignment horizontal="center" vertical="center"/>
      <protection locked="0" hidden="0"/>
    </xf>
    <xf numFmtId="0" fontId="22" fillId="0" borderId="1" applyAlignment="1" pivotButton="0" quotePrefix="0" xfId="0">
      <alignment horizontal="center" vertical="center"/>
    </xf>
    <xf numFmtId="0" fontId="10" fillId="2" borderId="4" applyAlignment="1" pivotButton="0" quotePrefix="0" xfId="0">
      <alignment horizontal="left" indent="1"/>
    </xf>
    <xf numFmtId="0" fontId="10" fillId="0" borderId="7" applyAlignment="1" applyProtection="1" pivotButton="0" quotePrefix="0" xfId="0">
      <alignment horizontal="left" vertical="center"/>
      <protection locked="0" hidden="0"/>
    </xf>
    <xf numFmtId="1" fontId="8" fillId="2" borderId="7" applyAlignment="1" applyProtection="1" pivotButton="0" quotePrefix="0" xfId="0">
      <alignment horizontal="center" vertical="center"/>
      <protection locked="0" hidden="0"/>
    </xf>
    <xf numFmtId="0" fontId="23" fillId="2" borderId="1"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horizontal="center" vertical="center"/>
    </xf>
    <xf numFmtId="0" fontId="24" fillId="0" borderId="0" applyAlignment="1" pivotButton="0" quotePrefix="0" xfId="0">
      <alignment horizontal="center"/>
    </xf>
    <xf numFmtId="0" fontId="27" fillId="0" borderId="0" applyAlignment="1" pivotButton="0" quotePrefix="0" xfId="0">
      <alignment horizontal="left"/>
    </xf>
    <xf numFmtId="0" fontId="28" fillId="0" borderId="17" applyAlignment="1" applyProtection="1" pivotButton="0" quotePrefix="0" xfId="0">
      <alignment horizontal="center" vertical="center" wrapText="1"/>
      <protection locked="0" hidden="0"/>
    </xf>
    <xf numFmtId="0" fontId="28" fillId="0" borderId="17" applyAlignment="1" applyProtection="1" pivotButton="0" quotePrefix="0" xfId="0">
      <alignment horizontal="left" vertical="center" wrapText="1"/>
      <protection locked="0" hidden="0"/>
    </xf>
    <xf numFmtId="0" fontId="29" fillId="0" borderId="17" applyAlignment="1" applyProtection="1" pivotButton="0" quotePrefix="0" xfId="0">
      <alignment horizontal="center"/>
      <protection locked="0" hidden="0"/>
    </xf>
    <xf numFmtId="14" fontId="28" fillId="0" borderId="17" applyAlignment="1" applyProtection="1" pivotButton="0" quotePrefix="0" xfId="0">
      <alignment horizontal="left" vertical="center" wrapText="1"/>
      <protection locked="0" hidden="0"/>
    </xf>
    <xf numFmtId="0" fontId="0" fillId="0" borderId="17" applyProtection="1" pivotButton="0" quotePrefix="0" xfId="0">
      <protection locked="0" hidden="0"/>
    </xf>
    <xf numFmtId="0" fontId="0" fillId="0" borderId="17" applyAlignment="1" applyProtection="1" pivotButton="0" quotePrefix="0" xfId="0">
      <alignment horizontal="center"/>
      <protection locked="0" hidden="0"/>
    </xf>
    <xf numFmtId="165" fontId="0" fillId="0" borderId="0" pivotButton="0" quotePrefix="0" xfId="0"/>
    <xf numFmtId="0" fontId="32" fillId="2" borderId="0" applyAlignment="1" applyProtection="1" pivotButton="0" quotePrefix="0" xfId="0">
      <alignment horizontal="center" vertical="center"/>
      <protection locked="0" hidden="0"/>
    </xf>
    <xf numFmtId="0" fontId="19" fillId="2" borderId="0" applyAlignment="1" applyProtection="1" pivotButton="0" quotePrefix="0" xfId="0">
      <alignment horizontal="center" vertical="center"/>
      <protection locked="0" hidden="0"/>
    </xf>
    <xf numFmtId="0" fontId="20" fillId="2" borderId="0" applyAlignment="1" applyProtection="1" pivotButton="0" quotePrefix="0" xfId="0">
      <alignment horizontal="center" vertical="center"/>
      <protection locked="0" hidden="0"/>
    </xf>
    <xf numFmtId="0" fontId="32" fillId="2" borderId="0" applyAlignment="1" applyProtection="1" pivotButton="0" quotePrefix="0" xfId="0">
      <alignment horizontal="center" vertical="center" wrapText="1"/>
      <protection locked="0" hidden="0"/>
    </xf>
    <xf numFmtId="0" fontId="32" fillId="0" borderId="0" applyAlignment="1" applyProtection="1" pivotButton="0" quotePrefix="0" xfId="0">
      <alignment horizontal="center" vertical="center"/>
      <protection locked="0" hidden="0"/>
    </xf>
    <xf numFmtId="0" fontId="7" fillId="3" borderId="1" applyAlignment="1" pivotButton="0" quotePrefix="0" xfId="0">
      <alignment horizontal="center" vertical="center"/>
    </xf>
    <xf numFmtId="0" fontId="7" fillId="3" borderId="7" applyAlignment="1" applyProtection="1" pivotButton="0" quotePrefix="0" xfId="0">
      <alignment horizontal="center" vertical="center"/>
      <protection locked="0" hidden="0"/>
    </xf>
    <xf numFmtId="0" fontId="12" fillId="0" borderId="1" applyAlignment="1" applyProtection="1" pivotButton="0" quotePrefix="0" xfId="0">
      <alignment horizontal="center" vertical="center"/>
      <protection locked="0" hidden="0"/>
    </xf>
    <xf numFmtId="0" fontId="8" fillId="2" borderId="3" applyAlignment="1" applyProtection="1" pivotButton="0" quotePrefix="0" xfId="0">
      <alignment horizontal="center" vertical="center"/>
      <protection locked="0" hidden="0"/>
    </xf>
    <xf numFmtId="0" fontId="11" fillId="2" borderId="1" applyAlignment="1" applyProtection="1" pivotButton="0" quotePrefix="0" xfId="0">
      <alignment horizontal="center" vertical="center"/>
      <protection locked="0" hidden="0"/>
    </xf>
    <xf numFmtId="0" fontId="8" fillId="2" borderId="3" applyAlignment="1" pivotButton="0" quotePrefix="0" xfId="0">
      <alignment horizontal="center" vertical="center"/>
    </xf>
    <xf numFmtId="0" fontId="8" fillId="2" borderId="1" applyAlignment="1" pivotButton="0" quotePrefix="0" xfId="0">
      <alignment horizontal="center"/>
    </xf>
    <xf numFmtId="1" fontId="10" fillId="0" borderId="1" applyAlignment="1" pivotButton="0" quotePrefix="0" xfId="0">
      <alignment horizontal="center" shrinkToFit="1"/>
    </xf>
    <xf numFmtId="1" fontId="10" fillId="0" borderId="3" applyAlignment="1" pivotButton="0" quotePrefix="0" xfId="0">
      <alignment horizontal="center" shrinkToFit="1"/>
    </xf>
    <xf numFmtId="0" fontId="9" fillId="0" borderId="1" applyAlignment="1" pivotButton="0" quotePrefix="0" xfId="0">
      <alignment horizontal="center"/>
    </xf>
    <xf numFmtId="0" fontId="10" fillId="0" borderId="1" applyAlignment="1" pivotButton="0" quotePrefix="0" xfId="0">
      <alignment horizontal="center"/>
    </xf>
    <xf numFmtId="0" fontId="10" fillId="0" borderId="3" applyAlignment="1" pivotButton="0" quotePrefix="0" xfId="0">
      <alignment horizontal="center" wrapText="1"/>
    </xf>
    <xf numFmtId="0" fontId="11" fillId="0" borderId="1" applyAlignment="1" pivotButton="0" quotePrefix="0" xfId="0">
      <alignment horizontal="center"/>
    </xf>
    <xf numFmtId="0" fontId="8" fillId="0" borderId="1" applyAlignment="1" pivotButton="0" quotePrefix="0" xfId="0">
      <alignment horizontal="center"/>
    </xf>
    <xf numFmtId="0" fontId="11" fillId="2" borderId="1" applyAlignment="1" pivotButton="0" quotePrefix="0" xfId="0">
      <alignment horizontal="center"/>
    </xf>
    <xf numFmtId="0" fontId="8" fillId="0" borderId="3" applyAlignment="1" pivotButton="0" quotePrefix="0" xfId="0">
      <alignment horizontal="center"/>
    </xf>
    <xf numFmtId="0" fontId="18" fillId="2" borderId="5" applyAlignment="1" pivotButton="0" quotePrefix="0" xfId="0">
      <alignment horizontal="center" vertical="center" wrapText="1"/>
    </xf>
    <xf numFmtId="0" fontId="18" fillId="2" borderId="0" applyAlignment="1" pivotButton="0" quotePrefix="0" xfId="0">
      <alignment horizontal="center" vertical="center" wrapText="1"/>
    </xf>
    <xf numFmtId="0" fontId="18" fillId="2" borderId="0" applyAlignment="1" applyProtection="1" pivotButton="0" quotePrefix="0" xfId="0">
      <alignment horizontal="center" vertical="center" wrapText="1"/>
      <protection locked="0" hidden="0"/>
    </xf>
    <xf numFmtId="0" fontId="18" fillId="2" borderId="6" applyAlignment="1" applyProtection="1" pivotButton="0" quotePrefix="0" xfId="0">
      <alignment horizontal="center" vertical="center" wrapText="1"/>
      <protection locked="0" hidden="0"/>
    </xf>
    <xf numFmtId="0" fontId="19" fillId="3" borderId="1" applyAlignment="1" applyProtection="1" pivotButton="0" quotePrefix="0" xfId="0">
      <alignment horizontal="center" vertical="center"/>
      <protection locked="0" hidden="0"/>
    </xf>
    <xf numFmtId="0" fontId="33" fillId="2" borderId="1" applyAlignment="1" pivotButton="0" quotePrefix="0" xfId="0">
      <alignment horizontal="center"/>
    </xf>
    <xf numFmtId="15" fontId="33" fillId="2" borderId="1" applyAlignment="1" pivotButton="0" quotePrefix="0" xfId="0">
      <alignment horizontal="left"/>
    </xf>
    <xf numFmtId="0" fontId="8" fillId="2" borderId="3" applyAlignment="1" applyProtection="1" pivotButton="0" quotePrefix="0" xfId="0">
      <alignment horizontal="center" vertical="center" wrapText="1"/>
      <protection locked="0" hidden="0"/>
    </xf>
    <xf numFmtId="0" fontId="10" fillId="0" borderId="1" applyAlignment="1" pivotButton="0" quotePrefix="0" xfId="0">
      <alignment horizontal="center" vertical="center" readingOrder="1"/>
    </xf>
    <xf numFmtId="0" fontId="10" fillId="2" borderId="1" applyAlignment="1" pivotButton="0" quotePrefix="0" xfId="0">
      <alignment horizontal="center" vertical="center" readingOrder="1"/>
    </xf>
    <xf numFmtId="0" fontId="29" fillId="0" borderId="1" applyAlignment="1" pivotButton="0" quotePrefix="0" xfId="0">
      <alignment horizontal="center"/>
    </xf>
    <xf numFmtId="166" fontId="29" fillId="0" borderId="1" applyAlignment="1" pivotButton="0" quotePrefix="0" xfId="0">
      <alignment horizontal="center"/>
    </xf>
    <xf numFmtId="0" fontId="8" fillId="0" borderId="4" applyAlignment="1" pivotButton="0" quotePrefix="0" xfId="0">
      <alignment horizontal="center"/>
    </xf>
    <xf numFmtId="14" fontId="8" fillId="2" borderId="1" applyAlignment="1" pivotButton="0" quotePrefix="0" xfId="0">
      <alignment horizontal="center"/>
    </xf>
    <xf numFmtId="0" fontId="8" fillId="0" borderId="4" applyAlignment="1" applyProtection="1" pivotButton="0" quotePrefix="0" xfId="0">
      <alignment horizontal="center"/>
      <protection locked="0" hidden="0"/>
    </xf>
    <xf numFmtId="0" fontId="10" fillId="0" borderId="1" applyAlignment="1" applyProtection="1" pivotButton="0" quotePrefix="0" xfId="0">
      <alignment horizontal="center"/>
      <protection locked="0" hidden="0"/>
    </xf>
    <xf numFmtId="0" fontId="10" fillId="0" borderId="3" applyAlignment="1" applyProtection="1" pivotButton="0" quotePrefix="0" xfId="0">
      <alignment horizontal="center"/>
      <protection locked="0" hidden="0"/>
    </xf>
    <xf numFmtId="0" fontId="20" fillId="0" borderId="9" applyAlignment="1" pivotButton="0" quotePrefix="0" xfId="0">
      <alignment horizontal="center" vertical="center" wrapText="1"/>
    </xf>
    <xf numFmtId="0" fontId="20" fillId="0" borderId="9" applyAlignment="1" applyProtection="1" pivotButton="0" quotePrefix="0" xfId="0">
      <alignment horizontal="center" vertical="center" wrapText="1"/>
      <protection locked="0" hidden="0"/>
    </xf>
    <xf numFmtId="0" fontId="19" fillId="3" borderId="1" applyAlignment="1" applyProtection="1" pivotButton="0" quotePrefix="0" xfId="0">
      <alignment horizontal="center" vertical="center" wrapText="1"/>
      <protection locked="0" hidden="0"/>
    </xf>
    <xf numFmtId="0" fontId="34" fillId="0" borderId="1" applyAlignment="1" pivotButton="0" quotePrefix="0" xfId="0">
      <alignment horizontal="center" vertical="center"/>
    </xf>
    <xf numFmtId="0" fontId="33" fillId="2" borderId="1" applyAlignment="1" pivotButton="0" quotePrefix="0" xfId="0">
      <alignment horizontal="left"/>
    </xf>
    <xf numFmtId="0" fontId="35" fillId="0" borderId="8" applyAlignment="1" pivotButton="0" quotePrefix="0" xfId="0">
      <alignment horizontal="center"/>
    </xf>
    <xf numFmtId="0" fontId="35" fillId="2" borderId="8" applyAlignment="1" pivotButton="0" quotePrefix="0" xfId="0">
      <alignment horizontal="center"/>
    </xf>
    <xf numFmtId="0" fontId="35" fillId="2" borderId="3" applyAlignment="1" pivotButton="0" quotePrefix="0" xfId="0">
      <alignment horizontal="center"/>
    </xf>
    <xf numFmtId="0" fontId="35" fillId="2" borderId="1" applyAlignment="1" applyProtection="1" pivotButton="0" quotePrefix="0" xfId="0">
      <alignment horizontal="center" vertical="center"/>
      <protection locked="0" hidden="0"/>
    </xf>
    <xf numFmtId="0" fontId="35" fillId="0" borderId="4" applyAlignment="1" pivotButton="0" quotePrefix="0" xfId="0">
      <alignment horizontal="center"/>
    </xf>
    <xf numFmtId="0" fontId="32" fillId="2" borderId="5" applyAlignment="1" pivotButton="0" quotePrefix="0" xfId="0">
      <alignment horizontal="center" vertical="center"/>
    </xf>
    <xf numFmtId="0" fontId="32" fillId="2" borderId="0" applyAlignment="1" pivotButton="0" quotePrefix="0" xfId="0">
      <alignment horizontal="center" vertical="center"/>
    </xf>
    <xf numFmtId="0" fontId="32" fillId="2" borderId="6" applyAlignment="1" applyProtection="1" pivotButton="0" quotePrefix="0" xfId="0">
      <alignment horizontal="center" vertical="center"/>
      <protection locked="0" hidden="0"/>
    </xf>
    <xf numFmtId="0" fontId="32" fillId="2" borderId="11" applyAlignment="1" pivotButton="0" quotePrefix="0" xfId="0">
      <alignment horizontal="center" vertical="center"/>
    </xf>
    <xf numFmtId="0" fontId="32" fillId="2" borderId="12" applyAlignment="1" pivotButton="0" quotePrefix="0" xfId="0">
      <alignment horizontal="center" vertical="center"/>
    </xf>
    <xf numFmtId="0" fontId="32" fillId="2" borderId="12" applyAlignment="1" applyProtection="1" pivotButton="0" quotePrefix="0" xfId="0">
      <alignment horizontal="center" vertical="center"/>
      <protection locked="0" hidden="0"/>
    </xf>
    <xf numFmtId="0" fontId="32" fillId="2" borderId="13" applyAlignment="1" applyProtection="1" pivotButton="0" quotePrefix="0" xfId="0">
      <alignment horizontal="center" vertical="center"/>
      <protection locked="0" hidden="0"/>
    </xf>
    <xf numFmtId="0" fontId="10" fillId="2"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0" fillId="0" borderId="0" applyAlignment="1" applyProtection="1" pivotButton="0" quotePrefix="0" xfId="0">
      <alignment horizontal="center" vertical="center"/>
      <protection locked="0" hidden="0"/>
    </xf>
    <xf numFmtId="0" fontId="32" fillId="2" borderId="14" applyAlignment="1" applyProtection="1" pivotButton="0" quotePrefix="0" xfId="0">
      <alignment horizontal="center" vertical="center"/>
      <protection locked="0" hidden="0"/>
    </xf>
    <xf numFmtId="0" fontId="19" fillId="2" borderId="15" applyAlignment="1" applyProtection="1" pivotButton="0" quotePrefix="0" xfId="0">
      <alignment horizontal="center" vertical="center"/>
      <protection locked="0" hidden="0"/>
    </xf>
    <xf numFmtId="0" fontId="20" fillId="2" borderId="15" applyAlignment="1" applyProtection="1" pivotButton="0" quotePrefix="0" xfId="0">
      <alignment horizontal="center" vertical="center"/>
      <protection locked="0" hidden="0"/>
    </xf>
    <xf numFmtId="0" fontId="32" fillId="2" borderId="15" applyAlignment="1" applyProtection="1" pivotButton="0" quotePrefix="0" xfId="0">
      <alignment horizontal="center" vertical="center"/>
      <protection locked="0" hidden="0"/>
    </xf>
    <xf numFmtId="0" fontId="32" fillId="2" borderId="16" applyAlignment="1" applyProtection="1" pivotButton="0" quotePrefix="0" xfId="0">
      <alignment horizontal="center" vertical="center" wrapText="1"/>
      <protection locked="0" hidden="0"/>
    </xf>
    <xf numFmtId="0" fontId="36" fillId="3" borderId="8" applyAlignment="1" pivotButton="0" quotePrefix="0" xfId="0">
      <alignment horizontal="center" vertical="center"/>
    </xf>
    <xf numFmtId="0" fontId="36" fillId="3" borderId="8" applyAlignment="1" pivotButton="0" quotePrefix="0" xfId="0">
      <alignment horizontal="center" vertical="center" wrapText="1"/>
    </xf>
    <xf numFmtId="0" fontId="36" fillId="3" borderId="8" applyAlignment="1" applyProtection="1" pivotButton="0" quotePrefix="0" xfId="0">
      <alignment horizontal="center" vertical="center"/>
      <protection locked="0" hidden="0"/>
    </xf>
    <xf numFmtId="0" fontId="36" fillId="3" borderId="8" applyAlignment="1" applyProtection="1" pivotButton="0" quotePrefix="0" xfId="0">
      <alignment horizontal="center" vertical="center" wrapText="1"/>
      <protection locked="0" hidden="0"/>
    </xf>
    <xf numFmtId="0" fontId="37" fillId="5" borderId="1" applyAlignment="1" pivotButton="0" quotePrefix="0" xfId="0">
      <alignment horizontal="center" vertical="center"/>
    </xf>
    <xf numFmtId="0" fontId="22" fillId="2" borderId="3" applyAlignment="1" pivotButton="0" quotePrefix="0" xfId="0">
      <alignment horizontal="center" vertical="center" wrapText="1"/>
    </xf>
    <xf numFmtId="0" fontId="38" fillId="2" borderId="1" applyAlignment="1" applyProtection="1" pivotButton="0" quotePrefix="0" xfId="0">
      <alignment horizontal="center" vertical="center" wrapText="1"/>
      <protection locked="0" hidden="0"/>
    </xf>
    <xf numFmtId="0" fontId="22" fillId="2" borderId="1" applyAlignment="1" applyProtection="1" pivotButton="0" quotePrefix="0" xfId="0">
      <alignment horizontal="center" vertical="center" wrapText="1"/>
      <protection locked="0" hidden="0"/>
    </xf>
    <xf numFmtId="0" fontId="38" fillId="0" borderId="1" applyAlignment="1" applyProtection="1" pivotButton="0" quotePrefix="0" xfId="0">
      <alignment horizontal="center" vertical="center"/>
      <protection locked="0" hidden="0"/>
    </xf>
    <xf numFmtId="0" fontId="38" fillId="0" borderId="3" applyAlignment="1" applyProtection="1" pivotButton="0" quotePrefix="0" xfId="0">
      <alignment horizontal="center" vertical="center"/>
      <protection locked="0" hidden="0"/>
    </xf>
    <xf numFmtId="0" fontId="35" fillId="0" borderId="18" applyAlignment="1" pivotButton="0" quotePrefix="0" xfId="0">
      <alignment horizontal="center"/>
    </xf>
    <xf numFmtId="0" fontId="38" fillId="2" borderId="7" applyAlignment="1" applyProtection="1" pivotButton="0" quotePrefix="0" xfId="0">
      <alignment horizontal="center" vertical="center" wrapText="1"/>
      <protection locked="0" hidden="0"/>
    </xf>
    <xf numFmtId="0" fontId="35" fillId="2" borderId="7" applyAlignment="1" applyProtection="1" pivotButton="0" quotePrefix="0" xfId="0">
      <alignment horizontal="center" vertical="center"/>
      <protection locked="0" hidden="0"/>
    </xf>
    <xf numFmtId="0" fontId="35" fillId="0" borderId="1" applyAlignment="1" pivotButton="0" quotePrefix="0" xfId="0">
      <alignment horizontal="center"/>
    </xf>
    <xf numFmtId="0" fontId="35" fillId="2" borderId="1" applyAlignment="1" pivotButton="0" quotePrefix="0" xfId="0">
      <alignment horizontal="center"/>
    </xf>
    <xf numFmtId="0" fontId="23" fillId="2" borderId="1" applyAlignment="1" pivotButton="0" quotePrefix="0" xfId="0">
      <alignment horizontal="center" vertical="center"/>
    </xf>
    <xf numFmtId="0" fontId="38" fillId="2" borderId="8" applyAlignment="1" applyProtection="1" pivotButton="0" quotePrefix="0" xfId="0">
      <alignment horizontal="center" vertical="center" wrapText="1"/>
      <protection locked="0" hidden="0"/>
    </xf>
    <xf numFmtId="15" fontId="35" fillId="0" borderId="1" applyAlignment="1" pivotButton="0" quotePrefix="0" xfId="0">
      <alignment horizontal="center"/>
    </xf>
    <xf numFmtId="0" fontId="35" fillId="2" borderId="8" applyAlignment="1" applyProtection="1" pivotButton="0" quotePrefix="0" xfId="0">
      <alignment horizontal="center" vertical="center"/>
      <protection locked="0" hidden="0"/>
    </xf>
    <xf numFmtId="0" fontId="41" fillId="7" borderId="1" applyAlignment="1" pivotButton="0" quotePrefix="0" xfId="0">
      <alignment horizontal="center" vertical="center" wrapText="1"/>
    </xf>
    <xf numFmtId="0" fontId="41" fillId="7" borderId="1" applyAlignment="1" applyProtection="1" pivotButton="0" quotePrefix="0" xfId="0">
      <alignment horizontal="center" vertical="center"/>
      <protection locked="0" hidden="0"/>
    </xf>
    <xf numFmtId="0" fontId="41" fillId="7" borderId="1" applyAlignment="1" applyProtection="1" pivotButton="0" quotePrefix="0" xfId="0">
      <alignment horizontal="center" vertical="center" wrapText="1"/>
      <protection locked="0" hidden="0"/>
    </xf>
    <xf numFmtId="0" fontId="42" fillId="7" borderId="1" applyAlignment="1" applyProtection="1" pivotButton="0" quotePrefix="0" xfId="0">
      <alignment horizontal="center" vertical="center"/>
      <protection locked="0" hidden="0"/>
    </xf>
    <xf numFmtId="0" fontId="0" fillId="0" borderId="0" applyAlignment="1" pivotButton="0" quotePrefix="0" xfId="0">
      <alignment horizontal="left" indent="1"/>
    </xf>
    <xf numFmtId="0" fontId="28" fillId="0" borderId="17" applyAlignment="1" pivotButton="0" quotePrefix="0" xfId="0">
      <alignment horizontal="center" vertical="center" wrapText="1"/>
    </xf>
    <xf numFmtId="0" fontId="29" fillId="0" borderId="17" applyAlignment="1" pivotButton="0" quotePrefix="0" xfId="0">
      <alignment horizontal="center"/>
    </xf>
    <xf numFmtId="14" fontId="28" fillId="0" borderId="17" applyAlignment="1" pivotButton="0" quotePrefix="0" xfId="0">
      <alignment horizontal="left" vertical="center" wrapText="1" indent="1"/>
    </xf>
    <xf numFmtId="0" fontId="0" fillId="0" borderId="17" pivotButton="0" quotePrefix="0" xfId="0"/>
    <xf numFmtId="0" fontId="28" fillId="0" borderId="17" applyAlignment="1" pivotButton="0" quotePrefix="0" xfId="0">
      <alignment horizontal="left" vertical="center" wrapText="1" indent="1"/>
    </xf>
    <xf numFmtId="0" fontId="0" fillId="0" borderId="17" applyAlignment="1" pivotButton="0" quotePrefix="0" xfId="0">
      <alignment horizontal="center"/>
    </xf>
    <xf numFmtId="0" fontId="0" fillId="0" borderId="17" applyAlignment="1" pivotButton="0" quotePrefix="0" xfId="0">
      <alignment horizontal="left" indent="1"/>
    </xf>
    <xf numFmtId="0" fontId="0" fillId="0" borderId="0" applyAlignment="1" pivotButton="0" quotePrefix="0" xfId="0">
      <alignment horizontal="left" vertical="center" indent="1"/>
    </xf>
    <xf numFmtId="0" fontId="8" fillId="3" borderId="1" applyAlignment="1" pivotButton="0" quotePrefix="0" xfId="0">
      <alignment horizontal="left" vertical="center" indent="1"/>
    </xf>
    <xf numFmtId="0" fontId="11" fillId="0" borderId="0" pivotButton="0" quotePrefix="0" xfId="0"/>
    <xf numFmtId="0" fontId="8" fillId="3" borderId="1" pivotButton="0" quotePrefix="0" xfId="0"/>
    <xf numFmtId="0" fontId="8" fillId="0" borderId="1" applyAlignment="1" pivotButton="0" quotePrefix="0" xfId="0">
      <alignment horizontal="left" vertical="center" indent="1"/>
    </xf>
    <xf numFmtId="0" fontId="11" fillId="0" borderId="1" pivotButton="0" quotePrefix="0" xfId="0"/>
    <xf numFmtId="0" fontId="11" fillId="0" borderId="1" applyAlignment="1" pivotButton="0" quotePrefix="0" xfId="0">
      <alignment horizontal="left" vertical="center" indent="1"/>
    </xf>
    <xf numFmtId="0" fontId="3" fillId="2" borderId="1" applyAlignment="1" applyProtection="1" pivotButton="0" quotePrefix="0" xfId="0">
      <alignment horizontal="center" vertical="center"/>
      <protection locked="0" hidden="0"/>
    </xf>
    <xf numFmtId="0" fontId="21" fillId="2" borderId="1" applyAlignment="1" applyProtection="1" pivotButton="0" quotePrefix="0" xfId="0">
      <alignment horizontal="center" vertical="center" wrapText="1"/>
      <protection locked="0" hidden="0"/>
    </xf>
    <xf numFmtId="0" fontId="19" fillId="2" borderId="1" applyAlignment="1" applyProtection="1" pivotButton="0" quotePrefix="0" xfId="0">
      <alignment horizontal="center" vertical="center"/>
      <protection locked="0" hidden="0"/>
    </xf>
    <xf numFmtId="0" fontId="44" fillId="0" borderId="8" applyAlignment="1" pivotButton="0" quotePrefix="0" xfId="0">
      <alignment horizontal="center" vertical="center"/>
    </xf>
    <xf numFmtId="0" fontId="44" fillId="0" borderId="22" applyAlignment="1" pivotButton="0" quotePrefix="0" xfId="0">
      <alignment horizontal="center" vertical="center"/>
    </xf>
    <xf numFmtId="0" fontId="44" fillId="0" borderId="1" applyAlignment="1" pivotButton="0" quotePrefix="0" xfId="0">
      <alignment horizontal="center" vertical="center"/>
    </xf>
    <xf numFmtId="0" fontId="44" fillId="11" borderId="1" applyAlignment="1" pivotButton="0" quotePrefix="0" xfId="0">
      <alignment horizontal="center" vertical="center"/>
    </xf>
    <xf numFmtId="0" fontId="44" fillId="11" borderId="1" applyAlignment="1" pivotButton="0" quotePrefix="0" xfId="0">
      <alignment horizontal="left" vertical="center"/>
    </xf>
    <xf numFmtId="0" fontId="44" fillId="11" borderId="2"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2" applyAlignment="1" pivotButton="0" quotePrefix="0" xfId="0">
      <alignment horizontal="center" vertical="center"/>
    </xf>
    <xf numFmtId="0" fontId="0" fillId="0" borderId="1" pivotButton="0" quotePrefix="0" xfId="0"/>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1" applyAlignment="1" pivotButton="0" quotePrefix="0" xfId="0">
      <alignment vertical="center"/>
    </xf>
    <xf numFmtId="1" fontId="0" fillId="0" borderId="1" applyAlignment="1" pivotButton="0" quotePrefix="0" xfId="0">
      <alignment horizontal="center" vertical="center"/>
    </xf>
    <xf numFmtId="0" fontId="0" fillId="12" borderId="1" applyAlignment="1" pivotButton="0" quotePrefix="0" xfId="0">
      <alignment horizontal="center" vertical="center"/>
    </xf>
    <xf numFmtId="0" fontId="0" fillId="12" borderId="1" applyAlignment="1" pivotButton="0" quotePrefix="0" xfId="0">
      <alignment vertical="center"/>
    </xf>
    <xf numFmtId="0" fontId="0" fillId="12" borderId="2" applyAlignment="1" pivotButton="0" quotePrefix="0" xfId="0">
      <alignment horizontal="center" vertical="center"/>
    </xf>
    <xf numFmtId="0" fontId="0" fillId="12" borderId="0" pivotButton="0" quotePrefix="0" xfId="0"/>
    <xf numFmtId="0" fontId="44" fillId="11" borderId="1" applyAlignment="1" pivotButton="0" quotePrefix="0" xfId="0">
      <alignment vertical="center"/>
    </xf>
    <xf numFmtId="0" fontId="46" fillId="10" borderId="1" applyAlignment="1" pivotButton="0" quotePrefix="0" xfId="0">
      <alignment horizontal="left" vertical="center"/>
    </xf>
    <xf numFmtId="0" fontId="46" fillId="10" borderId="1" applyAlignment="1" pivotButton="0" quotePrefix="0" xfId="0">
      <alignment horizontal="center" vertical="center" wrapText="1"/>
    </xf>
    <xf numFmtId="0" fontId="47" fillId="0" borderId="1" applyAlignment="1" pivotButton="0" quotePrefix="0" xfId="0">
      <alignment horizontal="left" vertical="center"/>
    </xf>
    <xf numFmtId="0" fontId="49" fillId="12" borderId="1" applyAlignment="1" pivotButton="0" quotePrefix="0" xfId="0">
      <alignment horizontal="center" vertical="center"/>
    </xf>
    <xf numFmtId="49" fontId="47" fillId="0" borderId="1" applyAlignment="1" pivotButton="0" quotePrefix="0" xfId="0">
      <alignment horizontal="left" vertical="center"/>
    </xf>
    <xf numFmtId="0" fontId="48" fillId="0" borderId="1" applyAlignment="1" pivotButton="0" quotePrefix="0" xfId="0">
      <alignment horizontal="left" vertical="center"/>
    </xf>
    <xf numFmtId="0" fontId="47" fillId="12" borderId="1" applyAlignment="1" pivotButton="0" quotePrefix="0" xfId="0">
      <alignment horizontal="left" vertical="center"/>
    </xf>
    <xf numFmtId="1" fontId="50" fillId="12" borderId="23" applyAlignment="1" pivotButton="0" quotePrefix="0" xfId="0">
      <alignment horizontal="left" vertical="center" shrinkToFit="1"/>
    </xf>
    <xf numFmtId="0" fontId="49" fillId="12" borderId="23" applyAlignment="1" pivotButton="0" quotePrefix="0" xfId="0">
      <alignment horizontal="left" vertical="center"/>
    </xf>
    <xf numFmtId="0" fontId="49" fillId="12" borderId="23" applyAlignment="1" pivotButton="0" quotePrefix="0" xfId="0">
      <alignment horizontal="center" vertical="center"/>
    </xf>
    <xf numFmtId="49" fontId="50" fillId="12" borderId="23" applyAlignment="1" pivotButton="0" quotePrefix="0" xfId="0">
      <alignment horizontal="left" vertical="center" shrinkToFit="1"/>
    </xf>
    <xf numFmtId="0" fontId="38" fillId="0" borderId="0" pivotButton="0" quotePrefix="0" xfId="0"/>
    <xf numFmtId="0" fontId="52" fillId="0" borderId="24" applyAlignment="1" pivotButton="0" quotePrefix="0" xfId="0">
      <alignment horizontal="center" vertical="center"/>
    </xf>
    <xf numFmtId="0" fontId="52" fillId="0" borderId="4" applyAlignment="1" pivotButton="0" quotePrefix="0" xfId="0">
      <alignment horizontal="center" vertical="center"/>
    </xf>
    <xf numFmtId="0" fontId="52" fillId="15" borderId="25" applyAlignment="1" pivotButton="0" quotePrefix="0" xfId="0">
      <alignment horizontal="center" vertical="center"/>
    </xf>
    <xf numFmtId="0" fontId="53" fillId="0" borderId="4" applyAlignment="1" pivotButton="0" quotePrefix="0" xfId="0">
      <alignment horizontal="center" vertical="center"/>
    </xf>
    <xf numFmtId="0" fontId="52" fillId="0" borderId="26" applyAlignment="1" pivotButton="0" quotePrefix="0" xfId="0">
      <alignment horizontal="center" vertical="center"/>
    </xf>
    <xf numFmtId="0" fontId="52" fillId="0" borderId="27" applyAlignment="1" pivotButton="0" quotePrefix="0" xfId="0">
      <alignment horizontal="center" vertical="center"/>
    </xf>
    <xf numFmtId="0" fontId="52" fillId="15" borderId="28" applyAlignment="1" pivotButton="0" quotePrefix="0" xfId="0">
      <alignment horizontal="center" vertical="center"/>
    </xf>
    <xf numFmtId="0" fontId="55" fillId="0" borderId="28" applyAlignment="1" pivotButton="0" quotePrefix="0" xfId="0">
      <alignment horizontal="center" vertical="center"/>
    </xf>
    <xf numFmtId="0" fontId="50" fillId="12" borderId="23" applyAlignment="1" pivotButton="0" quotePrefix="0" xfId="0">
      <alignment horizontal="left" vertical="center" shrinkToFit="1"/>
    </xf>
    <xf numFmtId="0" fontId="41" fillId="7" borderId="7" applyAlignment="1" pivotButton="0" quotePrefix="0" xfId="0">
      <alignment horizontal="center" vertical="center" wrapText="1"/>
    </xf>
    <xf numFmtId="0" fontId="41" fillId="7" borderId="7" applyAlignment="1" applyProtection="1" pivotButton="0" quotePrefix="0" xfId="0">
      <alignment horizontal="center" vertical="center" wrapText="1"/>
      <protection locked="0" hidden="0"/>
    </xf>
    <xf numFmtId="0" fontId="42" fillId="7" borderId="7" applyAlignment="1" applyProtection="1" pivotButton="0" quotePrefix="0" xfId="0">
      <alignment horizontal="center" vertical="center" wrapText="1"/>
      <protection locked="0" hidden="0"/>
    </xf>
    <xf numFmtId="0" fontId="0" fillId="12" borderId="1" applyAlignment="1" pivotButton="0" quotePrefix="0" xfId="0">
      <alignment horizontal="center"/>
    </xf>
    <xf numFmtId="0" fontId="0" fillId="0" borderId="1" applyAlignment="1" pivotButton="0" quotePrefix="0" xfId="0">
      <alignment horizontal="center"/>
    </xf>
    <xf numFmtId="0" fontId="29" fillId="0" borderId="31" applyAlignment="1" applyProtection="1" pivotButton="0" quotePrefix="0" xfId="0">
      <alignment horizontal="center"/>
      <protection locked="0" hidden="0"/>
    </xf>
    <xf numFmtId="14" fontId="28" fillId="0" borderId="31" applyAlignment="1" applyProtection="1" pivotButton="0" quotePrefix="0" xfId="0">
      <alignment horizontal="left" vertical="center" wrapText="1"/>
      <protection locked="0" hidden="0"/>
    </xf>
    <xf numFmtId="0" fontId="57" fillId="0" borderId="17"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1" fontId="8" fillId="0" borderId="7" applyAlignment="1" applyProtection="1" pivotButton="0" quotePrefix="0" xfId="0">
      <alignment horizontal="center" vertical="center"/>
      <protection locked="0" hidden="0"/>
    </xf>
    <xf numFmtId="0" fontId="9" fillId="0" borderId="7" applyAlignment="1" applyProtection="1" pivotButton="0" quotePrefix="0" xfId="0">
      <alignment horizontal="center" vertical="center"/>
      <protection locked="0" hidden="0"/>
    </xf>
    <xf numFmtId="0" fontId="9" fillId="0" borderId="1" applyAlignment="1" applyProtection="1" pivotButton="0" quotePrefix="0" xfId="0">
      <alignment horizontal="left" vertical="center" indent="1"/>
      <protection locked="0" hidden="0"/>
    </xf>
    <xf numFmtId="0" fontId="48" fillId="0" borderId="0" applyAlignment="1" pivotButton="0" quotePrefix="0" xfId="0">
      <alignment horizontal="left" vertical="center"/>
    </xf>
    <xf numFmtId="0" fontId="10" fillId="0" borderId="1" applyAlignment="1" pivotButton="0" quotePrefix="0" xfId="0">
      <alignment vertical="center" wrapText="1"/>
    </xf>
    <xf numFmtId="0" fontId="49" fillId="0" borderId="1" applyAlignment="1" pivotButton="0" quotePrefix="0" xfId="0">
      <alignment horizontal="center" vertical="center"/>
    </xf>
    <xf numFmtId="0" fontId="49" fillId="0" borderId="23" applyAlignment="1" pivotButton="0" quotePrefix="0" xfId="0">
      <alignment horizontal="left" vertical="center"/>
    </xf>
    <xf numFmtId="1" fontId="50" fillId="0" borderId="23" applyAlignment="1" pivotButton="0" quotePrefix="0" xfId="0">
      <alignment horizontal="left" vertical="center" shrinkToFit="1"/>
    </xf>
    <xf numFmtId="0" fontId="49" fillId="0" borderId="23" applyAlignment="1" pivotButton="0" quotePrefix="0" xfId="0">
      <alignment horizontal="center" vertical="center"/>
    </xf>
    <xf numFmtId="0" fontId="32" fillId="2" borderId="1" applyAlignment="1" applyProtection="1" pivotButton="0" quotePrefix="0" xfId="0">
      <alignment horizontal="center" vertical="center"/>
      <protection locked="0" hidden="0"/>
    </xf>
    <xf numFmtId="0" fontId="58" fillId="14" borderId="23" applyAlignment="1" pivotButton="0" quotePrefix="0" xfId="0">
      <alignment horizontal="center" vertical="center"/>
    </xf>
    <xf numFmtId="0" fontId="10" fillId="0" borderId="8" applyAlignment="1" applyProtection="1" pivotButton="0" quotePrefix="0" xfId="0">
      <alignment vertical="center"/>
      <protection locked="0" hidden="0"/>
    </xf>
    <xf numFmtId="0" fontId="58" fillId="14" borderId="0" applyAlignment="1" pivotButton="0" quotePrefix="0" xfId="0">
      <alignment horizontal="center" vertical="center"/>
    </xf>
    <xf numFmtId="0" fontId="58" fillId="14" borderId="35" applyAlignment="1" pivotButton="0" quotePrefix="0" xfId="0">
      <alignment horizontal="center" vertical="center"/>
    </xf>
    <xf numFmtId="0" fontId="58" fillId="14" borderId="1" applyAlignment="1" pivotButton="0" quotePrefix="0" xfId="0">
      <alignment horizontal="center" vertical="center"/>
    </xf>
    <xf numFmtId="0" fontId="10" fillId="0" borderId="7" applyAlignment="1" applyProtection="1" pivotButton="0" quotePrefix="0" xfId="0">
      <alignment horizontal="center" vertical="center"/>
      <protection locked="0" hidden="0"/>
    </xf>
    <xf numFmtId="0" fontId="8" fillId="2" borderId="7" applyAlignment="1" applyProtection="1" pivotButton="0" quotePrefix="0" xfId="0">
      <alignment horizontal="left" vertical="center" indent="1"/>
      <protection locked="0" hidden="0"/>
    </xf>
    <xf numFmtId="0" fontId="38" fillId="16" borderId="30" applyAlignment="1" pivotButton="0" quotePrefix="0" xfId="0">
      <alignment horizontal="center" vertical="center"/>
    </xf>
    <xf numFmtId="0" fontId="38" fillId="16" borderId="28" applyAlignment="1" pivotButton="0" quotePrefix="0" xfId="0">
      <alignment horizontal="center" vertical="center"/>
    </xf>
    <xf numFmtId="0" fontId="38" fillId="0" borderId="28" applyAlignment="1" pivotButton="0" quotePrefix="0" xfId="0">
      <alignment horizontal="center" vertical="center"/>
    </xf>
    <xf numFmtId="0" fontId="52" fillId="16" borderId="28" applyAlignment="1" pivotButton="0" quotePrefix="0" xfId="0">
      <alignment horizontal="center" vertical="center"/>
    </xf>
    <xf numFmtId="0" fontId="52" fillId="0" borderId="28" applyAlignment="1" pivotButton="0" quotePrefix="0" xfId="0">
      <alignment horizontal="center" vertical="center"/>
    </xf>
    <xf numFmtId="0" fontId="59" fillId="17" borderId="28" applyAlignment="1" pivotButton="0" quotePrefix="0" xfId="0">
      <alignment horizontal="center" vertical="center"/>
    </xf>
    <xf numFmtId="0" fontId="59" fillId="16" borderId="28" applyAlignment="1" pivotButton="0" quotePrefix="0" xfId="0">
      <alignment horizontal="center" vertical="center"/>
    </xf>
    <xf numFmtId="0" fontId="51" fillId="18" borderId="21" applyAlignment="1" pivotButton="0" quotePrefix="0" xfId="0">
      <alignment horizontal="center" vertical="center"/>
    </xf>
    <xf numFmtId="0" fontId="38" fillId="0" borderId="37" applyAlignment="1" pivotButton="0" quotePrefix="0" xfId="0">
      <alignment horizontal="center" vertical="center"/>
    </xf>
    <xf numFmtId="0" fontId="38" fillId="19" borderId="30" applyAlignment="1" pivotButton="0" quotePrefix="0" xfId="0">
      <alignment horizontal="center" vertical="center"/>
    </xf>
    <xf numFmtId="0" fontId="38" fillId="0" borderId="38" applyAlignment="1" pivotButton="0" quotePrefix="0" xfId="0">
      <alignment horizontal="center" vertical="center"/>
    </xf>
    <xf numFmtId="0" fontId="38" fillId="19" borderId="28" applyAlignment="1" pivotButton="0" quotePrefix="0" xfId="0">
      <alignment horizontal="center" vertical="center"/>
    </xf>
    <xf numFmtId="0" fontId="52" fillId="19" borderId="28" applyAlignment="1" pivotButton="0" quotePrefix="0" xfId="0">
      <alignment horizontal="center" vertical="center"/>
    </xf>
    <xf numFmtId="0" fontId="51" fillId="18" borderId="36" applyAlignment="1" pivotButton="0" quotePrefix="0" xfId="0">
      <alignment horizontal="center" vertical="center"/>
    </xf>
    <xf numFmtId="0" fontId="51" fillId="18" borderId="0" applyAlignment="1" pivotButton="0" quotePrefix="0" xfId="0">
      <alignment horizontal="center" vertical="center"/>
    </xf>
    <xf numFmtId="0" fontId="51" fillId="17" borderId="28" applyAlignment="1" pivotButton="0" quotePrefix="0" xfId="0">
      <alignment horizontal="center" vertical="center"/>
    </xf>
    <xf numFmtId="0" fontId="52" fillId="17" borderId="28" applyAlignment="1" pivotButton="0" quotePrefix="0" xfId="0">
      <alignment horizontal="center" vertical="center"/>
    </xf>
    <xf numFmtId="0" fontId="38" fillId="17" borderId="28" applyAlignment="1" pivotButton="0" quotePrefix="0" xfId="0">
      <alignment horizontal="center" vertical="center"/>
    </xf>
    <xf numFmtId="0" fontId="38" fillId="0" borderId="29" pivotButton="0" quotePrefix="0" xfId="0"/>
    <xf numFmtId="0" fontId="10" fillId="0" borderId="1" applyAlignment="1" pivotButton="0" quotePrefix="0" xfId="0">
      <alignment horizontal="left" vertical="center" wrapText="1" indent="1"/>
    </xf>
    <xf numFmtId="0" fontId="10"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9" fillId="2" borderId="1" applyAlignment="1" pivotButton="0" quotePrefix="0" xfId="0">
      <alignment horizontal="center" vertical="center"/>
    </xf>
    <xf numFmtId="0" fontId="6" fillId="2" borderId="1" applyAlignment="1" applyProtection="1" pivotButton="0" quotePrefix="0" xfId="0">
      <alignment horizontal="center" vertical="center"/>
      <protection locked="0" hidden="0"/>
    </xf>
    <xf numFmtId="0" fontId="8" fillId="4" borderId="1" applyAlignment="1" applyProtection="1" pivotButton="0" quotePrefix="0" xfId="0">
      <alignment horizontal="center" vertical="center"/>
      <protection locked="0" hidden="0"/>
    </xf>
    <xf numFmtId="0" fontId="13" fillId="5" borderId="1" applyAlignment="1" applyProtection="1" pivotButton="0" quotePrefix="0" xfId="0">
      <alignment horizontal="center" vertical="center"/>
      <protection locked="0" hidden="0"/>
    </xf>
    <xf numFmtId="0" fontId="8" fillId="6" borderId="1" applyAlignment="1" applyProtection="1" pivotButton="0" quotePrefix="0" xfId="0">
      <alignment horizontal="center" vertical="center"/>
      <protection locked="0" hidden="0"/>
    </xf>
    <xf numFmtId="0" fontId="14" fillId="5" borderId="1" applyAlignment="1" applyProtection="1" pivotButton="0" quotePrefix="0" xfId="0">
      <alignment horizontal="center" vertical="center"/>
      <protection locked="0" hidden="0"/>
    </xf>
    <xf numFmtId="0" fontId="8" fillId="2" borderId="1" applyAlignment="1" pivotButton="0" quotePrefix="0" xfId="0">
      <alignment horizontal="left" vertical="center" wrapText="1" indent="1"/>
    </xf>
    <xf numFmtId="0" fontId="8" fillId="2" borderId="1" applyAlignment="1" pivotButton="0" quotePrefix="0" xfId="0">
      <alignment horizontal="center" vertical="center" wrapText="1"/>
    </xf>
    <xf numFmtId="0" fontId="8" fillId="2" borderId="1" applyAlignment="1" pivotButton="0" quotePrefix="0" xfId="0">
      <alignment horizontal="center" vertical="center"/>
    </xf>
    <xf numFmtId="0" fontId="8" fillId="2" borderId="2" applyAlignment="1" pivotButton="0" quotePrefix="0" xfId="0">
      <alignment horizontal="center" vertical="center"/>
    </xf>
    <xf numFmtId="0" fontId="8" fillId="2" borderId="2" applyAlignment="1" pivotButton="0" quotePrefix="0" xfId="0">
      <alignment horizontal="center" vertical="center" wrapText="1"/>
    </xf>
    <xf numFmtId="0" fontId="10" fillId="2" borderId="1" applyAlignment="1" pivotButton="0" quotePrefix="0" xfId="0">
      <alignment horizontal="center" vertical="center"/>
    </xf>
    <xf numFmtId="0" fontId="8" fillId="2" borderId="1" applyAlignment="1" pivotButton="0" quotePrefix="0" xfId="0">
      <alignment horizontal="left" vertical="center" indent="1"/>
    </xf>
    <xf numFmtId="0" fontId="9" fillId="2" borderId="2" applyAlignment="1" pivotButton="0" quotePrefix="0" xfId="0">
      <alignment horizontal="center" vertical="center"/>
    </xf>
    <xf numFmtId="0" fontId="10" fillId="0" borderId="1" applyAlignment="1" applyProtection="1" pivotButton="0" quotePrefix="0" xfId="0">
      <alignment horizontal="left" vertical="center"/>
      <protection locked="0" hidden="0"/>
    </xf>
    <xf numFmtId="0" fontId="10" fillId="0" borderId="1" applyAlignment="1" applyProtection="1" pivotButton="0" quotePrefix="0" xfId="0">
      <alignment horizontal="center" vertical="center"/>
      <protection locked="0" hidden="0"/>
    </xf>
    <xf numFmtId="0" fontId="8" fillId="2" borderId="1" applyAlignment="1" applyProtection="1" pivotButton="0" quotePrefix="0" xfId="0">
      <alignment horizontal="center" vertical="center"/>
      <protection locked="0" hidden="0"/>
    </xf>
    <xf numFmtId="0" fontId="9" fillId="2" borderId="1" applyAlignment="1" applyProtection="1" pivotButton="0" quotePrefix="0" xfId="0">
      <alignment horizontal="center" vertical="center"/>
      <protection locked="0" hidden="0"/>
    </xf>
    <xf numFmtId="0" fontId="9" fillId="2" borderId="7" applyAlignment="1" applyProtection="1" pivotButton="0" quotePrefix="0" xfId="0">
      <alignment horizontal="center" vertical="center"/>
      <protection locked="0" hidden="0"/>
    </xf>
    <xf numFmtId="0" fontId="8" fillId="2" borderId="7" applyAlignment="1" applyProtection="1" pivotButton="0" quotePrefix="0" xfId="0">
      <alignment horizontal="center" vertical="center"/>
      <protection locked="0" hidden="0"/>
    </xf>
    <xf numFmtId="0" fontId="10" fillId="0" borderId="1" applyAlignment="1" pivotButton="0" quotePrefix="0" xfId="0">
      <alignment horizontal="center" vertical="center" wrapText="1"/>
    </xf>
    <xf numFmtId="0" fontId="38" fillId="0" borderId="8" applyAlignment="1" pivotButton="0" quotePrefix="0" xfId="0">
      <alignment horizontal="center" vertical="center"/>
    </xf>
    <xf numFmtId="0" fontId="38" fillId="0" borderId="1" applyAlignment="1" pivotButton="0" quotePrefix="0" xfId="0">
      <alignment horizontal="center" vertical="center"/>
    </xf>
    <xf numFmtId="0" fontId="22" fillId="2" borderId="1" applyAlignment="1" pivotButton="0" quotePrefix="0" xfId="0">
      <alignment horizontal="center" vertical="center" wrapText="1"/>
    </xf>
    <xf numFmtId="0" fontId="22" fillId="2" borderId="1" applyAlignment="1" pivotButton="0" quotePrefix="0" xfId="0">
      <alignment horizontal="center" vertical="center"/>
    </xf>
    <xf numFmtId="0" fontId="47" fillId="0" borderId="7" applyAlignment="1" pivotButton="0" quotePrefix="0" xfId="0">
      <alignment horizontal="center" vertical="center"/>
    </xf>
    <xf numFmtId="0" fontId="47" fillId="0" borderId="1" applyAlignment="1" pivotButton="0" quotePrefix="0" xfId="0">
      <alignment horizontal="center" vertical="center"/>
    </xf>
    <xf numFmtId="167" fontId="0" fillId="0" borderId="0" pivotButton="0" quotePrefix="0" xfId="0"/>
    <xf numFmtId="167" fontId="25" fillId="8" borderId="17" applyAlignment="1" applyProtection="1" pivotButton="0" quotePrefix="0" xfId="0">
      <alignment horizontal="center" vertical="center" wrapText="1"/>
      <protection locked="0" hidden="0"/>
    </xf>
    <xf numFmtId="167" fontId="25" fillId="8" borderId="31" applyAlignment="1" applyProtection="1" pivotButton="0" quotePrefix="0" xfId="0">
      <alignment horizontal="center" vertical="center" wrapText="1"/>
      <protection locked="0" hidden="0"/>
    </xf>
    <xf numFmtId="167" fontId="25" fillId="8" borderId="31" applyAlignment="1" pivotButton="0" quotePrefix="0" xfId="0">
      <alignment horizontal="center" vertical="center" wrapText="1"/>
    </xf>
    <xf numFmtId="167" fontId="25" fillId="8" borderId="17" applyAlignment="1" applyProtection="1" pivotButton="0" quotePrefix="0" xfId="0">
      <alignment vertical="center"/>
      <protection locked="0" hidden="0"/>
    </xf>
    <xf numFmtId="167" fontId="26" fillId="8" borderId="17" applyAlignment="1" applyProtection="1" pivotButton="0" quotePrefix="0" xfId="0">
      <alignment vertical="center" wrapText="1"/>
      <protection locked="0" hidden="0"/>
    </xf>
    <xf numFmtId="167" fontId="26" fillId="8" borderId="17" applyAlignment="1" applyProtection="1" pivotButton="0" quotePrefix="0" xfId="0">
      <alignment horizontal="left" vertical="center" wrapText="1"/>
      <protection locked="0" hidden="0"/>
    </xf>
    <xf numFmtId="167" fontId="25" fillId="8" borderId="17" applyAlignment="1" applyProtection="1" pivotButton="0" quotePrefix="0" xfId="0">
      <alignment horizontal="left" vertical="center" wrapText="1"/>
      <protection locked="0" hidden="0"/>
    </xf>
    <xf numFmtId="167" fontId="25" fillId="8" borderId="17" applyAlignment="1" pivotButton="0" quotePrefix="0" xfId="0">
      <alignment horizontal="left" vertical="center" wrapText="1"/>
    </xf>
    <xf numFmtId="167" fontId="25" fillId="8" borderId="17" applyAlignment="1" pivotButton="0" quotePrefix="0" xfId="0">
      <alignment horizontal="center" vertical="center" wrapText="1"/>
    </xf>
    <xf numFmtId="167" fontId="25" fillId="8" borderId="17" applyAlignment="1" pivotButton="0" quotePrefix="0" xfId="0">
      <alignment vertical="center" wrapText="1"/>
    </xf>
    <xf numFmtId="167" fontId="30" fillId="9" borderId="17" applyAlignment="1" applyProtection="1" pivotButton="0" quotePrefix="0" xfId="0">
      <alignment vertical="center" wrapText="1"/>
      <protection locked="0" hidden="0"/>
    </xf>
    <xf numFmtId="167" fontId="30" fillId="9" borderId="17" applyAlignment="1" pivotButton="0" quotePrefix="0" xfId="0">
      <alignment vertical="center" wrapText="1"/>
    </xf>
    <xf numFmtId="167" fontId="31" fillId="9" borderId="17" applyAlignment="1" applyProtection="1" pivotButton="0" quotePrefix="0" xfId="0">
      <alignment vertical="center" wrapText="1"/>
      <protection locked="0" hidden="0"/>
    </xf>
    <xf numFmtId="167" fontId="31" fillId="9" borderId="17" applyAlignment="1" pivotButton="0" quotePrefix="0" xfId="0">
      <alignment vertical="center" wrapText="1"/>
    </xf>
    <xf numFmtId="167" fontId="25" fillId="6" borderId="17" applyAlignment="1" applyProtection="1" pivotButton="0" quotePrefix="0" xfId="0">
      <alignment horizontal="left" vertical="center" wrapText="1"/>
      <protection locked="0" hidden="0"/>
    </xf>
    <xf numFmtId="167" fontId="25" fillId="6" borderId="17" applyAlignment="1" pivotButton="0" quotePrefix="0" xfId="0">
      <alignment vertical="center" wrapText="1"/>
    </xf>
    <xf numFmtId="167" fontId="0" fillId="0" borderId="0" applyAlignment="1" pivotButton="0" quotePrefix="0" xfId="0">
      <alignment horizontal="center"/>
    </xf>
    <xf numFmtId="167" fontId="24" fillId="0" borderId="0" applyAlignment="1" pivotButton="0" quotePrefix="0" xfId="0">
      <alignment horizontal="center"/>
    </xf>
    <xf numFmtId="168" fontId="3" fillId="2" borderId="0" applyAlignment="1" applyProtection="1" pivotButton="0" quotePrefix="0" xfId="0">
      <alignment horizontal="center" vertical="center"/>
      <protection locked="0" hidden="0"/>
    </xf>
    <xf numFmtId="168" fontId="2" fillId="2" borderId="0" applyAlignment="1" applyProtection="1" pivotButton="0" quotePrefix="0" xfId="0">
      <alignment horizontal="center" vertical="center"/>
      <protection locked="0" hidden="0"/>
    </xf>
    <xf numFmtId="168" fontId="7" fillId="3" borderId="1" applyAlignment="1" applyProtection="1" pivotButton="0" quotePrefix="0" xfId="0">
      <alignment horizontal="center" vertical="center" wrapText="1"/>
      <protection locked="0" hidden="0"/>
    </xf>
    <xf numFmtId="169" fontId="8" fillId="2" borderId="1" applyAlignment="1" applyProtection="1" pivotButton="0" quotePrefix="0" xfId="0">
      <alignment horizontal="center" vertical="center"/>
      <protection locked="0" hidden="0"/>
    </xf>
    <xf numFmtId="169" fontId="11" fillId="2" borderId="1" applyAlignment="1" applyProtection="1" pivotButton="0" quotePrefix="0" xfId="0">
      <alignment horizontal="center" vertical="center"/>
      <protection locked="0" hidden="0"/>
    </xf>
    <xf numFmtId="168" fontId="17" fillId="7" borderId="1" applyAlignment="1" applyProtection="1" pivotButton="0" quotePrefix="0" xfId="0">
      <alignment horizontal="center" vertical="center"/>
      <protection locked="0" hidden="0"/>
    </xf>
    <xf numFmtId="168" fontId="17" fillId="7" borderId="1" applyAlignment="1" applyProtection="1" pivotButton="0" quotePrefix="0" xfId="0">
      <alignment horizontal="center" vertical="center" wrapText="1"/>
      <protection locked="0" hidden="0"/>
    </xf>
    <xf numFmtId="168" fontId="11" fillId="2" borderId="1" applyAlignment="1" applyProtection="1" pivotButton="0" quotePrefix="0" xfId="0">
      <alignment horizontal="center" vertical="center"/>
      <protection locked="0" hidden="0"/>
    </xf>
    <xf numFmtId="168" fontId="19" fillId="3" borderId="1" applyAlignment="1" applyProtection="1" pivotButton="0" quotePrefix="0" xfId="0">
      <alignment horizontal="center" vertical="center"/>
      <protection locked="0" hidden="0"/>
    </xf>
    <xf numFmtId="168" fontId="3" fillId="2" borderId="1" applyAlignment="1" applyProtection="1" pivotButton="0" quotePrefix="0" xfId="0">
      <alignment horizontal="center" vertical="center"/>
      <protection locked="0" hidden="0"/>
    </xf>
    <xf numFmtId="168" fontId="20" fillId="0" borderId="9" applyAlignment="1" applyProtection="1" pivotButton="0" quotePrefix="0" xfId="0">
      <alignment vertical="center" wrapText="1"/>
      <protection locked="0" hidden="0"/>
    </xf>
    <xf numFmtId="168" fontId="2" fillId="2" borderId="0" applyAlignment="1" applyProtection="1" pivotButton="0" quotePrefix="0" xfId="0">
      <alignment vertical="center"/>
      <protection locked="0" hidden="0"/>
    </xf>
    <xf numFmtId="168" fontId="8" fillId="2" borderId="1" applyAlignment="1" applyProtection="1" pivotButton="0" quotePrefix="0" xfId="0">
      <alignment horizontal="center" vertical="center"/>
      <protection locked="0" hidden="0"/>
    </xf>
    <xf numFmtId="168" fontId="2" fillId="2" borderId="12" applyAlignment="1" applyProtection="1" pivotButton="0" quotePrefix="0" xfId="0">
      <alignment vertical="center"/>
      <protection locked="0" hidden="0"/>
    </xf>
    <xf numFmtId="168" fontId="17" fillId="7" borderId="7" applyAlignment="1" applyProtection="1" pivotButton="0" quotePrefix="0" xfId="0">
      <alignment horizontal="center" vertical="center" wrapText="1"/>
      <protection locked="0" hidden="0"/>
    </xf>
    <xf numFmtId="168" fontId="3" fillId="2" borderId="15" applyAlignment="1" applyProtection="1" pivotButton="0" quotePrefix="0" xfId="0">
      <alignment horizontal="center" vertical="center"/>
      <protection locked="0" hidden="0"/>
    </xf>
    <xf numFmtId="168" fontId="7" fillId="3" borderId="8" applyAlignment="1" applyProtection="1" pivotButton="0" quotePrefix="0" xfId="0">
      <alignment horizontal="center" vertical="center" wrapText="1"/>
      <protection locked="0" hidden="0"/>
    </xf>
    <xf numFmtId="169" fontId="8" fillId="2" borderId="7" applyAlignment="1" applyProtection="1" pivotButton="0" quotePrefix="0" xfId="0">
      <alignment horizontal="center" vertical="center"/>
      <protection locked="0" hidden="0"/>
    </xf>
    <xf numFmtId="167" fontId="25" fillId="8" borderId="32" applyAlignment="1" applyProtection="1" pivotButton="0" quotePrefix="0" xfId="0">
      <alignment horizontal="center" vertical="center" wrapText="1"/>
      <protection locked="0" hidden="0"/>
    </xf>
    <xf numFmtId="167" fontId="25" fillId="8" borderId="1" applyAlignment="1" applyProtection="1" pivotButton="0" quotePrefix="0" xfId="0">
      <alignment horizontal="center" vertical="center" wrapText="1"/>
      <protection locked="0" hidden="0"/>
    </xf>
    <xf numFmtId="167" fontId="25" fillId="8" borderId="1" applyAlignment="1" pivotButton="0" quotePrefix="0" xfId="0">
      <alignment horizontal="center" vertical="center" wrapText="1"/>
    </xf>
    <xf numFmtId="167" fontId="26" fillId="8" borderId="32" applyAlignment="1" applyProtection="1" pivotButton="0" quotePrefix="0" xfId="0">
      <alignment vertical="center" wrapText="1"/>
      <protection locked="0" hidden="0"/>
    </xf>
    <xf numFmtId="167" fontId="26" fillId="8" borderId="1" applyAlignment="1" applyProtection="1" pivotButton="0" quotePrefix="0" xfId="0">
      <alignment horizontal="left" vertical="center" wrapText="1"/>
      <protection locked="0" hidden="0"/>
    </xf>
    <xf numFmtId="167" fontId="25" fillId="6" borderId="17" applyAlignment="1" pivotButton="0" quotePrefix="0" xfId="0">
      <alignment horizontal="left" vertical="center" wrapText="1"/>
    </xf>
    <xf numFmtId="168" fontId="19" fillId="2" borderId="0" applyAlignment="1" applyProtection="1" pivotButton="0" quotePrefix="0" xfId="0">
      <alignment horizontal="center" vertical="center"/>
      <protection locked="0" hidden="0"/>
    </xf>
    <xf numFmtId="168" fontId="32" fillId="2" borderId="0" applyAlignment="1" applyProtection="1" pivotButton="0" quotePrefix="0" xfId="0">
      <alignment horizontal="center" vertical="center"/>
      <protection locked="0" hidden="0"/>
    </xf>
    <xf numFmtId="169" fontId="40" fillId="2" borderId="1" applyAlignment="1" applyProtection="1" pivotButton="0" quotePrefix="0" xfId="0">
      <alignment horizontal="center" vertical="center"/>
      <protection locked="0" hidden="0"/>
    </xf>
    <xf numFmtId="168" fontId="18" fillId="2" borderId="0" applyAlignment="1" applyProtection="1" pivotButton="0" quotePrefix="0" xfId="0">
      <alignment horizontal="center" vertical="center" wrapText="1"/>
      <protection locked="0" hidden="0"/>
    </xf>
    <xf numFmtId="168" fontId="19" fillId="2" borderId="1" applyAlignment="1" applyProtection="1" pivotButton="0" quotePrefix="0" xfId="0">
      <alignment horizontal="center" vertical="center"/>
      <protection locked="0" hidden="0"/>
    </xf>
    <xf numFmtId="168" fontId="20" fillId="0" borderId="9" applyAlignment="1" applyProtection="1" pivotButton="0" quotePrefix="0" xfId="0">
      <alignment horizontal="center" vertical="center" wrapText="1"/>
      <protection locked="0" hidden="0"/>
    </xf>
    <xf numFmtId="169" fontId="35" fillId="2" borderId="1" applyAlignment="1" applyProtection="1" pivotButton="0" quotePrefix="0" xfId="0">
      <alignment horizontal="center" vertical="center"/>
      <protection locked="0" hidden="0"/>
    </xf>
    <xf numFmtId="170" fontId="8" fillId="2" borderId="1" applyAlignment="1" applyProtection="1" pivotButton="0" quotePrefix="0" xfId="0">
      <alignment horizontal="center" vertical="center"/>
      <protection locked="0" hidden="0"/>
    </xf>
    <xf numFmtId="169" fontId="35" fillId="2" borderId="8" applyAlignment="1" applyProtection="1" pivotButton="0" quotePrefix="0" xfId="0">
      <alignment horizontal="center" vertical="center"/>
      <protection locked="0" hidden="0"/>
    </xf>
    <xf numFmtId="168" fontId="19" fillId="2" borderId="15" applyAlignment="1" applyProtection="1" pivotButton="0" quotePrefix="0" xfId="0">
      <alignment horizontal="center" vertical="center"/>
      <protection locked="0" hidden="0"/>
    </xf>
    <xf numFmtId="168" fontId="36" fillId="3" borderId="8" applyAlignment="1" applyProtection="1" pivotButton="0" quotePrefix="0" xfId="0">
      <alignment horizontal="center" vertical="center"/>
      <protection locked="0" hidden="0"/>
    </xf>
    <xf numFmtId="169" fontId="35" fillId="2" borderId="7" applyAlignment="1" applyProtection="1" pivotButton="0" quotePrefix="0" xfId="0">
      <alignment horizontal="center" vertical="center"/>
      <protection locked="0" hidden="0"/>
    </xf>
    <xf numFmtId="168" fontId="39" fillId="2" borderId="0" applyAlignment="1" applyProtection="1" pivotButton="0" quotePrefix="0" xfId="0">
      <alignment horizontal="center" vertical="center"/>
      <protection locked="0" hidden="0"/>
    </xf>
    <xf numFmtId="168" fontId="42" fillId="7" borderId="1" applyAlignment="1" applyProtection="1" pivotButton="0" quotePrefix="0" xfId="0">
      <alignment horizontal="center" vertical="center"/>
      <protection locked="0" hidden="0"/>
    </xf>
    <xf numFmtId="168" fontId="42" fillId="7" borderId="7" applyAlignment="1" applyProtection="1" pivotButton="0" quotePrefix="0" xfId="0">
      <alignment horizontal="center" vertical="center" wrapText="1"/>
      <protection locked="0" hidden="0"/>
    </xf>
    <xf numFmtId="167" fontId="7" fillId="8" borderId="17" applyAlignment="1" pivotButton="0" quotePrefix="0" xfId="0">
      <alignment horizontal="center" vertical="center" wrapText="1"/>
    </xf>
    <xf numFmtId="167" fontId="7" fillId="8" borderId="17" applyAlignment="1" pivotButton="0" quotePrefix="0" xfId="0">
      <alignment horizontal="left" vertical="center" wrapText="1" indent="1"/>
    </xf>
    <xf numFmtId="167" fontId="7" fillId="8" borderId="17" applyAlignment="1" pivotButton="0" quotePrefix="0" xfId="0">
      <alignment horizontal="right" vertical="center" wrapText="1"/>
    </xf>
    <xf numFmtId="167" fontId="25" fillId="8" borderId="17" applyAlignment="1" pivotButton="0" quotePrefix="0" xfId="0">
      <alignment vertical="center"/>
    </xf>
    <xf numFmtId="167" fontId="26" fillId="8" borderId="17" applyAlignment="1" pivotButton="0" quotePrefix="0" xfId="0">
      <alignment horizontal="center" vertical="center" wrapText="1"/>
    </xf>
    <xf numFmtId="167" fontId="26" fillId="8" borderId="17" applyAlignment="1" pivotButton="0" quotePrefix="0" xfId="0">
      <alignment horizontal="left" vertical="center" wrapText="1"/>
    </xf>
    <xf numFmtId="167" fontId="26" fillId="8" borderId="17" applyAlignment="1" pivotButton="0" quotePrefix="0" xfId="0">
      <alignment horizontal="left" vertical="center" wrapText="1" indent="1"/>
    </xf>
    <xf numFmtId="168" fontId="47" fillId="0" borderId="2" applyAlignment="1" pivotButton="0" quotePrefix="1" xfId="0">
      <alignment horizontal="center" vertical="center"/>
    </xf>
    <xf numFmtId="168" fontId="47" fillId="0" borderId="1" applyAlignment="1" pivotButton="0" quotePrefix="0" xfId="0">
      <alignment horizontal="center" vertical="center"/>
    </xf>
    <xf numFmtId="168" fontId="47" fillId="0" borderId="7" applyAlignment="1" pivotButton="0" quotePrefix="0" xfId="0">
      <alignment horizontal="center" vertical="center"/>
    </xf>
    <xf numFmtId="0" fontId="10" fillId="0" borderId="1" applyAlignment="1" applyProtection="1" pivotButton="0" quotePrefix="0" xfId="0">
      <alignment vertical="center"/>
      <protection locked="0" hidden="0"/>
    </xf>
    <xf numFmtId="0" fontId="35" fillId="2" borderId="3" applyAlignment="1" pivotButton="0" quotePrefix="0" xfId="0">
      <alignment horizontal="center"/>
    </xf>
    <xf numFmtId="167" fontId="25" fillId="8" borderId="17" applyAlignment="1" applyProtection="1" pivotButton="0" quotePrefix="0" xfId="0">
      <alignment horizontal="center" vertical="center"/>
      <protection locked="0" hidden="0"/>
    </xf>
    <xf numFmtId="0" fontId="0" fillId="0" borderId="33" applyProtection="1" pivotButton="0" quotePrefix="0" xfId="0">
      <protection locked="0" hidden="0"/>
    </xf>
    <xf numFmtId="0" fontId="0" fillId="0" borderId="34" applyProtection="1" pivotButton="0" quotePrefix="0" xfId="0">
      <protection locked="0" hidden="0"/>
    </xf>
    <xf numFmtId="167" fontId="56" fillId="0" borderId="37" applyAlignment="1" pivotButton="0" quotePrefix="0" xfId="0">
      <alignment horizontal="center" vertical="center"/>
    </xf>
    <xf numFmtId="0" fontId="0" fillId="0" borderId="20" pivotButton="0" quotePrefix="0" xfId="0"/>
    <xf numFmtId="0" fontId="0" fillId="0" borderId="30" pivotButton="0" quotePrefix="0" xfId="0"/>
    <xf numFmtId="0" fontId="10" fillId="0" borderId="1" applyAlignment="1" applyProtection="1" pivotButton="0" quotePrefix="0" xfId="0">
      <alignment horizontal="left" vertical="center"/>
      <protection locked="0" hidden="0"/>
    </xf>
    <xf numFmtId="0" fontId="8" fillId="2" borderId="1" applyAlignment="1" applyProtection="1" pivotButton="0" quotePrefix="0" xfId="0">
      <alignment horizontal="center" vertical="center"/>
      <protection locked="0" hidden="0"/>
    </xf>
    <xf numFmtId="0" fontId="5" fillId="3"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0" fontId="8" fillId="2" borderId="10" applyAlignment="1" pivotButton="0" quotePrefix="0" xfId="0">
      <alignment horizontal="center" vertical="center"/>
    </xf>
    <xf numFmtId="0" fontId="0" fillId="0" borderId="10" pivotButton="0" quotePrefix="0" xfId="0"/>
    <xf numFmtId="0" fontId="10" fillId="0" borderId="1" applyAlignment="1" pivotButton="0" quotePrefix="0" xfId="0">
      <alignment horizontal="left" vertical="center" wrapText="1" indent="1"/>
    </xf>
    <xf numFmtId="0" fontId="0" fillId="0" borderId="8" pivotButton="0" quotePrefix="0" xfId="0"/>
    <xf numFmtId="0" fontId="9" fillId="2" borderId="1" applyAlignment="1" pivotButton="0" quotePrefix="0" xfId="0">
      <alignment horizontal="center" vertical="center"/>
    </xf>
    <xf numFmtId="0" fontId="0" fillId="0" borderId="10" applyProtection="1" pivotButton="0" quotePrefix="0" xfId="0">
      <protection locked="0" hidden="0"/>
    </xf>
    <xf numFmtId="0" fontId="0" fillId="0" borderId="8" applyProtection="1" pivotButton="0" quotePrefix="0" xfId="0">
      <protection locked="0" hidden="0"/>
    </xf>
    <xf numFmtId="0" fontId="23" fillId="2" borderId="7" applyAlignment="1" pivotButton="0" quotePrefix="0" xfId="0">
      <alignment horizontal="left" vertical="center"/>
    </xf>
    <xf numFmtId="0" fontId="23" fillId="2" borderId="8" applyAlignment="1" pivotButton="0" quotePrefix="0" xfId="0">
      <alignment horizontal="left" vertical="center"/>
    </xf>
    <xf numFmtId="0" fontId="23" fillId="2" borderId="1" applyAlignment="1" pivotButton="0" quotePrefix="0" xfId="0">
      <alignment horizontal="center" vertical="center"/>
    </xf>
    <xf numFmtId="0" fontId="9" fillId="2" borderId="1" applyAlignment="1" applyProtection="1" pivotButton="0" quotePrefix="0" xfId="0">
      <alignment horizontal="center" vertical="center"/>
      <protection locked="0" hidden="0"/>
    </xf>
    <xf numFmtId="0" fontId="10" fillId="2" borderId="1" applyAlignment="1" pivotButton="0" quotePrefix="0" xfId="0">
      <alignment horizontal="center" vertical="center"/>
    </xf>
    <xf numFmtId="0" fontId="8" fillId="2" borderId="1" applyAlignment="1" pivotButton="0" quotePrefix="0" xfId="0">
      <alignment horizontal="center" vertical="center" wrapText="1"/>
    </xf>
    <xf numFmtId="0" fontId="8" fillId="2" borderId="1" applyAlignment="1" pivotButton="0" quotePrefix="0" xfId="0">
      <alignment horizontal="center" vertical="center"/>
    </xf>
    <xf numFmtId="0" fontId="10" fillId="2" borderId="1" applyAlignment="1" pivotButton="0" quotePrefix="0" xfId="0">
      <alignment horizontal="center" vertical="center" wrapText="1"/>
    </xf>
    <xf numFmtId="0" fontId="14" fillId="5" borderId="1" applyAlignment="1" applyProtection="1" pivotButton="0" quotePrefix="0" xfId="0">
      <alignment horizontal="center" vertical="center"/>
      <protection locked="0" hidden="0"/>
    </xf>
    <xf numFmtId="0" fontId="0" fillId="0" borderId="3" applyProtection="1" pivotButton="0" quotePrefix="0" xfId="0">
      <protection locked="0" hidden="0"/>
    </xf>
    <xf numFmtId="0" fontId="8" fillId="2" borderId="1" applyAlignment="1" pivotButton="0" quotePrefix="0" xfId="0">
      <alignment horizontal="left" vertical="center" wrapText="1" indent="1"/>
    </xf>
    <xf numFmtId="0" fontId="10" fillId="2" borderId="1" applyAlignment="1" pivotButton="0" quotePrefix="0" xfId="0">
      <alignment horizontal="left" vertical="center" indent="1"/>
    </xf>
    <xf numFmtId="0" fontId="8" fillId="2" borderId="10" applyAlignment="1" pivotButton="0" quotePrefix="0" xfId="0">
      <alignment horizontal="left" vertical="center" wrapText="1"/>
    </xf>
    <xf numFmtId="0" fontId="8" fillId="2" borderId="10" applyAlignment="1" pivotButton="0" quotePrefix="0" xfId="0">
      <alignment horizontal="center" vertical="center" wrapText="1"/>
    </xf>
    <xf numFmtId="0" fontId="9" fillId="2" borderId="1" applyAlignment="1" pivotButton="0" quotePrefix="0" xfId="0">
      <alignment horizontal="center" vertical="center" wrapText="1"/>
    </xf>
    <xf numFmtId="0" fontId="8" fillId="2" borderId="2" applyAlignment="1" pivotButton="0" quotePrefix="0" xfId="0">
      <alignment horizontal="center" vertical="center"/>
    </xf>
    <xf numFmtId="0" fontId="0" fillId="0" borderId="40" pivotButton="0" quotePrefix="0" xfId="0"/>
    <xf numFmtId="0" fontId="9" fillId="2" borderId="1" applyAlignment="1" pivotButton="0" quotePrefix="0" xfId="0">
      <alignment horizontal="left" vertical="center" wrapText="1" indent="1"/>
    </xf>
    <xf numFmtId="0" fontId="0" fillId="0" borderId="39" pivotButton="0" quotePrefix="0" xfId="0"/>
    <xf numFmtId="0" fontId="6" fillId="2" borderId="1" applyAlignment="1" applyProtection="1" pivotButton="0" quotePrefix="0" xfId="0">
      <alignment horizontal="center" vertical="center"/>
      <protection locked="0" hidden="0"/>
    </xf>
    <xf numFmtId="0" fontId="0" fillId="0" borderId="12" applyProtection="1" pivotButton="0" quotePrefix="0" xfId="0">
      <protection locked="0" hidden="0"/>
    </xf>
    <xf numFmtId="0" fontId="8" fillId="2" borderId="2" applyAlignment="1" pivotButton="0" quotePrefix="0" xfId="0">
      <alignment horizontal="center" vertical="center" wrapText="1"/>
    </xf>
    <xf numFmtId="0" fontId="8" fillId="4" borderId="1" applyAlignment="1" applyProtection="1" pivotButton="0" quotePrefix="0" xfId="0">
      <alignment horizontal="center" vertical="center"/>
      <protection locked="0" hidden="0"/>
    </xf>
    <xf numFmtId="0" fontId="8" fillId="2" borderId="1" applyAlignment="1" pivotButton="0" quotePrefix="0" xfId="0">
      <alignment horizontal="left" vertical="center" indent="1"/>
    </xf>
    <xf numFmtId="0" fontId="10" fillId="2" borderId="1" applyAlignment="1" pivotButton="0" quotePrefix="0" xfId="0">
      <alignment horizontal="left" vertical="center" wrapText="1" indent="1"/>
    </xf>
    <xf numFmtId="0" fontId="10" fillId="0" borderId="1" applyAlignment="1" applyProtection="1" pivotButton="0" quotePrefix="0" xfId="0">
      <alignment horizontal="center" vertical="center"/>
      <protection locked="0" hidden="0"/>
    </xf>
    <xf numFmtId="164" fontId="8" fillId="2" borderId="1" applyAlignment="1" applyProtection="1" pivotButton="0" quotePrefix="0" xfId="0">
      <alignment horizontal="center" vertical="center"/>
      <protection locked="0" hidden="0"/>
    </xf>
    <xf numFmtId="0" fontId="8" fillId="2" borderId="1" applyAlignment="1" pivotButton="0" quotePrefix="0" xfId="0">
      <alignment horizontal="left" vertical="center" wrapText="1"/>
    </xf>
    <xf numFmtId="0" fontId="9" fillId="2" borderId="2" applyAlignment="1" pivotButton="0" quotePrefix="0" xfId="0">
      <alignment horizontal="center" vertical="center"/>
    </xf>
    <xf numFmtId="0" fontId="13" fillId="5" borderId="1" applyAlignment="1" applyProtection="1" pivotButton="0" quotePrefix="0" xfId="0">
      <alignment horizontal="left" vertical="center"/>
      <protection locked="0" hidden="0"/>
    </xf>
    <xf numFmtId="0" fontId="23" fillId="2" borderId="1" applyAlignment="1" pivotButton="0" quotePrefix="0" xfId="0">
      <alignment horizontal="left" vertical="center"/>
    </xf>
    <xf numFmtId="1" fontId="8" fillId="2" borderId="1" applyAlignment="1" pivotButton="0" quotePrefix="0" xfId="0">
      <alignment horizontal="center" vertical="center" wrapText="1"/>
    </xf>
    <xf numFmtId="0" fontId="8" fillId="6" borderId="1" applyAlignment="1" applyProtection="1" pivotButton="0" quotePrefix="0" xfId="0">
      <alignment horizontal="center" vertical="center"/>
      <protection locked="0" hidden="0"/>
    </xf>
    <xf numFmtId="0" fontId="13" fillId="5" borderId="1" applyAlignment="1" applyProtection="1" pivotButton="0" quotePrefix="0" xfId="0">
      <alignment horizontal="center" vertical="center"/>
      <protection locked="0" hidden="0"/>
    </xf>
    <xf numFmtId="0" fontId="7" fillId="3" borderId="0" applyAlignment="1" applyProtection="1" pivotButton="0" quotePrefix="0" xfId="0">
      <alignment horizontal="center" vertical="center" wrapText="1"/>
      <protection locked="0" hidden="0"/>
    </xf>
    <xf numFmtId="0" fontId="10" fillId="0" borderId="1" applyAlignment="1" pivotButton="0" quotePrefix="0" xfId="0">
      <alignment horizontal="center" vertical="center" wrapText="1"/>
    </xf>
    <xf numFmtId="0" fontId="22" fillId="2" borderId="7" applyAlignment="1" pivotButton="0" quotePrefix="0" xfId="0">
      <alignment horizontal="center" vertical="center" wrapText="1"/>
    </xf>
    <xf numFmtId="0" fontId="22" fillId="2" borderId="10" applyAlignment="1" pivotButton="0" quotePrefix="0" xfId="0">
      <alignment horizontal="center" vertical="center" wrapText="1"/>
    </xf>
    <xf numFmtId="0" fontId="22" fillId="2" borderId="8" applyAlignment="1" pivotButton="0" quotePrefix="0" xfId="0">
      <alignment horizontal="center" vertical="center" wrapText="1"/>
    </xf>
    <xf numFmtId="0" fontId="38" fillId="0" borderId="1" applyAlignment="1" pivotButton="0" quotePrefix="0" xfId="0">
      <alignment horizontal="center" vertical="center"/>
    </xf>
    <xf numFmtId="0" fontId="38" fillId="0" borderId="8" applyAlignment="1" pivotButton="0" quotePrefix="0" xfId="0">
      <alignment horizontal="center" vertical="center"/>
    </xf>
    <xf numFmtId="0" fontId="35" fillId="0" borderId="1" applyAlignment="1" pivotButton="0" quotePrefix="0" xfId="0">
      <alignment horizontal="center" vertical="center"/>
    </xf>
    <xf numFmtId="0" fontId="22" fillId="2" borderId="1" applyAlignment="1" pivotButton="0" quotePrefix="0" xfId="0">
      <alignment horizontal="center" vertical="center" wrapText="1"/>
    </xf>
    <xf numFmtId="0" fontId="22" fillId="2" borderId="7" applyAlignment="1" pivotButton="0" quotePrefix="0" xfId="0">
      <alignment horizontal="center" vertical="center"/>
    </xf>
    <xf numFmtId="0" fontId="35" fillId="0" borderId="7" applyAlignment="1" pivotButton="0" quotePrefix="0" xfId="0">
      <alignment horizontal="center" vertical="center"/>
    </xf>
    <xf numFmtId="0" fontId="35" fillId="0" borderId="10" applyAlignment="1" pivotButton="0" quotePrefix="0" xfId="0">
      <alignment horizontal="center" vertical="center"/>
    </xf>
    <xf numFmtId="0" fontId="35" fillId="0" borderId="8" applyAlignment="1" pivotButton="0" quotePrefix="0" xfId="0">
      <alignment horizontal="center" vertical="center"/>
    </xf>
    <xf numFmtId="0" fontId="38" fillId="0" borderId="7" applyAlignment="1" pivotButton="0" quotePrefix="0" xfId="0">
      <alignment horizontal="center" vertical="center"/>
    </xf>
    <xf numFmtId="0" fontId="22" fillId="2" borderId="1" applyAlignment="1" pivotButton="0" quotePrefix="0" xfId="0">
      <alignment horizontal="center" vertical="center"/>
    </xf>
    <xf numFmtId="0" fontId="10" fillId="0" borderId="1" applyAlignment="1" pivotButton="0" quotePrefix="0" xfId="0">
      <alignment horizontal="left" vertical="center" wrapText="1"/>
    </xf>
    <xf numFmtId="0" fontId="47" fillId="0" borderId="1" applyAlignment="1" pivotButton="0" quotePrefix="0" xfId="0">
      <alignment horizontal="center" vertical="center"/>
    </xf>
    <xf numFmtId="0" fontId="0" fillId="0" borderId="1" applyAlignment="1" pivotButton="0" quotePrefix="0" xfId="0">
      <alignment horizontal="center" vertical="center"/>
    </xf>
    <xf numFmtId="0" fontId="47" fillId="0" borderId="7" applyAlignment="1" pivotButton="0" quotePrefix="0" xfId="0">
      <alignment horizontal="center" vertical="center"/>
    </xf>
    <xf numFmtId="0" fontId="0" fillId="0" borderId="1" applyAlignment="1" pivotButton="0" quotePrefix="0" xfId="0">
      <alignment horizontal="left" vertical="center"/>
    </xf>
    <xf numFmtId="0" fontId="45" fillId="10" borderId="37" applyAlignment="1" pivotButton="0" quotePrefix="0" xfId="0">
      <alignment horizontal="center" vertical="center"/>
    </xf>
    <xf numFmtId="0" fontId="51" fillId="13" borderId="37" applyAlignment="1" pivotButton="0" quotePrefix="0" xfId="0">
      <alignment horizontal="center" vertical="center"/>
    </xf>
    <xf numFmtId="0" fontId="54" fillId="0" borderId="19" applyAlignment="1" pivotButton="0" quotePrefix="0" xfId="0">
      <alignment horizontal="center" vertical="center"/>
    </xf>
    <xf numFmtId="168" fontId="3" fillId="2" borderId="0" applyAlignment="1" applyProtection="1" pivotButton="0" quotePrefix="0" xfId="0">
      <alignment horizontal="center" vertical="center"/>
      <protection locked="0" hidden="0"/>
    </xf>
    <xf numFmtId="168" fontId="2" fillId="2" borderId="0" applyAlignment="1" applyProtection="1" pivotButton="0" quotePrefix="0" xfId="0">
      <alignment horizontal="center" vertical="center"/>
      <protection locked="0" hidden="0"/>
    </xf>
    <xf numFmtId="168" fontId="7" fillId="3" borderId="1" applyAlignment="1" applyProtection="1" pivotButton="0" quotePrefix="0" xfId="0">
      <alignment horizontal="center" vertical="center" wrapText="1"/>
      <protection locked="0" hidden="0"/>
    </xf>
    <xf numFmtId="164" fontId="8" fillId="2" borderId="1" applyAlignment="1" applyProtection="1" pivotButton="0" quotePrefix="0" xfId="0">
      <alignment horizontal="center" vertical="center"/>
      <protection locked="0" hidden="0"/>
    </xf>
    <xf numFmtId="169" fontId="8" fillId="2" borderId="1" applyAlignment="1" applyProtection="1" pivotButton="0" quotePrefix="0" xfId="0">
      <alignment horizontal="center" vertical="center"/>
      <protection locked="0" hidden="0"/>
    </xf>
    <xf numFmtId="164" fontId="11" fillId="2" borderId="2" applyAlignment="1" applyProtection="1" pivotButton="0" quotePrefix="0" xfId="0">
      <alignment horizontal="center" vertical="center"/>
      <protection locked="0" hidden="0"/>
    </xf>
    <xf numFmtId="164" fontId="11" fillId="2" borderId="3" applyAlignment="1" applyProtection="1" pivotButton="0" quotePrefix="0" xfId="0">
      <alignment horizontal="center" vertical="center"/>
      <protection locked="0" hidden="0"/>
    </xf>
    <xf numFmtId="169" fontId="11" fillId="2" borderId="1" applyAlignment="1" applyProtection="1" pivotButton="0" quotePrefix="0" xfId="0">
      <alignment horizontal="center" vertical="center"/>
      <protection locked="0" hidden="0"/>
    </xf>
    <xf numFmtId="168" fontId="17" fillId="7" borderId="1" applyAlignment="1" applyProtection="1" pivotButton="0" quotePrefix="0" xfId="0">
      <alignment horizontal="center" vertical="center"/>
      <protection locked="0" hidden="0"/>
    </xf>
    <xf numFmtId="168" fontId="17" fillId="7" borderId="1" applyAlignment="1" applyProtection="1" pivotButton="0" quotePrefix="0" xfId="0">
      <alignment horizontal="center" vertical="center" wrapText="1"/>
      <protection locked="0" hidden="0"/>
    </xf>
    <xf numFmtId="168" fontId="11" fillId="2" borderId="1" applyAlignment="1" applyProtection="1" pivotButton="0" quotePrefix="0" xfId="0">
      <alignment horizontal="center" vertical="center"/>
      <protection locked="0" hidden="0"/>
    </xf>
    <xf numFmtId="168" fontId="19" fillId="3" borderId="1" applyAlignment="1" applyProtection="1" pivotButton="0" quotePrefix="0" xfId="0">
      <alignment horizontal="center" vertical="center"/>
      <protection locked="0" hidden="0"/>
    </xf>
    <xf numFmtId="168" fontId="3" fillId="2" borderId="1" applyAlignment="1" applyProtection="1" pivotButton="0" quotePrefix="0" xfId="0">
      <alignment horizontal="center" vertical="center"/>
      <protection locked="0" hidden="0"/>
    </xf>
    <xf numFmtId="168" fontId="20" fillId="0" borderId="9" applyAlignment="1" applyProtection="1" pivotButton="0" quotePrefix="0" xfId="0">
      <alignment vertical="center" wrapText="1"/>
      <protection locked="0" hidden="0"/>
    </xf>
    <xf numFmtId="168" fontId="2" fillId="2" borderId="0" applyAlignment="1" applyProtection="1" pivotButton="0" quotePrefix="0" xfId="0">
      <alignment vertical="center"/>
      <protection locked="0" hidden="0"/>
    </xf>
    <xf numFmtId="168" fontId="8" fillId="2" borderId="1" applyAlignment="1" applyProtection="1" pivotButton="0" quotePrefix="0" xfId="0">
      <alignment horizontal="center" vertical="center"/>
      <protection locked="0" hidden="0"/>
    </xf>
    <xf numFmtId="168" fontId="2" fillId="2" borderId="12" applyAlignment="1" applyProtection="1" pivotButton="0" quotePrefix="0" xfId="0">
      <alignment vertical="center"/>
      <protection locked="0" hidden="0"/>
    </xf>
    <xf numFmtId="168" fontId="17" fillId="7" borderId="7" applyAlignment="1" applyProtection="1" pivotButton="0" quotePrefix="0" xfId="0">
      <alignment horizontal="center" vertical="center" wrapText="1"/>
      <protection locked="0" hidden="0"/>
    </xf>
    <xf numFmtId="168" fontId="3" fillId="2" borderId="15" applyAlignment="1" applyProtection="1" pivotButton="0" quotePrefix="0" xfId="0">
      <alignment horizontal="center" vertical="center"/>
      <protection locked="0" hidden="0"/>
    </xf>
    <xf numFmtId="168" fontId="7" fillId="3" borderId="8" applyAlignment="1" applyProtection="1" pivotButton="0" quotePrefix="0" xfId="0">
      <alignment horizontal="center" vertical="center" wrapText="1"/>
      <protection locked="0" hidden="0"/>
    </xf>
    <xf numFmtId="169" fontId="8" fillId="2" borderId="7" applyAlignment="1" applyProtection="1" pivotButton="0" quotePrefix="0" xfId="0">
      <alignment horizontal="center" vertical="center"/>
      <protection locked="0" hidden="0"/>
    </xf>
    <xf numFmtId="165" fontId="0" fillId="0" borderId="0" pivotButton="0" quotePrefix="0" xfId="0"/>
    <xf numFmtId="168" fontId="19" fillId="2" borderId="0" applyAlignment="1" applyProtection="1" pivotButton="0" quotePrefix="0" xfId="0">
      <alignment horizontal="center" vertical="center"/>
      <protection locked="0" hidden="0"/>
    </xf>
    <xf numFmtId="168" fontId="32" fillId="2" borderId="0" applyAlignment="1" applyProtection="1" pivotButton="0" quotePrefix="0" xfId="0">
      <alignment horizontal="center" vertical="center"/>
      <protection locked="0" hidden="0"/>
    </xf>
    <xf numFmtId="169" fontId="40" fillId="2" borderId="1" applyAlignment="1" applyProtection="1" pivotButton="0" quotePrefix="0" xfId="0">
      <alignment horizontal="center" vertical="center"/>
      <protection locked="0" hidden="0"/>
    </xf>
    <xf numFmtId="168" fontId="18" fillId="2" borderId="0" applyAlignment="1" applyProtection="1" pivotButton="0" quotePrefix="0" xfId="0">
      <alignment horizontal="center" vertical="center" wrapText="1"/>
      <protection locked="0" hidden="0"/>
    </xf>
    <xf numFmtId="168" fontId="19" fillId="2" borderId="1" applyAlignment="1" applyProtection="1" pivotButton="0" quotePrefix="0" xfId="0">
      <alignment horizontal="center" vertical="center"/>
      <protection locked="0" hidden="0"/>
    </xf>
    <xf numFmtId="166" fontId="29" fillId="0" borderId="1" applyAlignment="1" pivotButton="0" quotePrefix="0" xfId="0">
      <alignment horizontal="center"/>
    </xf>
    <xf numFmtId="168" fontId="20" fillId="0" borderId="9" applyAlignment="1" applyProtection="1" pivotButton="0" quotePrefix="0" xfId="0">
      <alignment horizontal="center" vertical="center" wrapText="1"/>
      <protection locked="0" hidden="0"/>
    </xf>
    <xf numFmtId="169" fontId="35" fillId="2" borderId="1" applyAlignment="1" applyProtection="1" pivotButton="0" quotePrefix="0" xfId="0">
      <alignment horizontal="center" vertical="center"/>
      <protection locked="0" hidden="0"/>
    </xf>
    <xf numFmtId="169" fontId="35" fillId="2" borderId="8" applyAlignment="1" applyProtection="1" pivotButton="0" quotePrefix="0" xfId="0">
      <alignment horizontal="center" vertical="center"/>
      <protection locked="0" hidden="0"/>
    </xf>
    <xf numFmtId="168" fontId="19" fillId="2" borderId="15" applyAlignment="1" applyProtection="1" pivotButton="0" quotePrefix="0" xfId="0">
      <alignment horizontal="center" vertical="center"/>
      <protection locked="0" hidden="0"/>
    </xf>
    <xf numFmtId="168" fontId="36" fillId="3" borderId="8" applyAlignment="1" applyProtection="1" pivotButton="0" quotePrefix="0" xfId="0">
      <alignment horizontal="center" vertical="center"/>
      <protection locked="0" hidden="0"/>
    </xf>
    <xf numFmtId="169" fontId="35" fillId="2" borderId="7" applyAlignment="1" applyProtection="1" pivotButton="0" quotePrefix="0" xfId="0">
      <alignment horizontal="center" vertical="center"/>
      <protection locked="0" hidden="0"/>
    </xf>
    <xf numFmtId="168" fontId="39" fillId="2" borderId="0" applyAlignment="1" applyProtection="1" pivotButton="0" quotePrefix="0" xfId="0">
      <alignment horizontal="center" vertical="center"/>
      <protection locked="0" hidden="0"/>
    </xf>
    <xf numFmtId="168" fontId="42" fillId="7" borderId="1" applyAlignment="1" applyProtection="1" pivotButton="0" quotePrefix="0" xfId="0">
      <alignment horizontal="center" vertical="center"/>
      <protection locked="0" hidden="0"/>
    </xf>
    <xf numFmtId="168" fontId="42" fillId="7" borderId="7" applyAlignment="1" applyProtection="1" pivotButton="0" quotePrefix="0" xfId="0">
      <alignment horizontal="center" vertical="center" wrapText="1"/>
      <protection locked="0" hidden="0"/>
    </xf>
    <xf numFmtId="168" fontId="47" fillId="0" borderId="2" applyAlignment="1" pivotButton="0" quotePrefix="1" xfId="0">
      <alignment horizontal="center" vertical="center"/>
    </xf>
    <xf numFmtId="168" fontId="47" fillId="0" borderId="1" applyAlignment="1" pivotButton="0" quotePrefix="0" xfId="0">
      <alignment horizontal="center" vertical="center"/>
    </xf>
    <xf numFmtId="168" fontId="47" fillId="0" borderId="7" applyAlignment="1" pivotButton="0" quotePrefix="0" xfId="0">
      <alignment horizontal="center" vertical="center"/>
    </xf>
  </cellXfs>
  <cellStyles count="5">
    <cellStyle name="Normal" xfId="0" builtinId="0"/>
    <cellStyle name="Comma 2" xfId="1"/>
    <cellStyle name="Normal 2 2" xfId="2"/>
    <cellStyle name="Normal 2 4 2 3" xfId="3"/>
    <cellStyle name="Normal 3" xfId="4"/>
  </cellStyles>
  <dxfs count="32">
    <dxf>
      <font>
        <color rgb="FF9C0006"/>
      </font>
      <fill>
        <patternFill>
          <bgColor rgb="FFFFC7CE"/>
        </patternFill>
      </fill>
    </dxf>
    <dxf>
      <font>
        <color rgb="FF9C0006"/>
      </font>
      <fill>
        <patternFill>
          <bgColor rgb="FFFFC7CE"/>
        </patternFill>
      </fill>
    </dxf>
    <dxf>
      <fill>
        <patternFill>
          <bgColor theme="9" tint="0.7998901333658864"/>
        </patternFill>
      </fill>
    </dxf>
    <dxf>
      <fill>
        <patternFill>
          <bgColor rgb="FF66FF99"/>
        </patternFill>
      </fill>
    </dxf>
    <dxf>
      <fill>
        <patternFill>
          <bgColor theme="9" tint="0.7998901333658864"/>
        </patternFill>
      </fill>
    </dxf>
    <dxf>
      <fill>
        <patternFill>
          <bgColor rgb="FF66FF99"/>
        </patternFill>
      </fill>
    </dxf>
    <dxf>
      <fill>
        <patternFill>
          <bgColor theme="9" tint="0.3998840296639912"/>
        </patternFill>
      </fill>
    </dxf>
    <dxf>
      <font>
        <color rgb="FF9C0006"/>
      </font>
      <fill>
        <patternFill>
          <bgColor rgb="FFFFC7CE"/>
        </patternFill>
      </fill>
    </dxf>
    <dxf>
      <font>
        <color rgb="FF9C0006"/>
      </font>
      <fill>
        <patternFill>
          <bgColor rgb="FFFFC7CE"/>
        </patternFill>
      </fill>
    </dxf>
    <dxf>
      <fill>
        <patternFill>
          <bgColor theme="9" tint="0.7998901333658864"/>
        </patternFill>
      </fill>
    </dxf>
    <dxf>
      <fill>
        <patternFill>
          <bgColor rgb="FF66FF99"/>
        </patternFill>
      </fill>
    </dxf>
    <dxf>
      <fill>
        <patternFill>
          <bgColor theme="9" tint="0.7998901333658864"/>
        </patternFill>
      </fill>
    </dxf>
    <dxf>
      <fill>
        <patternFill>
          <bgColor rgb="FF66FF99"/>
        </patternFill>
      </fill>
    </dxf>
    <dxf>
      <fill>
        <patternFill>
          <bgColor theme="9" tint="0.399884029663991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8901333658864"/>
        </patternFill>
      </fill>
    </dxf>
    <dxf>
      <fill>
        <patternFill>
          <bgColor rgb="FF66FF99"/>
        </patternFill>
      </fill>
    </dxf>
    <dxf>
      <fill>
        <patternFill>
          <bgColor theme="9" tint="0.7998901333658864"/>
        </patternFill>
      </fill>
    </dxf>
    <dxf>
      <fill>
        <patternFill>
          <bgColor rgb="FF66FF99"/>
        </patternFill>
      </fill>
    </dxf>
    <dxf>
      <fill>
        <patternFill>
          <bgColor theme="9" tint="0.7998901333658864"/>
        </patternFill>
      </fill>
    </dxf>
    <dxf>
      <fill>
        <patternFill>
          <bgColor rgb="FF66FF99"/>
        </patternFill>
      </fill>
    </dxf>
    <dxf>
      <fill>
        <patternFill>
          <bgColor theme="9" tint="0.7998901333658864"/>
        </patternFill>
      </fill>
    </dxf>
    <dxf>
      <fill>
        <patternFill>
          <bgColor rgb="FF66FF99"/>
        </patternFill>
      </fill>
    </dxf>
    <dxf>
      <fill>
        <patternFill>
          <bgColor theme="9" tint="0.3998840296639912"/>
        </patternFill>
      </fill>
    </dxf>
    <dxf>
      <fill>
        <patternFill>
          <bgColor theme="9" tint="0.399884029663991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7F7F7F"/>
      <rgbColor rgb="FF9999FF"/>
      <rgbColor rgb="FF993366"/>
      <rgbColor rgb="FFFFFFCC"/>
      <rgbColor rgb="FFCAEEFB"/>
      <rgbColor rgb="FF660066"/>
      <rgbColor rgb="FFFF8080"/>
      <rgbColor rgb="FF0066CC"/>
      <rgbColor rgb="FFD1D1D1"/>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6C6AD"/>
      <rgbColor rgb="FF3366FF"/>
      <rgbColor rgb="FF66FF99"/>
      <rgbColor rgb="FF8ED973"/>
      <rgbColor rgb="FFFFCC00"/>
      <rgbColor rgb="FFFF9900"/>
      <rgbColor rgb="FFFF6600"/>
      <rgbColor rgb="FF666699"/>
      <rgbColor rgb="FF969696"/>
      <rgbColor rgb="FF003366"/>
      <rgbColor rgb="FF00B050"/>
      <rgbColor rgb="FF003300"/>
      <rgbColor rgb="FF275317"/>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110520</colOff>
      <row>0</row>
      <rowOff>45360</rowOff>
    </from>
    <to>
      <col>0</col>
      <colOff>970920</colOff>
      <row>0</row>
      <rowOff>910080</rowOff>
    </to>
    <pic>
      <nvPicPr>
        <cNvPr id="2" name="Picture 1"/>
        <cNvPicPr/>
      </nvPicPr>
      <blipFill>
        <a:blip r:embed="rId1"/>
        <a:stretch>
          <a:fillRect/>
        </a:stretch>
      </blipFill>
      <spPr>
        <a:xfrm>
          <a:off x="110520" y="45360"/>
          <a:ext cx="860400" cy="864720"/>
        </a:xfrm>
        <a:prstGeom prst="rect">
          <avLst/>
        </a:prstGeom>
        <a:ln w="0">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110520</colOff>
      <row>0</row>
      <rowOff>45360</rowOff>
    </from>
    <to>
      <col>0</col>
      <colOff>970200</colOff>
      <row>0</row>
      <rowOff>910080</rowOff>
    </to>
    <pic>
      <nvPicPr>
        <cNvPr id="2" name="Picture 1"/>
        <cNvPicPr/>
      </nvPicPr>
      <blipFill>
        <a:blip r:embed="rId1"/>
        <a:stretch>
          <a:fillRect/>
        </a:stretch>
      </blipFill>
      <spPr>
        <a:xfrm>
          <a:off x="110520" y="45360"/>
          <a:ext cx="859680" cy="864720"/>
        </a:xfrm>
        <a:prstGeom prst="rect">
          <avLst/>
        </a:prstGeom>
        <a:ln w="0">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110520</colOff>
      <row>0</row>
      <rowOff>45360</rowOff>
    </from>
    <to>
      <col>0</col>
      <colOff>970920</colOff>
      <row>0</row>
      <rowOff>910080</rowOff>
    </to>
    <pic>
      <nvPicPr>
        <cNvPr id="2" name="Picture 1"/>
        <cNvPicPr/>
      </nvPicPr>
      <blipFill>
        <a:blip r:embed="rId1"/>
        <a:stretch>
          <a:fillRect/>
        </a:stretch>
      </blipFill>
      <spPr>
        <a:xfrm>
          <a:off x="110520" y="45360"/>
          <a:ext cx="860400" cy="864720"/>
        </a:xfrm>
        <a:prstGeom prst="rect">
          <avLst/>
        </a:prstGeom>
        <a:ln w="0">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https://d.docs.live.net/124e1e0956755fc4/Desktop/Regional%20Operations%20Manager_Workflo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1.Action Register"/>
      <sheetName val="2.Meeting Minutes"/>
      <sheetName val="3.Collection Report"/>
      <sheetName val="4.Contract Register"/>
      <sheetName val="KEY Data – do not delete –"/>
    </sheetNames>
    <sheetDataSet>
      <sheetData sheetId="0"/>
      <sheetData sheetId="1"/>
      <sheetData sheetId="2"/>
      <sheetData sheetId="3"/>
      <sheetData sheetId="4">
        <row r="4">
          <cell r="D4" t="str">
            <v>One-Off</v>
          </cell>
        </row>
        <row r="5">
          <cell r="D5" t="str">
            <v>Active</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theme="5"/>
    <outlinePr summaryBelow="1" summaryRight="1"/>
    <pageSetUpPr fitToPage="1"/>
  </sheetPr>
  <dimension ref="A2:AA170"/>
  <sheetViews>
    <sheetView showGridLines="0" topLeftCell="E1" zoomScale="80" zoomScaleNormal="80" workbookViewId="0">
      <pane ySplit="4" topLeftCell="A99" activePane="bottomLeft" state="frozen"/>
      <selection pane="bottomLeft" activeCell="O108" sqref="O108"/>
    </sheetView>
  </sheetViews>
  <sheetFormatPr baseColWidth="8" defaultColWidth="8.75" defaultRowHeight="15"/>
  <cols>
    <col width="11.625" customWidth="1" min="1" max="1"/>
    <col width="13.75" bestFit="1" customWidth="1" min="2" max="2"/>
    <col width="11.125" bestFit="1" customWidth="1" style="117" min="3" max="3"/>
    <col width="30" customWidth="1" min="4" max="4"/>
    <col width="14.125" customWidth="1" style="348" min="5" max="5"/>
    <col width="10.5" customWidth="1" style="348" min="6" max="6"/>
    <col width="10.25" bestFit="1" customWidth="1" style="348" min="7" max="7"/>
    <col width="11.125" bestFit="1" customWidth="1" style="348" min="8" max="8"/>
    <col width="11.75" customWidth="1" style="348" min="9" max="9"/>
    <col width="10.5" customWidth="1" min="10" max="10"/>
    <col width="9.625" bestFit="1" customWidth="1" style="119" min="11" max="11"/>
    <col width="9.625" bestFit="1" customWidth="1" min="12" max="12"/>
    <col width="15.875" customWidth="1" min="13" max="13"/>
    <col width="19.875" customWidth="1" min="14" max="15"/>
    <col width="9.375" customWidth="1" min="16" max="16"/>
    <col width="17.5" customWidth="1" style="119" min="17" max="17"/>
    <col width="16.625" customWidth="1" min="18" max="18"/>
    <col width="14.125" customWidth="1" min="19" max="19"/>
    <col width="16.125" customWidth="1" min="20" max="20"/>
    <col width="15.625" customWidth="1" min="21" max="21"/>
    <col width="5.75" customWidth="1" min="22" max="22"/>
    <col width="18.625" customWidth="1" style="119" min="23" max="23"/>
    <col width="16.875" customWidth="1" min="24" max="24"/>
    <col width="18" customWidth="1" min="25" max="25"/>
    <col width="15.875" customWidth="1" min="26" max="26"/>
    <col width="18" customWidth="1" min="27" max="27"/>
    <col width="5.125" customWidth="1" min="221" max="221"/>
    <col width="13.375" customWidth="1" min="222" max="222"/>
    <col width="45.75" customWidth="1" min="223" max="223"/>
    <col width="10.625" customWidth="1" min="224" max="225"/>
    <col width="13.75" customWidth="1" min="226" max="226"/>
    <col width="18.375" customWidth="1" min="227" max="227"/>
    <col width="20.625" customWidth="1" min="228" max="228"/>
    <col width="17.375" customWidth="1" min="229" max="229"/>
    <col width="12.125" customWidth="1" min="230" max="230"/>
    <col width="10.625" customWidth="1" min="231" max="231"/>
    <col width="14.375" customWidth="1" min="232" max="232"/>
    <col width="10.625" customWidth="1" min="233" max="233"/>
    <col width="13" customWidth="1" min="234" max="234"/>
    <col width="13.125" customWidth="1" min="235" max="235"/>
    <col width="10.625" customWidth="1" min="236" max="237"/>
    <col width="13" customWidth="1" min="238" max="238"/>
    <col width="10.625" customWidth="1" min="239" max="239"/>
    <col width="12.375" customWidth="1" min="240" max="240"/>
    <col width="10.625" customWidth="1" min="241" max="241"/>
    <col width="15" customWidth="1" min="242" max="242"/>
    <col width="20.375" customWidth="1" min="243" max="243"/>
    <col width="10.625" customWidth="1" min="244" max="244"/>
    <col width="11.375" customWidth="1" min="245" max="245"/>
    <col width="10.625" customWidth="1" min="246" max="246"/>
    <col width="16.125" customWidth="1" min="247" max="247"/>
    <col width="12.625" customWidth="1" min="248" max="248"/>
    <col width="17" customWidth="1" min="249" max="249"/>
    <col width="16.375" customWidth="1" min="250" max="250"/>
    <col width="20.125" customWidth="1" min="251" max="251"/>
    <col width="17.625" customWidth="1" min="252" max="252"/>
    <col width="12" customWidth="1" min="253" max="253"/>
    <col width="16" customWidth="1" min="254" max="254"/>
    <col width="5.125" customWidth="1" min="477" max="477"/>
    <col width="13.375" customWidth="1" min="478" max="478"/>
    <col width="45.75" customWidth="1" min="479" max="479"/>
    <col width="10.625" customWidth="1" min="480" max="481"/>
    <col width="13.75" customWidth="1" min="482" max="482"/>
    <col width="18.375" customWidth="1" min="483" max="483"/>
    <col width="20.625" customWidth="1" min="484" max="484"/>
    <col width="17.375" customWidth="1" min="485" max="485"/>
    <col width="12.125" customWidth="1" min="486" max="486"/>
    <col width="10.625" customWidth="1" min="487" max="487"/>
    <col width="14.375" customWidth="1" min="488" max="488"/>
    <col width="10.625" customWidth="1" min="489" max="489"/>
    <col width="13" customWidth="1" min="490" max="490"/>
    <col width="13.125" customWidth="1" min="491" max="491"/>
    <col width="10.625" customWidth="1" min="492" max="493"/>
    <col width="13" customWidth="1" min="494" max="494"/>
    <col width="10.625" customWidth="1" min="495" max="495"/>
    <col width="12.375" customWidth="1" min="496" max="496"/>
    <col width="10.625" customWidth="1" min="497" max="497"/>
    <col width="15" customWidth="1" min="498" max="498"/>
    <col width="20.375" customWidth="1" min="499" max="499"/>
    <col width="10.625" customWidth="1" min="500" max="500"/>
    <col width="11.375" customWidth="1" min="501" max="501"/>
    <col width="10.625" customWidth="1" min="502" max="502"/>
    <col width="16.125" customWidth="1" min="503" max="503"/>
    <col width="12.625" customWidth="1" min="504" max="504"/>
    <col width="17" customWidth="1" min="505" max="505"/>
    <col width="16.375" customWidth="1" min="506" max="506"/>
    <col width="20.125" customWidth="1" min="507" max="507"/>
    <col width="17.625" customWidth="1" min="508" max="508"/>
    <col width="12" customWidth="1" min="509" max="509"/>
    <col width="16" customWidth="1" min="510" max="510"/>
    <col width="5.125" customWidth="1" min="733" max="733"/>
    <col width="13.375" customWidth="1" min="734" max="734"/>
    <col width="45.75" customWidth="1" min="735" max="735"/>
    <col width="10.625" customWidth="1" min="736" max="737"/>
    <col width="13.75" customWidth="1" min="738" max="738"/>
    <col width="18.375" customWidth="1" min="739" max="739"/>
    <col width="20.625" customWidth="1" min="740" max="740"/>
    <col width="17.375" customWidth="1" min="741" max="741"/>
    <col width="12.125" customWidth="1" min="742" max="742"/>
    <col width="10.625" customWidth="1" min="743" max="743"/>
    <col width="14.375" customWidth="1" min="744" max="744"/>
    <col width="10.625" customWidth="1" min="745" max="745"/>
    <col width="13" customWidth="1" min="746" max="746"/>
    <col width="13.125" customWidth="1" min="747" max="747"/>
    <col width="10.625" customWidth="1" min="748" max="749"/>
    <col width="13" customWidth="1" min="750" max="750"/>
    <col width="10.625" customWidth="1" min="751" max="751"/>
    <col width="12.375" customWidth="1" min="752" max="752"/>
    <col width="10.625" customWidth="1" min="753" max="753"/>
    <col width="15" customWidth="1" min="754" max="754"/>
    <col width="20.375" customWidth="1" min="755" max="755"/>
    <col width="10.625" customWidth="1" min="756" max="756"/>
    <col width="11.375" customWidth="1" min="757" max="757"/>
    <col width="10.625" customWidth="1" min="758" max="758"/>
    <col width="16.125" customWidth="1" min="759" max="759"/>
    <col width="12.625" customWidth="1" min="760" max="760"/>
    <col width="17" customWidth="1" min="761" max="761"/>
    <col width="16.375" customWidth="1" min="762" max="762"/>
    <col width="20.125" customWidth="1" min="763" max="763"/>
    <col width="17.625" customWidth="1" min="764" max="764"/>
    <col width="12" customWidth="1" min="765" max="765"/>
    <col width="16" customWidth="1" min="766" max="766"/>
    <col width="5.125" customWidth="1" min="989" max="989"/>
    <col width="13.375" customWidth="1" min="990" max="990"/>
    <col width="45.75" customWidth="1" min="991" max="991"/>
    <col width="10.625" customWidth="1" min="992" max="993"/>
    <col width="13.75" customWidth="1" min="994" max="994"/>
    <col width="18.375" customWidth="1" min="995" max="995"/>
    <col width="20.625" customWidth="1" min="996" max="996"/>
    <col width="17.375" customWidth="1" min="997" max="997"/>
    <col width="12.125" customWidth="1" min="998" max="998"/>
    <col width="10.625" customWidth="1" min="999" max="999"/>
    <col width="14.375" customWidth="1" min="1000" max="1000"/>
    <col width="10.625" customWidth="1" min="1001" max="1001"/>
    <col width="13" customWidth="1" min="1002" max="1002"/>
    <col width="13.125" customWidth="1" min="1003" max="1003"/>
    <col width="10.625" customWidth="1" min="1004" max="1005"/>
    <col width="13" customWidth="1" min="1006" max="1006"/>
    <col width="10.625" customWidth="1" min="1007" max="1007"/>
    <col width="12.375" customWidth="1" min="1008" max="1008"/>
    <col width="10.625" customWidth="1" min="1009" max="1009"/>
    <col width="15" customWidth="1" min="1010" max="1010"/>
    <col width="20.375" customWidth="1" min="1011" max="1011"/>
    <col width="10.625" customWidth="1" min="1012" max="1012"/>
    <col width="11.375" customWidth="1" min="1013" max="1013"/>
    <col width="10.625" customWidth="1" min="1014" max="1014"/>
    <col width="16.125" customWidth="1" min="1015" max="1015"/>
    <col width="12.625" customWidth="1" min="1016" max="1016"/>
    <col width="17" customWidth="1" min="1017" max="1017"/>
    <col width="16.375" customWidth="1" min="1018" max="1018"/>
    <col width="20.125" customWidth="1" min="1019" max="1019"/>
    <col width="17.625" customWidth="1" min="1020" max="1020"/>
    <col width="12" customWidth="1" min="1021" max="1021"/>
    <col width="16" customWidth="1" min="1022" max="1022"/>
    <col width="5.125" customWidth="1" min="1245" max="1245"/>
    <col width="13.375" customWidth="1" min="1246" max="1246"/>
    <col width="45.75" customWidth="1" min="1247" max="1247"/>
    <col width="10.625" customWidth="1" min="1248" max="1249"/>
    <col width="13.75" customWidth="1" min="1250" max="1250"/>
    <col width="18.375" customWidth="1" min="1251" max="1251"/>
    <col width="20.625" customWidth="1" min="1252" max="1252"/>
    <col width="17.375" customWidth="1" min="1253" max="1253"/>
    <col width="12.125" customWidth="1" min="1254" max="1254"/>
    <col width="10.625" customWidth="1" min="1255" max="1255"/>
    <col width="14.375" customWidth="1" min="1256" max="1256"/>
    <col width="10.625" customWidth="1" min="1257" max="1257"/>
    <col width="13" customWidth="1" min="1258" max="1258"/>
    <col width="13.125" customWidth="1" min="1259" max="1259"/>
    <col width="10.625" customWidth="1" min="1260" max="1261"/>
    <col width="13" customWidth="1" min="1262" max="1262"/>
    <col width="10.625" customWidth="1" min="1263" max="1263"/>
    <col width="12.375" customWidth="1" min="1264" max="1264"/>
    <col width="10.625" customWidth="1" min="1265" max="1265"/>
    <col width="15" customWidth="1" min="1266" max="1266"/>
    <col width="20.375" customWidth="1" min="1267" max="1267"/>
    <col width="10.625" customWidth="1" min="1268" max="1268"/>
    <col width="11.375" customWidth="1" min="1269" max="1269"/>
    <col width="10.625" customWidth="1" min="1270" max="1270"/>
    <col width="16.125" customWidth="1" min="1271" max="1271"/>
    <col width="12.625" customWidth="1" min="1272" max="1272"/>
    <col width="17" customWidth="1" min="1273" max="1273"/>
    <col width="16.375" customWidth="1" min="1274" max="1274"/>
    <col width="20.125" customWidth="1" min="1275" max="1275"/>
    <col width="17.625" customWidth="1" min="1276" max="1276"/>
    <col width="12" customWidth="1" min="1277" max="1277"/>
    <col width="16" customWidth="1" min="1278" max="1278"/>
    <col width="5.125" customWidth="1" min="1501" max="1501"/>
    <col width="13.375" customWidth="1" min="1502" max="1502"/>
    <col width="45.75" customWidth="1" min="1503" max="1503"/>
    <col width="10.625" customWidth="1" min="1504" max="1505"/>
    <col width="13.75" customWidth="1" min="1506" max="1506"/>
    <col width="18.375" customWidth="1" min="1507" max="1507"/>
    <col width="20.625" customWidth="1" min="1508" max="1508"/>
    <col width="17.375" customWidth="1" min="1509" max="1509"/>
    <col width="12.125" customWidth="1" min="1510" max="1510"/>
    <col width="10.625" customWidth="1" min="1511" max="1511"/>
    <col width="14.375" customWidth="1" min="1512" max="1512"/>
    <col width="10.625" customWidth="1" min="1513" max="1513"/>
    <col width="13" customWidth="1" min="1514" max="1514"/>
    <col width="13.125" customWidth="1" min="1515" max="1515"/>
    <col width="10.625" customWidth="1" min="1516" max="1517"/>
    <col width="13" customWidth="1" min="1518" max="1518"/>
    <col width="10.625" customWidth="1" min="1519" max="1519"/>
    <col width="12.375" customWidth="1" min="1520" max="1520"/>
    <col width="10.625" customWidth="1" min="1521" max="1521"/>
    <col width="15" customWidth="1" min="1522" max="1522"/>
    <col width="20.375" customWidth="1" min="1523" max="1523"/>
    <col width="10.625" customWidth="1" min="1524" max="1524"/>
    <col width="11.375" customWidth="1" min="1525" max="1525"/>
    <col width="10.625" customWidth="1" min="1526" max="1526"/>
    <col width="16.125" customWidth="1" min="1527" max="1527"/>
    <col width="12.625" customWidth="1" min="1528" max="1528"/>
    <col width="17" customWidth="1" min="1529" max="1529"/>
    <col width="16.375" customWidth="1" min="1530" max="1530"/>
    <col width="20.125" customWidth="1" min="1531" max="1531"/>
    <col width="17.625" customWidth="1" min="1532" max="1532"/>
    <col width="12" customWidth="1" min="1533" max="1533"/>
    <col width="16" customWidth="1" min="1534" max="1534"/>
    <col width="5.125" customWidth="1" min="1757" max="1757"/>
    <col width="13.375" customWidth="1" min="1758" max="1758"/>
    <col width="45.75" customWidth="1" min="1759" max="1759"/>
    <col width="10.625" customWidth="1" min="1760" max="1761"/>
    <col width="13.75" customWidth="1" min="1762" max="1762"/>
    <col width="18.375" customWidth="1" min="1763" max="1763"/>
    <col width="20.625" customWidth="1" min="1764" max="1764"/>
    <col width="17.375" customWidth="1" min="1765" max="1765"/>
    <col width="12.125" customWidth="1" min="1766" max="1766"/>
    <col width="10.625" customWidth="1" min="1767" max="1767"/>
    <col width="14.375" customWidth="1" min="1768" max="1768"/>
    <col width="10.625" customWidth="1" min="1769" max="1769"/>
    <col width="13" customWidth="1" min="1770" max="1770"/>
    <col width="13.125" customWidth="1" min="1771" max="1771"/>
    <col width="10.625" customWidth="1" min="1772" max="1773"/>
    <col width="13" customWidth="1" min="1774" max="1774"/>
    <col width="10.625" customWidth="1" min="1775" max="1775"/>
    <col width="12.375" customWidth="1" min="1776" max="1776"/>
    <col width="10.625" customWidth="1" min="1777" max="1777"/>
    <col width="15" customWidth="1" min="1778" max="1778"/>
    <col width="20.375" customWidth="1" min="1779" max="1779"/>
    <col width="10.625" customWidth="1" min="1780" max="1780"/>
    <col width="11.375" customWidth="1" min="1781" max="1781"/>
    <col width="10.625" customWidth="1" min="1782" max="1782"/>
    <col width="16.125" customWidth="1" min="1783" max="1783"/>
    <col width="12.625" customWidth="1" min="1784" max="1784"/>
    <col width="17" customWidth="1" min="1785" max="1785"/>
    <col width="16.375" customWidth="1" min="1786" max="1786"/>
    <col width="20.125" customWidth="1" min="1787" max="1787"/>
    <col width="17.625" customWidth="1" min="1788" max="1788"/>
    <col width="12" customWidth="1" min="1789" max="1789"/>
    <col width="16" customWidth="1" min="1790" max="1790"/>
    <col width="5.125" customWidth="1" min="2013" max="2013"/>
    <col width="13.375" customWidth="1" min="2014" max="2014"/>
    <col width="45.75" customWidth="1" min="2015" max="2015"/>
    <col width="10.625" customWidth="1" min="2016" max="2017"/>
    <col width="13.75" customWidth="1" min="2018" max="2018"/>
    <col width="18.375" customWidth="1" min="2019" max="2019"/>
    <col width="20.625" customWidth="1" min="2020" max="2020"/>
    <col width="17.375" customWidth="1" min="2021" max="2021"/>
    <col width="12.125" customWidth="1" min="2022" max="2022"/>
    <col width="10.625" customWidth="1" min="2023" max="2023"/>
    <col width="14.375" customWidth="1" min="2024" max="2024"/>
    <col width="10.625" customWidth="1" min="2025" max="2025"/>
    <col width="13" customWidth="1" min="2026" max="2026"/>
    <col width="13.125" customWidth="1" min="2027" max="2027"/>
    <col width="10.625" customWidth="1" min="2028" max="2029"/>
    <col width="13" customWidth="1" min="2030" max="2030"/>
    <col width="10.625" customWidth="1" min="2031" max="2031"/>
    <col width="12.375" customWidth="1" min="2032" max="2032"/>
    <col width="10.625" customWidth="1" min="2033" max="2033"/>
    <col width="15" customWidth="1" min="2034" max="2034"/>
    <col width="20.375" customWidth="1" min="2035" max="2035"/>
    <col width="10.625" customWidth="1" min="2036" max="2036"/>
    <col width="11.375" customWidth="1" min="2037" max="2037"/>
    <col width="10.625" customWidth="1" min="2038" max="2038"/>
    <col width="16.125" customWidth="1" min="2039" max="2039"/>
    <col width="12.625" customWidth="1" min="2040" max="2040"/>
    <col width="17" customWidth="1" min="2041" max="2041"/>
    <col width="16.375" customWidth="1" min="2042" max="2042"/>
    <col width="20.125" customWidth="1" min="2043" max="2043"/>
    <col width="17.625" customWidth="1" min="2044" max="2044"/>
    <col width="12" customWidth="1" min="2045" max="2045"/>
    <col width="16" customWidth="1" min="2046" max="2046"/>
    <col width="5.125" customWidth="1" min="2269" max="2269"/>
    <col width="13.375" customWidth="1" min="2270" max="2270"/>
    <col width="45.75" customWidth="1" min="2271" max="2271"/>
    <col width="10.625" customWidth="1" min="2272" max="2273"/>
    <col width="13.75" customWidth="1" min="2274" max="2274"/>
    <col width="18.375" customWidth="1" min="2275" max="2275"/>
    <col width="20.625" customWidth="1" min="2276" max="2276"/>
    <col width="17.375" customWidth="1" min="2277" max="2277"/>
    <col width="12.125" customWidth="1" min="2278" max="2278"/>
    <col width="10.625" customWidth="1" min="2279" max="2279"/>
    <col width="14.375" customWidth="1" min="2280" max="2280"/>
    <col width="10.625" customWidth="1" min="2281" max="2281"/>
    <col width="13" customWidth="1" min="2282" max="2282"/>
    <col width="13.125" customWidth="1" min="2283" max="2283"/>
    <col width="10.625" customWidth="1" min="2284" max="2285"/>
    <col width="13" customWidth="1" min="2286" max="2286"/>
    <col width="10.625" customWidth="1" min="2287" max="2287"/>
    <col width="12.375" customWidth="1" min="2288" max="2288"/>
    <col width="10.625" customWidth="1" min="2289" max="2289"/>
    <col width="15" customWidth="1" min="2290" max="2290"/>
    <col width="20.375" customWidth="1" min="2291" max="2291"/>
    <col width="10.625" customWidth="1" min="2292" max="2292"/>
    <col width="11.375" customWidth="1" min="2293" max="2293"/>
    <col width="10.625" customWidth="1" min="2294" max="2294"/>
    <col width="16.125" customWidth="1" min="2295" max="2295"/>
    <col width="12.625" customWidth="1" min="2296" max="2296"/>
    <col width="17" customWidth="1" min="2297" max="2297"/>
    <col width="16.375" customWidth="1" min="2298" max="2298"/>
    <col width="20.125" customWidth="1" min="2299" max="2299"/>
    <col width="17.625" customWidth="1" min="2300" max="2300"/>
    <col width="12" customWidth="1" min="2301" max="2301"/>
    <col width="16" customWidth="1" min="2302" max="2302"/>
    <col width="5.125" customWidth="1" min="2525" max="2525"/>
    <col width="13.375" customWidth="1" min="2526" max="2526"/>
    <col width="45.75" customWidth="1" min="2527" max="2527"/>
    <col width="10.625" customWidth="1" min="2528" max="2529"/>
    <col width="13.75" customWidth="1" min="2530" max="2530"/>
    <col width="18.375" customWidth="1" min="2531" max="2531"/>
    <col width="20.625" customWidth="1" min="2532" max="2532"/>
    <col width="17.375" customWidth="1" min="2533" max="2533"/>
    <col width="12.125" customWidth="1" min="2534" max="2534"/>
    <col width="10.625" customWidth="1" min="2535" max="2535"/>
    <col width="14.375" customWidth="1" min="2536" max="2536"/>
    <col width="10.625" customWidth="1" min="2537" max="2537"/>
    <col width="13" customWidth="1" min="2538" max="2538"/>
    <col width="13.125" customWidth="1" min="2539" max="2539"/>
    <col width="10.625" customWidth="1" min="2540" max="2541"/>
    <col width="13" customWidth="1" min="2542" max="2542"/>
    <col width="10.625" customWidth="1" min="2543" max="2543"/>
    <col width="12.375" customWidth="1" min="2544" max="2544"/>
    <col width="10.625" customWidth="1" min="2545" max="2545"/>
    <col width="15" customWidth="1" min="2546" max="2546"/>
    <col width="20.375" customWidth="1" min="2547" max="2547"/>
    <col width="10.625" customWidth="1" min="2548" max="2548"/>
    <col width="11.375" customWidth="1" min="2549" max="2549"/>
    <col width="10.625" customWidth="1" min="2550" max="2550"/>
    <col width="16.125" customWidth="1" min="2551" max="2551"/>
    <col width="12.625" customWidth="1" min="2552" max="2552"/>
    <col width="17" customWidth="1" min="2553" max="2553"/>
    <col width="16.375" customWidth="1" min="2554" max="2554"/>
    <col width="20.125" customWidth="1" min="2555" max="2555"/>
    <col width="17.625" customWidth="1" min="2556" max="2556"/>
    <col width="12" customWidth="1" min="2557" max="2557"/>
    <col width="16" customWidth="1" min="2558" max="2558"/>
    <col width="5.125" customWidth="1" min="2781" max="2781"/>
    <col width="13.375" customWidth="1" min="2782" max="2782"/>
    <col width="45.75" customWidth="1" min="2783" max="2783"/>
    <col width="10.625" customWidth="1" min="2784" max="2785"/>
    <col width="13.75" customWidth="1" min="2786" max="2786"/>
    <col width="18.375" customWidth="1" min="2787" max="2787"/>
    <col width="20.625" customWidth="1" min="2788" max="2788"/>
    <col width="17.375" customWidth="1" min="2789" max="2789"/>
    <col width="12.125" customWidth="1" min="2790" max="2790"/>
    <col width="10.625" customWidth="1" min="2791" max="2791"/>
    <col width="14.375" customWidth="1" min="2792" max="2792"/>
    <col width="10.625" customWidth="1" min="2793" max="2793"/>
    <col width="13" customWidth="1" min="2794" max="2794"/>
    <col width="13.125" customWidth="1" min="2795" max="2795"/>
    <col width="10.625" customWidth="1" min="2796" max="2797"/>
    <col width="13" customWidth="1" min="2798" max="2798"/>
    <col width="10.625" customWidth="1" min="2799" max="2799"/>
    <col width="12.375" customWidth="1" min="2800" max="2800"/>
    <col width="10.625" customWidth="1" min="2801" max="2801"/>
    <col width="15" customWidth="1" min="2802" max="2802"/>
    <col width="20.375" customWidth="1" min="2803" max="2803"/>
    <col width="10.625" customWidth="1" min="2804" max="2804"/>
    <col width="11.375" customWidth="1" min="2805" max="2805"/>
    <col width="10.625" customWidth="1" min="2806" max="2806"/>
    <col width="16.125" customWidth="1" min="2807" max="2807"/>
    <col width="12.625" customWidth="1" min="2808" max="2808"/>
    <col width="17" customWidth="1" min="2809" max="2809"/>
    <col width="16.375" customWidth="1" min="2810" max="2810"/>
    <col width="20.125" customWidth="1" min="2811" max="2811"/>
    <col width="17.625" customWidth="1" min="2812" max="2812"/>
    <col width="12" customWidth="1" min="2813" max="2813"/>
    <col width="16" customWidth="1" min="2814" max="2814"/>
    <col width="5.125" customWidth="1" min="3037" max="3037"/>
    <col width="13.375" customWidth="1" min="3038" max="3038"/>
    <col width="45.75" customWidth="1" min="3039" max="3039"/>
    <col width="10.625" customWidth="1" min="3040" max="3041"/>
    <col width="13.75" customWidth="1" min="3042" max="3042"/>
    <col width="18.375" customWidth="1" min="3043" max="3043"/>
    <col width="20.625" customWidth="1" min="3044" max="3044"/>
    <col width="17.375" customWidth="1" min="3045" max="3045"/>
    <col width="12.125" customWidth="1" min="3046" max="3046"/>
    <col width="10.625" customWidth="1" min="3047" max="3047"/>
    <col width="14.375" customWidth="1" min="3048" max="3048"/>
    <col width="10.625" customWidth="1" min="3049" max="3049"/>
    <col width="13" customWidth="1" min="3050" max="3050"/>
    <col width="13.125" customWidth="1" min="3051" max="3051"/>
    <col width="10.625" customWidth="1" min="3052" max="3053"/>
    <col width="13" customWidth="1" min="3054" max="3054"/>
    <col width="10.625" customWidth="1" min="3055" max="3055"/>
    <col width="12.375" customWidth="1" min="3056" max="3056"/>
    <col width="10.625" customWidth="1" min="3057" max="3057"/>
    <col width="15" customWidth="1" min="3058" max="3058"/>
    <col width="20.375" customWidth="1" min="3059" max="3059"/>
    <col width="10.625" customWidth="1" min="3060" max="3060"/>
    <col width="11.375" customWidth="1" min="3061" max="3061"/>
    <col width="10.625" customWidth="1" min="3062" max="3062"/>
    <col width="16.125" customWidth="1" min="3063" max="3063"/>
    <col width="12.625" customWidth="1" min="3064" max="3064"/>
    <col width="17" customWidth="1" min="3065" max="3065"/>
    <col width="16.375" customWidth="1" min="3066" max="3066"/>
    <col width="20.125" customWidth="1" min="3067" max="3067"/>
    <col width="17.625" customWidth="1" min="3068" max="3068"/>
    <col width="12" customWidth="1" min="3069" max="3069"/>
    <col width="16" customWidth="1" min="3070" max="3070"/>
    <col width="5.125" customWidth="1" min="3293" max="3293"/>
    <col width="13.375" customWidth="1" min="3294" max="3294"/>
    <col width="45.75" customWidth="1" min="3295" max="3295"/>
    <col width="10.625" customWidth="1" min="3296" max="3297"/>
    <col width="13.75" customWidth="1" min="3298" max="3298"/>
    <col width="18.375" customWidth="1" min="3299" max="3299"/>
    <col width="20.625" customWidth="1" min="3300" max="3300"/>
    <col width="17.375" customWidth="1" min="3301" max="3301"/>
    <col width="12.125" customWidth="1" min="3302" max="3302"/>
    <col width="10.625" customWidth="1" min="3303" max="3303"/>
    <col width="14.375" customWidth="1" min="3304" max="3304"/>
    <col width="10.625" customWidth="1" min="3305" max="3305"/>
    <col width="13" customWidth="1" min="3306" max="3306"/>
    <col width="13.125" customWidth="1" min="3307" max="3307"/>
    <col width="10.625" customWidth="1" min="3308" max="3309"/>
    <col width="13" customWidth="1" min="3310" max="3310"/>
    <col width="10.625" customWidth="1" min="3311" max="3311"/>
    <col width="12.375" customWidth="1" min="3312" max="3312"/>
    <col width="10.625" customWidth="1" min="3313" max="3313"/>
    <col width="15" customWidth="1" min="3314" max="3314"/>
    <col width="20.375" customWidth="1" min="3315" max="3315"/>
    <col width="10.625" customWidth="1" min="3316" max="3316"/>
    <col width="11.375" customWidth="1" min="3317" max="3317"/>
    <col width="10.625" customWidth="1" min="3318" max="3318"/>
    <col width="16.125" customWidth="1" min="3319" max="3319"/>
    <col width="12.625" customWidth="1" min="3320" max="3320"/>
    <col width="17" customWidth="1" min="3321" max="3321"/>
    <col width="16.375" customWidth="1" min="3322" max="3322"/>
    <col width="20.125" customWidth="1" min="3323" max="3323"/>
    <col width="17.625" customWidth="1" min="3324" max="3324"/>
    <col width="12" customWidth="1" min="3325" max="3325"/>
    <col width="16" customWidth="1" min="3326" max="3326"/>
    <col width="5.125" customWidth="1" min="3549" max="3549"/>
    <col width="13.375" customWidth="1" min="3550" max="3550"/>
    <col width="45.75" customWidth="1" min="3551" max="3551"/>
    <col width="10.625" customWidth="1" min="3552" max="3553"/>
    <col width="13.75" customWidth="1" min="3554" max="3554"/>
    <col width="18.375" customWidth="1" min="3555" max="3555"/>
    <col width="20.625" customWidth="1" min="3556" max="3556"/>
    <col width="17.375" customWidth="1" min="3557" max="3557"/>
    <col width="12.125" customWidth="1" min="3558" max="3558"/>
    <col width="10.625" customWidth="1" min="3559" max="3559"/>
    <col width="14.375" customWidth="1" min="3560" max="3560"/>
    <col width="10.625" customWidth="1" min="3561" max="3561"/>
    <col width="13" customWidth="1" min="3562" max="3562"/>
    <col width="13.125" customWidth="1" min="3563" max="3563"/>
    <col width="10.625" customWidth="1" min="3564" max="3565"/>
    <col width="13" customWidth="1" min="3566" max="3566"/>
    <col width="10.625" customWidth="1" min="3567" max="3567"/>
    <col width="12.375" customWidth="1" min="3568" max="3568"/>
    <col width="10.625" customWidth="1" min="3569" max="3569"/>
    <col width="15" customWidth="1" min="3570" max="3570"/>
    <col width="20.375" customWidth="1" min="3571" max="3571"/>
    <col width="10.625" customWidth="1" min="3572" max="3572"/>
    <col width="11.375" customWidth="1" min="3573" max="3573"/>
    <col width="10.625" customWidth="1" min="3574" max="3574"/>
    <col width="16.125" customWidth="1" min="3575" max="3575"/>
    <col width="12.625" customWidth="1" min="3576" max="3576"/>
    <col width="17" customWidth="1" min="3577" max="3577"/>
    <col width="16.375" customWidth="1" min="3578" max="3578"/>
    <col width="20.125" customWidth="1" min="3579" max="3579"/>
    <col width="17.625" customWidth="1" min="3580" max="3580"/>
    <col width="12" customWidth="1" min="3581" max="3581"/>
    <col width="16" customWidth="1" min="3582" max="3582"/>
    <col width="5.125" customWidth="1" min="3805" max="3805"/>
    <col width="13.375" customWidth="1" min="3806" max="3806"/>
    <col width="45.75" customWidth="1" min="3807" max="3807"/>
    <col width="10.625" customWidth="1" min="3808" max="3809"/>
    <col width="13.75" customWidth="1" min="3810" max="3810"/>
    <col width="18.375" customWidth="1" min="3811" max="3811"/>
    <col width="20.625" customWidth="1" min="3812" max="3812"/>
    <col width="17.375" customWidth="1" min="3813" max="3813"/>
    <col width="12.125" customWidth="1" min="3814" max="3814"/>
    <col width="10.625" customWidth="1" min="3815" max="3815"/>
    <col width="14.375" customWidth="1" min="3816" max="3816"/>
    <col width="10.625" customWidth="1" min="3817" max="3817"/>
    <col width="13" customWidth="1" min="3818" max="3818"/>
    <col width="13.125" customWidth="1" min="3819" max="3819"/>
    <col width="10.625" customWidth="1" min="3820" max="3821"/>
    <col width="13" customWidth="1" min="3822" max="3822"/>
    <col width="10.625" customWidth="1" min="3823" max="3823"/>
    <col width="12.375" customWidth="1" min="3824" max="3824"/>
    <col width="10.625" customWidth="1" min="3825" max="3825"/>
    <col width="15" customWidth="1" min="3826" max="3826"/>
    <col width="20.375" customWidth="1" min="3827" max="3827"/>
    <col width="10.625" customWidth="1" min="3828" max="3828"/>
    <col width="11.375" customWidth="1" min="3829" max="3829"/>
    <col width="10.625" customWidth="1" min="3830" max="3830"/>
    <col width="16.125" customWidth="1" min="3831" max="3831"/>
    <col width="12.625" customWidth="1" min="3832" max="3832"/>
    <col width="17" customWidth="1" min="3833" max="3833"/>
    <col width="16.375" customWidth="1" min="3834" max="3834"/>
    <col width="20.125" customWidth="1" min="3835" max="3835"/>
    <col width="17.625" customWidth="1" min="3836" max="3836"/>
    <col width="12" customWidth="1" min="3837" max="3837"/>
    <col width="16" customWidth="1" min="3838" max="3838"/>
    <col width="5.125" customWidth="1" min="4061" max="4061"/>
    <col width="13.375" customWidth="1" min="4062" max="4062"/>
    <col width="45.75" customWidth="1" min="4063" max="4063"/>
    <col width="10.625" customWidth="1" min="4064" max="4065"/>
    <col width="13.75" customWidth="1" min="4066" max="4066"/>
    <col width="18.375" customWidth="1" min="4067" max="4067"/>
    <col width="20.625" customWidth="1" min="4068" max="4068"/>
    <col width="17.375" customWidth="1" min="4069" max="4069"/>
    <col width="12.125" customWidth="1" min="4070" max="4070"/>
    <col width="10.625" customWidth="1" min="4071" max="4071"/>
    <col width="14.375" customWidth="1" min="4072" max="4072"/>
    <col width="10.625" customWidth="1" min="4073" max="4073"/>
    <col width="13" customWidth="1" min="4074" max="4074"/>
    <col width="13.125" customWidth="1" min="4075" max="4075"/>
    <col width="10.625" customWidth="1" min="4076" max="4077"/>
    <col width="13" customWidth="1" min="4078" max="4078"/>
    <col width="10.625" customWidth="1" min="4079" max="4079"/>
    <col width="12.375" customWidth="1" min="4080" max="4080"/>
    <col width="10.625" customWidth="1" min="4081" max="4081"/>
    <col width="15" customWidth="1" min="4082" max="4082"/>
    <col width="20.375" customWidth="1" min="4083" max="4083"/>
    <col width="10.625" customWidth="1" min="4084" max="4084"/>
    <col width="11.375" customWidth="1" min="4085" max="4085"/>
    <col width="10.625" customWidth="1" min="4086" max="4086"/>
    <col width="16.125" customWidth="1" min="4087" max="4087"/>
    <col width="12.625" customWidth="1" min="4088" max="4088"/>
    <col width="17" customWidth="1" min="4089" max="4089"/>
    <col width="16.375" customWidth="1" min="4090" max="4090"/>
    <col width="20.125" customWidth="1" min="4091" max="4091"/>
    <col width="17.625" customWidth="1" min="4092" max="4092"/>
    <col width="12" customWidth="1" min="4093" max="4093"/>
    <col width="16" customWidth="1" min="4094" max="4094"/>
    <col width="5.125" customWidth="1" min="4317" max="4317"/>
    <col width="13.375" customWidth="1" min="4318" max="4318"/>
    <col width="45.75" customWidth="1" min="4319" max="4319"/>
    <col width="10.625" customWidth="1" min="4320" max="4321"/>
    <col width="13.75" customWidth="1" min="4322" max="4322"/>
    <col width="18.375" customWidth="1" min="4323" max="4323"/>
    <col width="20.625" customWidth="1" min="4324" max="4324"/>
    <col width="17.375" customWidth="1" min="4325" max="4325"/>
    <col width="12.125" customWidth="1" min="4326" max="4326"/>
    <col width="10.625" customWidth="1" min="4327" max="4327"/>
    <col width="14.375" customWidth="1" min="4328" max="4328"/>
    <col width="10.625" customWidth="1" min="4329" max="4329"/>
    <col width="13" customWidth="1" min="4330" max="4330"/>
    <col width="13.125" customWidth="1" min="4331" max="4331"/>
    <col width="10.625" customWidth="1" min="4332" max="4333"/>
    <col width="13" customWidth="1" min="4334" max="4334"/>
    <col width="10.625" customWidth="1" min="4335" max="4335"/>
    <col width="12.375" customWidth="1" min="4336" max="4336"/>
    <col width="10.625" customWidth="1" min="4337" max="4337"/>
    <col width="15" customWidth="1" min="4338" max="4338"/>
    <col width="20.375" customWidth="1" min="4339" max="4339"/>
    <col width="10.625" customWidth="1" min="4340" max="4340"/>
    <col width="11.375" customWidth="1" min="4341" max="4341"/>
    <col width="10.625" customWidth="1" min="4342" max="4342"/>
    <col width="16.125" customWidth="1" min="4343" max="4343"/>
    <col width="12.625" customWidth="1" min="4344" max="4344"/>
    <col width="17" customWidth="1" min="4345" max="4345"/>
    <col width="16.375" customWidth="1" min="4346" max="4346"/>
    <col width="20.125" customWidth="1" min="4347" max="4347"/>
    <col width="17.625" customWidth="1" min="4348" max="4348"/>
    <col width="12" customWidth="1" min="4349" max="4349"/>
    <col width="16" customWidth="1" min="4350" max="4350"/>
    <col width="5.125" customWidth="1" min="4573" max="4573"/>
    <col width="13.375" customWidth="1" min="4574" max="4574"/>
    <col width="45.75" customWidth="1" min="4575" max="4575"/>
    <col width="10.625" customWidth="1" min="4576" max="4577"/>
    <col width="13.75" customWidth="1" min="4578" max="4578"/>
    <col width="18.375" customWidth="1" min="4579" max="4579"/>
    <col width="20.625" customWidth="1" min="4580" max="4580"/>
    <col width="17.375" customWidth="1" min="4581" max="4581"/>
    <col width="12.125" customWidth="1" min="4582" max="4582"/>
    <col width="10.625" customWidth="1" min="4583" max="4583"/>
    <col width="14.375" customWidth="1" min="4584" max="4584"/>
    <col width="10.625" customWidth="1" min="4585" max="4585"/>
    <col width="13" customWidth="1" min="4586" max="4586"/>
    <col width="13.125" customWidth="1" min="4587" max="4587"/>
    <col width="10.625" customWidth="1" min="4588" max="4589"/>
    <col width="13" customWidth="1" min="4590" max="4590"/>
    <col width="10.625" customWidth="1" min="4591" max="4591"/>
    <col width="12.375" customWidth="1" min="4592" max="4592"/>
    <col width="10.625" customWidth="1" min="4593" max="4593"/>
    <col width="15" customWidth="1" min="4594" max="4594"/>
    <col width="20.375" customWidth="1" min="4595" max="4595"/>
    <col width="10.625" customWidth="1" min="4596" max="4596"/>
    <col width="11.375" customWidth="1" min="4597" max="4597"/>
    <col width="10.625" customWidth="1" min="4598" max="4598"/>
    <col width="16.125" customWidth="1" min="4599" max="4599"/>
    <col width="12.625" customWidth="1" min="4600" max="4600"/>
    <col width="17" customWidth="1" min="4601" max="4601"/>
    <col width="16.375" customWidth="1" min="4602" max="4602"/>
    <col width="20.125" customWidth="1" min="4603" max="4603"/>
    <col width="17.625" customWidth="1" min="4604" max="4604"/>
    <col width="12" customWidth="1" min="4605" max="4605"/>
    <col width="16" customWidth="1" min="4606" max="4606"/>
    <col width="5.125" customWidth="1" min="4829" max="4829"/>
    <col width="13.375" customWidth="1" min="4830" max="4830"/>
    <col width="45.75" customWidth="1" min="4831" max="4831"/>
    <col width="10.625" customWidth="1" min="4832" max="4833"/>
    <col width="13.75" customWidth="1" min="4834" max="4834"/>
    <col width="18.375" customWidth="1" min="4835" max="4835"/>
    <col width="20.625" customWidth="1" min="4836" max="4836"/>
    <col width="17.375" customWidth="1" min="4837" max="4837"/>
    <col width="12.125" customWidth="1" min="4838" max="4838"/>
    <col width="10.625" customWidth="1" min="4839" max="4839"/>
    <col width="14.375" customWidth="1" min="4840" max="4840"/>
    <col width="10.625" customWidth="1" min="4841" max="4841"/>
    <col width="13" customWidth="1" min="4842" max="4842"/>
    <col width="13.125" customWidth="1" min="4843" max="4843"/>
    <col width="10.625" customWidth="1" min="4844" max="4845"/>
    <col width="13" customWidth="1" min="4846" max="4846"/>
    <col width="10.625" customWidth="1" min="4847" max="4847"/>
    <col width="12.375" customWidth="1" min="4848" max="4848"/>
    <col width="10.625" customWidth="1" min="4849" max="4849"/>
    <col width="15" customWidth="1" min="4850" max="4850"/>
    <col width="20.375" customWidth="1" min="4851" max="4851"/>
    <col width="10.625" customWidth="1" min="4852" max="4852"/>
    <col width="11.375" customWidth="1" min="4853" max="4853"/>
    <col width="10.625" customWidth="1" min="4854" max="4854"/>
    <col width="16.125" customWidth="1" min="4855" max="4855"/>
    <col width="12.625" customWidth="1" min="4856" max="4856"/>
    <col width="17" customWidth="1" min="4857" max="4857"/>
    <col width="16.375" customWidth="1" min="4858" max="4858"/>
    <col width="20.125" customWidth="1" min="4859" max="4859"/>
    <col width="17.625" customWidth="1" min="4860" max="4860"/>
    <col width="12" customWidth="1" min="4861" max="4861"/>
    <col width="16" customWidth="1" min="4862" max="4862"/>
    <col width="5.125" customWidth="1" min="5085" max="5085"/>
    <col width="13.375" customWidth="1" min="5086" max="5086"/>
    <col width="45.75" customWidth="1" min="5087" max="5087"/>
    <col width="10.625" customWidth="1" min="5088" max="5089"/>
    <col width="13.75" customWidth="1" min="5090" max="5090"/>
    <col width="18.375" customWidth="1" min="5091" max="5091"/>
    <col width="20.625" customWidth="1" min="5092" max="5092"/>
    <col width="17.375" customWidth="1" min="5093" max="5093"/>
    <col width="12.125" customWidth="1" min="5094" max="5094"/>
    <col width="10.625" customWidth="1" min="5095" max="5095"/>
    <col width="14.375" customWidth="1" min="5096" max="5096"/>
    <col width="10.625" customWidth="1" min="5097" max="5097"/>
    <col width="13" customWidth="1" min="5098" max="5098"/>
    <col width="13.125" customWidth="1" min="5099" max="5099"/>
    <col width="10.625" customWidth="1" min="5100" max="5101"/>
    <col width="13" customWidth="1" min="5102" max="5102"/>
    <col width="10.625" customWidth="1" min="5103" max="5103"/>
    <col width="12.375" customWidth="1" min="5104" max="5104"/>
    <col width="10.625" customWidth="1" min="5105" max="5105"/>
    <col width="15" customWidth="1" min="5106" max="5106"/>
    <col width="20.375" customWidth="1" min="5107" max="5107"/>
    <col width="10.625" customWidth="1" min="5108" max="5108"/>
    <col width="11.375" customWidth="1" min="5109" max="5109"/>
    <col width="10.625" customWidth="1" min="5110" max="5110"/>
    <col width="16.125" customWidth="1" min="5111" max="5111"/>
    <col width="12.625" customWidth="1" min="5112" max="5112"/>
    <col width="17" customWidth="1" min="5113" max="5113"/>
    <col width="16.375" customWidth="1" min="5114" max="5114"/>
    <col width="20.125" customWidth="1" min="5115" max="5115"/>
    <col width="17.625" customWidth="1" min="5116" max="5116"/>
    <col width="12" customWidth="1" min="5117" max="5117"/>
    <col width="16" customWidth="1" min="5118" max="5118"/>
    <col width="5.125" customWidth="1" min="5341" max="5341"/>
    <col width="13.375" customWidth="1" min="5342" max="5342"/>
    <col width="45.75" customWidth="1" min="5343" max="5343"/>
    <col width="10.625" customWidth="1" min="5344" max="5345"/>
    <col width="13.75" customWidth="1" min="5346" max="5346"/>
    <col width="18.375" customWidth="1" min="5347" max="5347"/>
    <col width="20.625" customWidth="1" min="5348" max="5348"/>
    <col width="17.375" customWidth="1" min="5349" max="5349"/>
    <col width="12.125" customWidth="1" min="5350" max="5350"/>
    <col width="10.625" customWidth="1" min="5351" max="5351"/>
    <col width="14.375" customWidth="1" min="5352" max="5352"/>
    <col width="10.625" customWidth="1" min="5353" max="5353"/>
    <col width="13" customWidth="1" min="5354" max="5354"/>
    <col width="13.125" customWidth="1" min="5355" max="5355"/>
    <col width="10.625" customWidth="1" min="5356" max="5357"/>
    <col width="13" customWidth="1" min="5358" max="5358"/>
    <col width="10.625" customWidth="1" min="5359" max="5359"/>
    <col width="12.375" customWidth="1" min="5360" max="5360"/>
    <col width="10.625" customWidth="1" min="5361" max="5361"/>
    <col width="15" customWidth="1" min="5362" max="5362"/>
    <col width="20.375" customWidth="1" min="5363" max="5363"/>
    <col width="10.625" customWidth="1" min="5364" max="5364"/>
    <col width="11.375" customWidth="1" min="5365" max="5365"/>
    <col width="10.625" customWidth="1" min="5366" max="5366"/>
    <col width="16.125" customWidth="1" min="5367" max="5367"/>
    <col width="12.625" customWidth="1" min="5368" max="5368"/>
    <col width="17" customWidth="1" min="5369" max="5369"/>
    <col width="16.375" customWidth="1" min="5370" max="5370"/>
    <col width="20.125" customWidth="1" min="5371" max="5371"/>
    <col width="17.625" customWidth="1" min="5372" max="5372"/>
    <col width="12" customWidth="1" min="5373" max="5373"/>
    <col width="16" customWidth="1" min="5374" max="5374"/>
    <col width="5.125" customWidth="1" min="5597" max="5597"/>
    <col width="13.375" customWidth="1" min="5598" max="5598"/>
    <col width="45.75" customWidth="1" min="5599" max="5599"/>
    <col width="10.625" customWidth="1" min="5600" max="5601"/>
    <col width="13.75" customWidth="1" min="5602" max="5602"/>
    <col width="18.375" customWidth="1" min="5603" max="5603"/>
    <col width="20.625" customWidth="1" min="5604" max="5604"/>
    <col width="17.375" customWidth="1" min="5605" max="5605"/>
    <col width="12.125" customWidth="1" min="5606" max="5606"/>
    <col width="10.625" customWidth="1" min="5607" max="5607"/>
    <col width="14.375" customWidth="1" min="5608" max="5608"/>
    <col width="10.625" customWidth="1" min="5609" max="5609"/>
    <col width="13" customWidth="1" min="5610" max="5610"/>
    <col width="13.125" customWidth="1" min="5611" max="5611"/>
    <col width="10.625" customWidth="1" min="5612" max="5613"/>
    <col width="13" customWidth="1" min="5614" max="5614"/>
    <col width="10.625" customWidth="1" min="5615" max="5615"/>
    <col width="12.375" customWidth="1" min="5616" max="5616"/>
    <col width="10.625" customWidth="1" min="5617" max="5617"/>
    <col width="15" customWidth="1" min="5618" max="5618"/>
    <col width="20.375" customWidth="1" min="5619" max="5619"/>
    <col width="10.625" customWidth="1" min="5620" max="5620"/>
    <col width="11.375" customWidth="1" min="5621" max="5621"/>
    <col width="10.625" customWidth="1" min="5622" max="5622"/>
    <col width="16.125" customWidth="1" min="5623" max="5623"/>
    <col width="12.625" customWidth="1" min="5624" max="5624"/>
    <col width="17" customWidth="1" min="5625" max="5625"/>
    <col width="16.375" customWidth="1" min="5626" max="5626"/>
    <col width="20.125" customWidth="1" min="5627" max="5627"/>
    <col width="17.625" customWidth="1" min="5628" max="5628"/>
    <col width="12" customWidth="1" min="5629" max="5629"/>
    <col width="16" customWidth="1" min="5630" max="5630"/>
    <col width="5.125" customWidth="1" min="5853" max="5853"/>
    <col width="13.375" customWidth="1" min="5854" max="5854"/>
    <col width="45.75" customWidth="1" min="5855" max="5855"/>
    <col width="10.625" customWidth="1" min="5856" max="5857"/>
    <col width="13.75" customWidth="1" min="5858" max="5858"/>
    <col width="18.375" customWidth="1" min="5859" max="5859"/>
    <col width="20.625" customWidth="1" min="5860" max="5860"/>
    <col width="17.375" customWidth="1" min="5861" max="5861"/>
    <col width="12.125" customWidth="1" min="5862" max="5862"/>
    <col width="10.625" customWidth="1" min="5863" max="5863"/>
    <col width="14.375" customWidth="1" min="5864" max="5864"/>
    <col width="10.625" customWidth="1" min="5865" max="5865"/>
    <col width="13" customWidth="1" min="5866" max="5866"/>
    <col width="13.125" customWidth="1" min="5867" max="5867"/>
    <col width="10.625" customWidth="1" min="5868" max="5869"/>
    <col width="13" customWidth="1" min="5870" max="5870"/>
    <col width="10.625" customWidth="1" min="5871" max="5871"/>
    <col width="12.375" customWidth="1" min="5872" max="5872"/>
    <col width="10.625" customWidth="1" min="5873" max="5873"/>
    <col width="15" customWidth="1" min="5874" max="5874"/>
    <col width="20.375" customWidth="1" min="5875" max="5875"/>
    <col width="10.625" customWidth="1" min="5876" max="5876"/>
    <col width="11.375" customWidth="1" min="5877" max="5877"/>
    <col width="10.625" customWidth="1" min="5878" max="5878"/>
    <col width="16.125" customWidth="1" min="5879" max="5879"/>
    <col width="12.625" customWidth="1" min="5880" max="5880"/>
    <col width="17" customWidth="1" min="5881" max="5881"/>
    <col width="16.375" customWidth="1" min="5882" max="5882"/>
    <col width="20.125" customWidth="1" min="5883" max="5883"/>
    <col width="17.625" customWidth="1" min="5884" max="5884"/>
    <col width="12" customWidth="1" min="5885" max="5885"/>
    <col width="16" customWidth="1" min="5886" max="5886"/>
    <col width="5.125" customWidth="1" min="6109" max="6109"/>
    <col width="13.375" customWidth="1" min="6110" max="6110"/>
    <col width="45.75" customWidth="1" min="6111" max="6111"/>
    <col width="10.625" customWidth="1" min="6112" max="6113"/>
    <col width="13.75" customWidth="1" min="6114" max="6114"/>
    <col width="18.375" customWidth="1" min="6115" max="6115"/>
    <col width="20.625" customWidth="1" min="6116" max="6116"/>
    <col width="17.375" customWidth="1" min="6117" max="6117"/>
    <col width="12.125" customWidth="1" min="6118" max="6118"/>
    <col width="10.625" customWidth="1" min="6119" max="6119"/>
    <col width="14.375" customWidth="1" min="6120" max="6120"/>
    <col width="10.625" customWidth="1" min="6121" max="6121"/>
    <col width="13" customWidth="1" min="6122" max="6122"/>
    <col width="13.125" customWidth="1" min="6123" max="6123"/>
    <col width="10.625" customWidth="1" min="6124" max="6125"/>
    <col width="13" customWidth="1" min="6126" max="6126"/>
    <col width="10.625" customWidth="1" min="6127" max="6127"/>
    <col width="12.375" customWidth="1" min="6128" max="6128"/>
    <col width="10.625" customWidth="1" min="6129" max="6129"/>
    <col width="15" customWidth="1" min="6130" max="6130"/>
    <col width="20.375" customWidth="1" min="6131" max="6131"/>
    <col width="10.625" customWidth="1" min="6132" max="6132"/>
    <col width="11.375" customWidth="1" min="6133" max="6133"/>
    <col width="10.625" customWidth="1" min="6134" max="6134"/>
    <col width="16.125" customWidth="1" min="6135" max="6135"/>
    <col width="12.625" customWidth="1" min="6136" max="6136"/>
    <col width="17" customWidth="1" min="6137" max="6137"/>
    <col width="16.375" customWidth="1" min="6138" max="6138"/>
    <col width="20.125" customWidth="1" min="6139" max="6139"/>
    <col width="17.625" customWidth="1" min="6140" max="6140"/>
    <col width="12" customWidth="1" min="6141" max="6141"/>
    <col width="16" customWidth="1" min="6142" max="6142"/>
    <col width="5.125" customWidth="1" min="6365" max="6365"/>
    <col width="13.375" customWidth="1" min="6366" max="6366"/>
    <col width="45.75" customWidth="1" min="6367" max="6367"/>
    <col width="10.625" customWidth="1" min="6368" max="6369"/>
    <col width="13.75" customWidth="1" min="6370" max="6370"/>
    <col width="18.375" customWidth="1" min="6371" max="6371"/>
    <col width="20.625" customWidth="1" min="6372" max="6372"/>
    <col width="17.375" customWidth="1" min="6373" max="6373"/>
    <col width="12.125" customWidth="1" min="6374" max="6374"/>
    <col width="10.625" customWidth="1" min="6375" max="6375"/>
    <col width="14.375" customWidth="1" min="6376" max="6376"/>
    <col width="10.625" customWidth="1" min="6377" max="6377"/>
    <col width="13" customWidth="1" min="6378" max="6378"/>
    <col width="13.125" customWidth="1" min="6379" max="6379"/>
    <col width="10.625" customWidth="1" min="6380" max="6381"/>
    <col width="13" customWidth="1" min="6382" max="6382"/>
    <col width="10.625" customWidth="1" min="6383" max="6383"/>
    <col width="12.375" customWidth="1" min="6384" max="6384"/>
    <col width="10.625" customWidth="1" min="6385" max="6385"/>
    <col width="15" customWidth="1" min="6386" max="6386"/>
    <col width="20.375" customWidth="1" min="6387" max="6387"/>
    <col width="10.625" customWidth="1" min="6388" max="6388"/>
    <col width="11.375" customWidth="1" min="6389" max="6389"/>
    <col width="10.625" customWidth="1" min="6390" max="6390"/>
    <col width="16.125" customWidth="1" min="6391" max="6391"/>
    <col width="12.625" customWidth="1" min="6392" max="6392"/>
    <col width="17" customWidth="1" min="6393" max="6393"/>
    <col width="16.375" customWidth="1" min="6394" max="6394"/>
    <col width="20.125" customWidth="1" min="6395" max="6395"/>
    <col width="17.625" customWidth="1" min="6396" max="6396"/>
    <col width="12" customWidth="1" min="6397" max="6397"/>
    <col width="16" customWidth="1" min="6398" max="6398"/>
    <col width="5.125" customWidth="1" min="6621" max="6621"/>
    <col width="13.375" customWidth="1" min="6622" max="6622"/>
    <col width="45.75" customWidth="1" min="6623" max="6623"/>
    <col width="10.625" customWidth="1" min="6624" max="6625"/>
    <col width="13.75" customWidth="1" min="6626" max="6626"/>
    <col width="18.375" customWidth="1" min="6627" max="6627"/>
    <col width="20.625" customWidth="1" min="6628" max="6628"/>
    <col width="17.375" customWidth="1" min="6629" max="6629"/>
    <col width="12.125" customWidth="1" min="6630" max="6630"/>
    <col width="10.625" customWidth="1" min="6631" max="6631"/>
    <col width="14.375" customWidth="1" min="6632" max="6632"/>
    <col width="10.625" customWidth="1" min="6633" max="6633"/>
    <col width="13" customWidth="1" min="6634" max="6634"/>
    <col width="13.125" customWidth="1" min="6635" max="6635"/>
    <col width="10.625" customWidth="1" min="6636" max="6637"/>
    <col width="13" customWidth="1" min="6638" max="6638"/>
    <col width="10.625" customWidth="1" min="6639" max="6639"/>
    <col width="12.375" customWidth="1" min="6640" max="6640"/>
    <col width="10.625" customWidth="1" min="6641" max="6641"/>
    <col width="15" customWidth="1" min="6642" max="6642"/>
    <col width="20.375" customWidth="1" min="6643" max="6643"/>
    <col width="10.625" customWidth="1" min="6644" max="6644"/>
    <col width="11.375" customWidth="1" min="6645" max="6645"/>
    <col width="10.625" customWidth="1" min="6646" max="6646"/>
    <col width="16.125" customWidth="1" min="6647" max="6647"/>
    <col width="12.625" customWidth="1" min="6648" max="6648"/>
    <col width="17" customWidth="1" min="6649" max="6649"/>
    <col width="16.375" customWidth="1" min="6650" max="6650"/>
    <col width="20.125" customWidth="1" min="6651" max="6651"/>
    <col width="17.625" customWidth="1" min="6652" max="6652"/>
    <col width="12" customWidth="1" min="6653" max="6653"/>
    <col width="16" customWidth="1" min="6654" max="6654"/>
    <col width="5.125" customWidth="1" min="6877" max="6877"/>
    <col width="13.375" customWidth="1" min="6878" max="6878"/>
    <col width="45.75" customWidth="1" min="6879" max="6879"/>
    <col width="10.625" customWidth="1" min="6880" max="6881"/>
    <col width="13.75" customWidth="1" min="6882" max="6882"/>
    <col width="18.375" customWidth="1" min="6883" max="6883"/>
    <col width="20.625" customWidth="1" min="6884" max="6884"/>
    <col width="17.375" customWidth="1" min="6885" max="6885"/>
    <col width="12.125" customWidth="1" min="6886" max="6886"/>
    <col width="10.625" customWidth="1" min="6887" max="6887"/>
    <col width="14.375" customWidth="1" min="6888" max="6888"/>
    <col width="10.625" customWidth="1" min="6889" max="6889"/>
    <col width="13" customWidth="1" min="6890" max="6890"/>
    <col width="13.125" customWidth="1" min="6891" max="6891"/>
    <col width="10.625" customWidth="1" min="6892" max="6893"/>
    <col width="13" customWidth="1" min="6894" max="6894"/>
    <col width="10.625" customWidth="1" min="6895" max="6895"/>
    <col width="12.375" customWidth="1" min="6896" max="6896"/>
    <col width="10.625" customWidth="1" min="6897" max="6897"/>
    <col width="15" customWidth="1" min="6898" max="6898"/>
    <col width="20.375" customWidth="1" min="6899" max="6899"/>
    <col width="10.625" customWidth="1" min="6900" max="6900"/>
    <col width="11.375" customWidth="1" min="6901" max="6901"/>
    <col width="10.625" customWidth="1" min="6902" max="6902"/>
    <col width="16.125" customWidth="1" min="6903" max="6903"/>
    <col width="12.625" customWidth="1" min="6904" max="6904"/>
    <col width="17" customWidth="1" min="6905" max="6905"/>
    <col width="16.375" customWidth="1" min="6906" max="6906"/>
    <col width="20.125" customWidth="1" min="6907" max="6907"/>
    <col width="17.625" customWidth="1" min="6908" max="6908"/>
    <col width="12" customWidth="1" min="6909" max="6909"/>
    <col width="16" customWidth="1" min="6910" max="6910"/>
    <col width="5.125" customWidth="1" min="7133" max="7133"/>
    <col width="13.375" customWidth="1" min="7134" max="7134"/>
    <col width="45.75" customWidth="1" min="7135" max="7135"/>
    <col width="10.625" customWidth="1" min="7136" max="7137"/>
    <col width="13.75" customWidth="1" min="7138" max="7138"/>
    <col width="18.375" customWidth="1" min="7139" max="7139"/>
    <col width="20.625" customWidth="1" min="7140" max="7140"/>
    <col width="17.375" customWidth="1" min="7141" max="7141"/>
    <col width="12.125" customWidth="1" min="7142" max="7142"/>
    <col width="10.625" customWidth="1" min="7143" max="7143"/>
    <col width="14.375" customWidth="1" min="7144" max="7144"/>
    <col width="10.625" customWidth="1" min="7145" max="7145"/>
    <col width="13" customWidth="1" min="7146" max="7146"/>
    <col width="13.125" customWidth="1" min="7147" max="7147"/>
    <col width="10.625" customWidth="1" min="7148" max="7149"/>
    <col width="13" customWidth="1" min="7150" max="7150"/>
    <col width="10.625" customWidth="1" min="7151" max="7151"/>
    <col width="12.375" customWidth="1" min="7152" max="7152"/>
    <col width="10.625" customWidth="1" min="7153" max="7153"/>
    <col width="15" customWidth="1" min="7154" max="7154"/>
    <col width="20.375" customWidth="1" min="7155" max="7155"/>
    <col width="10.625" customWidth="1" min="7156" max="7156"/>
    <col width="11.375" customWidth="1" min="7157" max="7157"/>
    <col width="10.625" customWidth="1" min="7158" max="7158"/>
    <col width="16.125" customWidth="1" min="7159" max="7159"/>
    <col width="12.625" customWidth="1" min="7160" max="7160"/>
    <col width="17" customWidth="1" min="7161" max="7161"/>
    <col width="16.375" customWidth="1" min="7162" max="7162"/>
    <col width="20.125" customWidth="1" min="7163" max="7163"/>
    <col width="17.625" customWidth="1" min="7164" max="7164"/>
    <col width="12" customWidth="1" min="7165" max="7165"/>
    <col width="16" customWidth="1" min="7166" max="7166"/>
    <col width="5.125" customWidth="1" min="7389" max="7389"/>
    <col width="13.375" customWidth="1" min="7390" max="7390"/>
    <col width="45.75" customWidth="1" min="7391" max="7391"/>
    <col width="10.625" customWidth="1" min="7392" max="7393"/>
    <col width="13.75" customWidth="1" min="7394" max="7394"/>
    <col width="18.375" customWidth="1" min="7395" max="7395"/>
    <col width="20.625" customWidth="1" min="7396" max="7396"/>
    <col width="17.375" customWidth="1" min="7397" max="7397"/>
    <col width="12.125" customWidth="1" min="7398" max="7398"/>
    <col width="10.625" customWidth="1" min="7399" max="7399"/>
    <col width="14.375" customWidth="1" min="7400" max="7400"/>
    <col width="10.625" customWidth="1" min="7401" max="7401"/>
    <col width="13" customWidth="1" min="7402" max="7402"/>
    <col width="13.125" customWidth="1" min="7403" max="7403"/>
    <col width="10.625" customWidth="1" min="7404" max="7405"/>
    <col width="13" customWidth="1" min="7406" max="7406"/>
    <col width="10.625" customWidth="1" min="7407" max="7407"/>
    <col width="12.375" customWidth="1" min="7408" max="7408"/>
    <col width="10.625" customWidth="1" min="7409" max="7409"/>
    <col width="15" customWidth="1" min="7410" max="7410"/>
    <col width="20.375" customWidth="1" min="7411" max="7411"/>
    <col width="10.625" customWidth="1" min="7412" max="7412"/>
    <col width="11.375" customWidth="1" min="7413" max="7413"/>
    <col width="10.625" customWidth="1" min="7414" max="7414"/>
    <col width="16.125" customWidth="1" min="7415" max="7415"/>
    <col width="12.625" customWidth="1" min="7416" max="7416"/>
    <col width="17" customWidth="1" min="7417" max="7417"/>
    <col width="16.375" customWidth="1" min="7418" max="7418"/>
    <col width="20.125" customWidth="1" min="7419" max="7419"/>
    <col width="17.625" customWidth="1" min="7420" max="7420"/>
    <col width="12" customWidth="1" min="7421" max="7421"/>
    <col width="16" customWidth="1" min="7422" max="7422"/>
    <col width="5.125" customWidth="1" min="7645" max="7645"/>
    <col width="13.375" customWidth="1" min="7646" max="7646"/>
    <col width="45.75" customWidth="1" min="7647" max="7647"/>
    <col width="10.625" customWidth="1" min="7648" max="7649"/>
    <col width="13.75" customWidth="1" min="7650" max="7650"/>
    <col width="18.375" customWidth="1" min="7651" max="7651"/>
    <col width="20.625" customWidth="1" min="7652" max="7652"/>
    <col width="17.375" customWidth="1" min="7653" max="7653"/>
    <col width="12.125" customWidth="1" min="7654" max="7654"/>
    <col width="10.625" customWidth="1" min="7655" max="7655"/>
    <col width="14.375" customWidth="1" min="7656" max="7656"/>
    <col width="10.625" customWidth="1" min="7657" max="7657"/>
    <col width="13" customWidth="1" min="7658" max="7658"/>
    <col width="13.125" customWidth="1" min="7659" max="7659"/>
    <col width="10.625" customWidth="1" min="7660" max="7661"/>
    <col width="13" customWidth="1" min="7662" max="7662"/>
    <col width="10.625" customWidth="1" min="7663" max="7663"/>
    <col width="12.375" customWidth="1" min="7664" max="7664"/>
    <col width="10.625" customWidth="1" min="7665" max="7665"/>
    <col width="15" customWidth="1" min="7666" max="7666"/>
    <col width="20.375" customWidth="1" min="7667" max="7667"/>
    <col width="10.625" customWidth="1" min="7668" max="7668"/>
    <col width="11.375" customWidth="1" min="7669" max="7669"/>
    <col width="10.625" customWidth="1" min="7670" max="7670"/>
    <col width="16.125" customWidth="1" min="7671" max="7671"/>
    <col width="12.625" customWidth="1" min="7672" max="7672"/>
    <col width="17" customWidth="1" min="7673" max="7673"/>
    <col width="16.375" customWidth="1" min="7674" max="7674"/>
    <col width="20.125" customWidth="1" min="7675" max="7675"/>
    <col width="17.625" customWidth="1" min="7676" max="7676"/>
    <col width="12" customWidth="1" min="7677" max="7677"/>
    <col width="16" customWidth="1" min="7678" max="7678"/>
    <col width="5.125" customWidth="1" min="7901" max="7901"/>
    <col width="13.375" customWidth="1" min="7902" max="7902"/>
    <col width="45.75" customWidth="1" min="7903" max="7903"/>
    <col width="10.625" customWidth="1" min="7904" max="7905"/>
    <col width="13.75" customWidth="1" min="7906" max="7906"/>
    <col width="18.375" customWidth="1" min="7907" max="7907"/>
    <col width="20.625" customWidth="1" min="7908" max="7908"/>
    <col width="17.375" customWidth="1" min="7909" max="7909"/>
    <col width="12.125" customWidth="1" min="7910" max="7910"/>
    <col width="10.625" customWidth="1" min="7911" max="7911"/>
    <col width="14.375" customWidth="1" min="7912" max="7912"/>
    <col width="10.625" customWidth="1" min="7913" max="7913"/>
    <col width="13" customWidth="1" min="7914" max="7914"/>
    <col width="13.125" customWidth="1" min="7915" max="7915"/>
    <col width="10.625" customWidth="1" min="7916" max="7917"/>
    <col width="13" customWidth="1" min="7918" max="7918"/>
    <col width="10.625" customWidth="1" min="7919" max="7919"/>
    <col width="12.375" customWidth="1" min="7920" max="7920"/>
    <col width="10.625" customWidth="1" min="7921" max="7921"/>
    <col width="15" customWidth="1" min="7922" max="7922"/>
    <col width="20.375" customWidth="1" min="7923" max="7923"/>
    <col width="10.625" customWidth="1" min="7924" max="7924"/>
    <col width="11.375" customWidth="1" min="7925" max="7925"/>
    <col width="10.625" customWidth="1" min="7926" max="7926"/>
    <col width="16.125" customWidth="1" min="7927" max="7927"/>
    <col width="12.625" customWidth="1" min="7928" max="7928"/>
    <col width="17" customWidth="1" min="7929" max="7929"/>
    <col width="16.375" customWidth="1" min="7930" max="7930"/>
    <col width="20.125" customWidth="1" min="7931" max="7931"/>
    <col width="17.625" customWidth="1" min="7932" max="7932"/>
    <col width="12" customWidth="1" min="7933" max="7933"/>
    <col width="16" customWidth="1" min="7934" max="7934"/>
    <col width="5.125" customWidth="1" min="8157" max="8157"/>
    <col width="13.375" customWidth="1" min="8158" max="8158"/>
    <col width="45.75" customWidth="1" min="8159" max="8159"/>
    <col width="10.625" customWidth="1" min="8160" max="8161"/>
    <col width="13.75" customWidth="1" min="8162" max="8162"/>
    <col width="18.375" customWidth="1" min="8163" max="8163"/>
    <col width="20.625" customWidth="1" min="8164" max="8164"/>
    <col width="17.375" customWidth="1" min="8165" max="8165"/>
    <col width="12.125" customWidth="1" min="8166" max="8166"/>
    <col width="10.625" customWidth="1" min="8167" max="8167"/>
    <col width="14.375" customWidth="1" min="8168" max="8168"/>
    <col width="10.625" customWidth="1" min="8169" max="8169"/>
    <col width="13" customWidth="1" min="8170" max="8170"/>
    <col width="13.125" customWidth="1" min="8171" max="8171"/>
    <col width="10.625" customWidth="1" min="8172" max="8173"/>
    <col width="13" customWidth="1" min="8174" max="8174"/>
    <col width="10.625" customWidth="1" min="8175" max="8175"/>
    <col width="12.375" customWidth="1" min="8176" max="8176"/>
    <col width="10.625" customWidth="1" min="8177" max="8177"/>
    <col width="15" customWidth="1" min="8178" max="8178"/>
    <col width="20.375" customWidth="1" min="8179" max="8179"/>
    <col width="10.625" customWidth="1" min="8180" max="8180"/>
    <col width="11.375" customWidth="1" min="8181" max="8181"/>
    <col width="10.625" customWidth="1" min="8182" max="8182"/>
    <col width="16.125" customWidth="1" min="8183" max="8183"/>
    <col width="12.625" customWidth="1" min="8184" max="8184"/>
    <col width="17" customWidth="1" min="8185" max="8185"/>
    <col width="16.375" customWidth="1" min="8186" max="8186"/>
    <col width="20.125" customWidth="1" min="8187" max="8187"/>
    <col width="17.625" customWidth="1" min="8188" max="8188"/>
    <col width="12" customWidth="1" min="8189" max="8189"/>
    <col width="16" customWidth="1" min="8190" max="8190"/>
    <col width="5.125" customWidth="1" min="8413" max="8413"/>
    <col width="13.375" customWidth="1" min="8414" max="8414"/>
    <col width="45.75" customWidth="1" min="8415" max="8415"/>
    <col width="10.625" customWidth="1" min="8416" max="8417"/>
    <col width="13.75" customWidth="1" min="8418" max="8418"/>
    <col width="18.375" customWidth="1" min="8419" max="8419"/>
    <col width="20.625" customWidth="1" min="8420" max="8420"/>
    <col width="17.375" customWidth="1" min="8421" max="8421"/>
    <col width="12.125" customWidth="1" min="8422" max="8422"/>
    <col width="10.625" customWidth="1" min="8423" max="8423"/>
    <col width="14.375" customWidth="1" min="8424" max="8424"/>
    <col width="10.625" customWidth="1" min="8425" max="8425"/>
    <col width="13" customWidth="1" min="8426" max="8426"/>
    <col width="13.125" customWidth="1" min="8427" max="8427"/>
    <col width="10.625" customWidth="1" min="8428" max="8429"/>
    <col width="13" customWidth="1" min="8430" max="8430"/>
    <col width="10.625" customWidth="1" min="8431" max="8431"/>
    <col width="12.375" customWidth="1" min="8432" max="8432"/>
    <col width="10.625" customWidth="1" min="8433" max="8433"/>
    <col width="15" customWidth="1" min="8434" max="8434"/>
    <col width="20.375" customWidth="1" min="8435" max="8435"/>
    <col width="10.625" customWidth="1" min="8436" max="8436"/>
    <col width="11.375" customWidth="1" min="8437" max="8437"/>
    <col width="10.625" customWidth="1" min="8438" max="8438"/>
    <col width="16.125" customWidth="1" min="8439" max="8439"/>
    <col width="12.625" customWidth="1" min="8440" max="8440"/>
    <col width="17" customWidth="1" min="8441" max="8441"/>
    <col width="16.375" customWidth="1" min="8442" max="8442"/>
    <col width="20.125" customWidth="1" min="8443" max="8443"/>
    <col width="17.625" customWidth="1" min="8444" max="8444"/>
    <col width="12" customWidth="1" min="8445" max="8445"/>
    <col width="16" customWidth="1" min="8446" max="8446"/>
    <col width="5.125" customWidth="1" min="8669" max="8669"/>
    <col width="13.375" customWidth="1" min="8670" max="8670"/>
    <col width="45.75" customWidth="1" min="8671" max="8671"/>
    <col width="10.625" customWidth="1" min="8672" max="8673"/>
    <col width="13.75" customWidth="1" min="8674" max="8674"/>
    <col width="18.375" customWidth="1" min="8675" max="8675"/>
    <col width="20.625" customWidth="1" min="8676" max="8676"/>
    <col width="17.375" customWidth="1" min="8677" max="8677"/>
    <col width="12.125" customWidth="1" min="8678" max="8678"/>
    <col width="10.625" customWidth="1" min="8679" max="8679"/>
    <col width="14.375" customWidth="1" min="8680" max="8680"/>
    <col width="10.625" customWidth="1" min="8681" max="8681"/>
    <col width="13" customWidth="1" min="8682" max="8682"/>
    <col width="13.125" customWidth="1" min="8683" max="8683"/>
    <col width="10.625" customWidth="1" min="8684" max="8685"/>
    <col width="13" customWidth="1" min="8686" max="8686"/>
    <col width="10.625" customWidth="1" min="8687" max="8687"/>
    <col width="12.375" customWidth="1" min="8688" max="8688"/>
    <col width="10.625" customWidth="1" min="8689" max="8689"/>
    <col width="15" customWidth="1" min="8690" max="8690"/>
    <col width="20.375" customWidth="1" min="8691" max="8691"/>
    <col width="10.625" customWidth="1" min="8692" max="8692"/>
    <col width="11.375" customWidth="1" min="8693" max="8693"/>
    <col width="10.625" customWidth="1" min="8694" max="8694"/>
    <col width="16.125" customWidth="1" min="8695" max="8695"/>
    <col width="12.625" customWidth="1" min="8696" max="8696"/>
    <col width="17" customWidth="1" min="8697" max="8697"/>
    <col width="16.375" customWidth="1" min="8698" max="8698"/>
    <col width="20.125" customWidth="1" min="8699" max="8699"/>
    <col width="17.625" customWidth="1" min="8700" max="8700"/>
    <col width="12" customWidth="1" min="8701" max="8701"/>
    <col width="16" customWidth="1" min="8702" max="8702"/>
    <col width="5.125" customWidth="1" min="8925" max="8925"/>
    <col width="13.375" customWidth="1" min="8926" max="8926"/>
    <col width="45.75" customWidth="1" min="8927" max="8927"/>
    <col width="10.625" customWidth="1" min="8928" max="8929"/>
    <col width="13.75" customWidth="1" min="8930" max="8930"/>
    <col width="18.375" customWidth="1" min="8931" max="8931"/>
    <col width="20.625" customWidth="1" min="8932" max="8932"/>
    <col width="17.375" customWidth="1" min="8933" max="8933"/>
    <col width="12.125" customWidth="1" min="8934" max="8934"/>
    <col width="10.625" customWidth="1" min="8935" max="8935"/>
    <col width="14.375" customWidth="1" min="8936" max="8936"/>
    <col width="10.625" customWidth="1" min="8937" max="8937"/>
    <col width="13" customWidth="1" min="8938" max="8938"/>
    <col width="13.125" customWidth="1" min="8939" max="8939"/>
    <col width="10.625" customWidth="1" min="8940" max="8941"/>
    <col width="13" customWidth="1" min="8942" max="8942"/>
    <col width="10.625" customWidth="1" min="8943" max="8943"/>
    <col width="12.375" customWidth="1" min="8944" max="8944"/>
    <col width="10.625" customWidth="1" min="8945" max="8945"/>
    <col width="15" customWidth="1" min="8946" max="8946"/>
    <col width="20.375" customWidth="1" min="8947" max="8947"/>
    <col width="10.625" customWidth="1" min="8948" max="8948"/>
    <col width="11.375" customWidth="1" min="8949" max="8949"/>
    <col width="10.625" customWidth="1" min="8950" max="8950"/>
    <col width="16.125" customWidth="1" min="8951" max="8951"/>
    <col width="12.625" customWidth="1" min="8952" max="8952"/>
    <col width="17" customWidth="1" min="8953" max="8953"/>
    <col width="16.375" customWidth="1" min="8954" max="8954"/>
    <col width="20.125" customWidth="1" min="8955" max="8955"/>
    <col width="17.625" customWidth="1" min="8956" max="8956"/>
    <col width="12" customWidth="1" min="8957" max="8957"/>
    <col width="16" customWidth="1" min="8958" max="8958"/>
    <col width="5.125" customWidth="1" min="9181" max="9181"/>
    <col width="13.375" customWidth="1" min="9182" max="9182"/>
    <col width="45.75" customWidth="1" min="9183" max="9183"/>
    <col width="10.625" customWidth="1" min="9184" max="9185"/>
    <col width="13.75" customWidth="1" min="9186" max="9186"/>
    <col width="18.375" customWidth="1" min="9187" max="9187"/>
    <col width="20.625" customWidth="1" min="9188" max="9188"/>
    <col width="17.375" customWidth="1" min="9189" max="9189"/>
    <col width="12.125" customWidth="1" min="9190" max="9190"/>
    <col width="10.625" customWidth="1" min="9191" max="9191"/>
    <col width="14.375" customWidth="1" min="9192" max="9192"/>
    <col width="10.625" customWidth="1" min="9193" max="9193"/>
    <col width="13" customWidth="1" min="9194" max="9194"/>
    <col width="13.125" customWidth="1" min="9195" max="9195"/>
    <col width="10.625" customWidth="1" min="9196" max="9197"/>
    <col width="13" customWidth="1" min="9198" max="9198"/>
    <col width="10.625" customWidth="1" min="9199" max="9199"/>
    <col width="12.375" customWidth="1" min="9200" max="9200"/>
    <col width="10.625" customWidth="1" min="9201" max="9201"/>
    <col width="15" customWidth="1" min="9202" max="9202"/>
    <col width="20.375" customWidth="1" min="9203" max="9203"/>
    <col width="10.625" customWidth="1" min="9204" max="9204"/>
    <col width="11.375" customWidth="1" min="9205" max="9205"/>
    <col width="10.625" customWidth="1" min="9206" max="9206"/>
    <col width="16.125" customWidth="1" min="9207" max="9207"/>
    <col width="12.625" customWidth="1" min="9208" max="9208"/>
    <col width="17" customWidth="1" min="9209" max="9209"/>
    <col width="16.375" customWidth="1" min="9210" max="9210"/>
    <col width="20.125" customWidth="1" min="9211" max="9211"/>
    <col width="17.625" customWidth="1" min="9212" max="9212"/>
    <col width="12" customWidth="1" min="9213" max="9213"/>
    <col width="16" customWidth="1" min="9214" max="9214"/>
    <col width="5.125" customWidth="1" min="9437" max="9437"/>
    <col width="13.375" customWidth="1" min="9438" max="9438"/>
    <col width="45.75" customWidth="1" min="9439" max="9439"/>
    <col width="10.625" customWidth="1" min="9440" max="9441"/>
    <col width="13.75" customWidth="1" min="9442" max="9442"/>
    <col width="18.375" customWidth="1" min="9443" max="9443"/>
    <col width="20.625" customWidth="1" min="9444" max="9444"/>
    <col width="17.375" customWidth="1" min="9445" max="9445"/>
    <col width="12.125" customWidth="1" min="9446" max="9446"/>
    <col width="10.625" customWidth="1" min="9447" max="9447"/>
    <col width="14.375" customWidth="1" min="9448" max="9448"/>
    <col width="10.625" customWidth="1" min="9449" max="9449"/>
    <col width="13" customWidth="1" min="9450" max="9450"/>
    <col width="13.125" customWidth="1" min="9451" max="9451"/>
    <col width="10.625" customWidth="1" min="9452" max="9453"/>
    <col width="13" customWidth="1" min="9454" max="9454"/>
    <col width="10.625" customWidth="1" min="9455" max="9455"/>
    <col width="12.375" customWidth="1" min="9456" max="9456"/>
    <col width="10.625" customWidth="1" min="9457" max="9457"/>
    <col width="15" customWidth="1" min="9458" max="9458"/>
    <col width="20.375" customWidth="1" min="9459" max="9459"/>
    <col width="10.625" customWidth="1" min="9460" max="9460"/>
    <col width="11.375" customWidth="1" min="9461" max="9461"/>
    <col width="10.625" customWidth="1" min="9462" max="9462"/>
    <col width="16.125" customWidth="1" min="9463" max="9463"/>
    <col width="12.625" customWidth="1" min="9464" max="9464"/>
    <col width="17" customWidth="1" min="9465" max="9465"/>
    <col width="16.375" customWidth="1" min="9466" max="9466"/>
    <col width="20.125" customWidth="1" min="9467" max="9467"/>
    <col width="17.625" customWidth="1" min="9468" max="9468"/>
    <col width="12" customWidth="1" min="9469" max="9469"/>
    <col width="16" customWidth="1" min="9470" max="9470"/>
    <col width="5.125" customWidth="1" min="9693" max="9693"/>
    <col width="13.375" customWidth="1" min="9694" max="9694"/>
    <col width="45.75" customWidth="1" min="9695" max="9695"/>
    <col width="10.625" customWidth="1" min="9696" max="9697"/>
    <col width="13.75" customWidth="1" min="9698" max="9698"/>
    <col width="18.375" customWidth="1" min="9699" max="9699"/>
    <col width="20.625" customWidth="1" min="9700" max="9700"/>
    <col width="17.375" customWidth="1" min="9701" max="9701"/>
    <col width="12.125" customWidth="1" min="9702" max="9702"/>
    <col width="10.625" customWidth="1" min="9703" max="9703"/>
    <col width="14.375" customWidth="1" min="9704" max="9704"/>
    <col width="10.625" customWidth="1" min="9705" max="9705"/>
    <col width="13" customWidth="1" min="9706" max="9706"/>
    <col width="13.125" customWidth="1" min="9707" max="9707"/>
    <col width="10.625" customWidth="1" min="9708" max="9709"/>
    <col width="13" customWidth="1" min="9710" max="9710"/>
    <col width="10.625" customWidth="1" min="9711" max="9711"/>
    <col width="12.375" customWidth="1" min="9712" max="9712"/>
    <col width="10.625" customWidth="1" min="9713" max="9713"/>
    <col width="15" customWidth="1" min="9714" max="9714"/>
    <col width="20.375" customWidth="1" min="9715" max="9715"/>
    <col width="10.625" customWidth="1" min="9716" max="9716"/>
    <col width="11.375" customWidth="1" min="9717" max="9717"/>
    <col width="10.625" customWidth="1" min="9718" max="9718"/>
    <col width="16.125" customWidth="1" min="9719" max="9719"/>
    <col width="12.625" customWidth="1" min="9720" max="9720"/>
    <col width="17" customWidth="1" min="9721" max="9721"/>
    <col width="16.375" customWidth="1" min="9722" max="9722"/>
    <col width="20.125" customWidth="1" min="9723" max="9723"/>
    <col width="17.625" customWidth="1" min="9724" max="9724"/>
    <col width="12" customWidth="1" min="9725" max="9725"/>
    <col width="16" customWidth="1" min="9726" max="9726"/>
    <col width="5.125" customWidth="1" min="9949" max="9949"/>
    <col width="13.375" customWidth="1" min="9950" max="9950"/>
    <col width="45.75" customWidth="1" min="9951" max="9951"/>
    <col width="10.625" customWidth="1" min="9952" max="9953"/>
    <col width="13.75" customWidth="1" min="9954" max="9954"/>
    <col width="18.375" customWidth="1" min="9955" max="9955"/>
    <col width="20.625" customWidth="1" min="9956" max="9956"/>
    <col width="17.375" customWidth="1" min="9957" max="9957"/>
    <col width="12.125" customWidth="1" min="9958" max="9958"/>
    <col width="10.625" customWidth="1" min="9959" max="9959"/>
    <col width="14.375" customWidth="1" min="9960" max="9960"/>
    <col width="10.625" customWidth="1" min="9961" max="9961"/>
    <col width="13" customWidth="1" min="9962" max="9962"/>
    <col width="13.125" customWidth="1" min="9963" max="9963"/>
    <col width="10.625" customWidth="1" min="9964" max="9965"/>
    <col width="13" customWidth="1" min="9966" max="9966"/>
    <col width="10.625" customWidth="1" min="9967" max="9967"/>
    <col width="12.375" customWidth="1" min="9968" max="9968"/>
    <col width="10.625" customWidth="1" min="9969" max="9969"/>
    <col width="15" customWidth="1" min="9970" max="9970"/>
    <col width="20.375" customWidth="1" min="9971" max="9971"/>
    <col width="10.625" customWidth="1" min="9972" max="9972"/>
    <col width="11.375" customWidth="1" min="9973" max="9973"/>
    <col width="10.625" customWidth="1" min="9974" max="9974"/>
    <col width="16.125" customWidth="1" min="9975" max="9975"/>
    <col width="12.625" customWidth="1" min="9976" max="9976"/>
    <col width="17" customWidth="1" min="9977" max="9977"/>
    <col width="16.375" customWidth="1" min="9978" max="9978"/>
    <col width="20.125" customWidth="1" min="9979" max="9979"/>
    <col width="17.625" customWidth="1" min="9980" max="9980"/>
    <col width="12" customWidth="1" min="9981" max="9981"/>
    <col width="16" customWidth="1" min="9982" max="9982"/>
    <col width="5.125" customWidth="1" min="10205" max="10205"/>
    <col width="13.375" customWidth="1" min="10206" max="10206"/>
    <col width="45.75" customWidth="1" min="10207" max="10207"/>
    <col width="10.625" customWidth="1" min="10208" max="10209"/>
    <col width="13.75" customWidth="1" min="10210" max="10210"/>
    <col width="18.375" customWidth="1" min="10211" max="10211"/>
    <col width="20.625" customWidth="1" min="10212" max="10212"/>
    <col width="17.375" customWidth="1" min="10213" max="10213"/>
    <col width="12.125" customWidth="1" min="10214" max="10214"/>
    <col width="10.625" customWidth="1" min="10215" max="10215"/>
    <col width="14.375" customWidth="1" min="10216" max="10216"/>
    <col width="10.625" customWidth="1" min="10217" max="10217"/>
    <col width="13" customWidth="1" min="10218" max="10218"/>
    <col width="13.125" customWidth="1" min="10219" max="10219"/>
    <col width="10.625" customWidth="1" min="10220" max="10221"/>
    <col width="13" customWidth="1" min="10222" max="10222"/>
    <col width="10.625" customWidth="1" min="10223" max="10223"/>
    <col width="12.375" customWidth="1" min="10224" max="10224"/>
    <col width="10.625" customWidth="1" min="10225" max="10225"/>
    <col width="15" customWidth="1" min="10226" max="10226"/>
    <col width="20.375" customWidth="1" min="10227" max="10227"/>
    <col width="10.625" customWidth="1" min="10228" max="10228"/>
    <col width="11.375" customWidth="1" min="10229" max="10229"/>
    <col width="10.625" customWidth="1" min="10230" max="10230"/>
    <col width="16.125" customWidth="1" min="10231" max="10231"/>
    <col width="12.625" customWidth="1" min="10232" max="10232"/>
    <col width="17" customWidth="1" min="10233" max="10233"/>
    <col width="16.375" customWidth="1" min="10234" max="10234"/>
    <col width="20.125" customWidth="1" min="10235" max="10235"/>
    <col width="17.625" customWidth="1" min="10236" max="10236"/>
    <col width="12" customWidth="1" min="10237" max="10237"/>
    <col width="16" customWidth="1" min="10238" max="10238"/>
    <col width="5.125" customWidth="1" min="10461" max="10461"/>
    <col width="13.375" customWidth="1" min="10462" max="10462"/>
    <col width="45.75" customWidth="1" min="10463" max="10463"/>
    <col width="10.625" customWidth="1" min="10464" max="10465"/>
    <col width="13.75" customWidth="1" min="10466" max="10466"/>
    <col width="18.375" customWidth="1" min="10467" max="10467"/>
    <col width="20.625" customWidth="1" min="10468" max="10468"/>
    <col width="17.375" customWidth="1" min="10469" max="10469"/>
    <col width="12.125" customWidth="1" min="10470" max="10470"/>
    <col width="10.625" customWidth="1" min="10471" max="10471"/>
    <col width="14.375" customWidth="1" min="10472" max="10472"/>
    <col width="10.625" customWidth="1" min="10473" max="10473"/>
    <col width="13" customWidth="1" min="10474" max="10474"/>
    <col width="13.125" customWidth="1" min="10475" max="10475"/>
    <col width="10.625" customWidth="1" min="10476" max="10477"/>
    <col width="13" customWidth="1" min="10478" max="10478"/>
    <col width="10.625" customWidth="1" min="10479" max="10479"/>
    <col width="12.375" customWidth="1" min="10480" max="10480"/>
    <col width="10.625" customWidth="1" min="10481" max="10481"/>
    <col width="15" customWidth="1" min="10482" max="10482"/>
    <col width="20.375" customWidth="1" min="10483" max="10483"/>
    <col width="10.625" customWidth="1" min="10484" max="10484"/>
    <col width="11.375" customWidth="1" min="10485" max="10485"/>
    <col width="10.625" customWidth="1" min="10486" max="10486"/>
    <col width="16.125" customWidth="1" min="10487" max="10487"/>
    <col width="12.625" customWidth="1" min="10488" max="10488"/>
    <col width="17" customWidth="1" min="10489" max="10489"/>
    <col width="16.375" customWidth="1" min="10490" max="10490"/>
    <col width="20.125" customWidth="1" min="10491" max="10491"/>
    <col width="17.625" customWidth="1" min="10492" max="10492"/>
    <col width="12" customWidth="1" min="10493" max="10493"/>
    <col width="16" customWidth="1" min="10494" max="10494"/>
    <col width="5.125" customWidth="1" min="10717" max="10717"/>
    <col width="13.375" customWidth="1" min="10718" max="10718"/>
    <col width="45.75" customWidth="1" min="10719" max="10719"/>
    <col width="10.625" customWidth="1" min="10720" max="10721"/>
    <col width="13.75" customWidth="1" min="10722" max="10722"/>
    <col width="18.375" customWidth="1" min="10723" max="10723"/>
    <col width="20.625" customWidth="1" min="10724" max="10724"/>
    <col width="17.375" customWidth="1" min="10725" max="10725"/>
    <col width="12.125" customWidth="1" min="10726" max="10726"/>
    <col width="10.625" customWidth="1" min="10727" max="10727"/>
    <col width="14.375" customWidth="1" min="10728" max="10728"/>
    <col width="10.625" customWidth="1" min="10729" max="10729"/>
    <col width="13" customWidth="1" min="10730" max="10730"/>
    <col width="13.125" customWidth="1" min="10731" max="10731"/>
    <col width="10.625" customWidth="1" min="10732" max="10733"/>
    <col width="13" customWidth="1" min="10734" max="10734"/>
    <col width="10.625" customWidth="1" min="10735" max="10735"/>
    <col width="12.375" customWidth="1" min="10736" max="10736"/>
    <col width="10.625" customWidth="1" min="10737" max="10737"/>
    <col width="15" customWidth="1" min="10738" max="10738"/>
    <col width="20.375" customWidth="1" min="10739" max="10739"/>
    <col width="10.625" customWidth="1" min="10740" max="10740"/>
    <col width="11.375" customWidth="1" min="10741" max="10741"/>
    <col width="10.625" customWidth="1" min="10742" max="10742"/>
    <col width="16.125" customWidth="1" min="10743" max="10743"/>
    <col width="12.625" customWidth="1" min="10744" max="10744"/>
    <col width="17" customWidth="1" min="10745" max="10745"/>
    <col width="16.375" customWidth="1" min="10746" max="10746"/>
    <col width="20.125" customWidth="1" min="10747" max="10747"/>
    <col width="17.625" customWidth="1" min="10748" max="10748"/>
    <col width="12" customWidth="1" min="10749" max="10749"/>
    <col width="16" customWidth="1" min="10750" max="10750"/>
    <col width="5.125" customWidth="1" min="10973" max="10973"/>
    <col width="13.375" customWidth="1" min="10974" max="10974"/>
    <col width="45.75" customWidth="1" min="10975" max="10975"/>
    <col width="10.625" customWidth="1" min="10976" max="10977"/>
    <col width="13.75" customWidth="1" min="10978" max="10978"/>
    <col width="18.375" customWidth="1" min="10979" max="10979"/>
    <col width="20.625" customWidth="1" min="10980" max="10980"/>
    <col width="17.375" customWidth="1" min="10981" max="10981"/>
    <col width="12.125" customWidth="1" min="10982" max="10982"/>
    <col width="10.625" customWidth="1" min="10983" max="10983"/>
    <col width="14.375" customWidth="1" min="10984" max="10984"/>
    <col width="10.625" customWidth="1" min="10985" max="10985"/>
    <col width="13" customWidth="1" min="10986" max="10986"/>
    <col width="13.125" customWidth="1" min="10987" max="10987"/>
    <col width="10.625" customWidth="1" min="10988" max="10989"/>
    <col width="13" customWidth="1" min="10990" max="10990"/>
    <col width="10.625" customWidth="1" min="10991" max="10991"/>
    <col width="12.375" customWidth="1" min="10992" max="10992"/>
    <col width="10.625" customWidth="1" min="10993" max="10993"/>
    <col width="15" customWidth="1" min="10994" max="10994"/>
    <col width="20.375" customWidth="1" min="10995" max="10995"/>
    <col width="10.625" customWidth="1" min="10996" max="10996"/>
    <col width="11.375" customWidth="1" min="10997" max="10997"/>
    <col width="10.625" customWidth="1" min="10998" max="10998"/>
    <col width="16.125" customWidth="1" min="10999" max="10999"/>
    <col width="12.625" customWidth="1" min="11000" max="11000"/>
    <col width="17" customWidth="1" min="11001" max="11001"/>
    <col width="16.375" customWidth="1" min="11002" max="11002"/>
    <col width="20.125" customWidth="1" min="11003" max="11003"/>
    <col width="17.625" customWidth="1" min="11004" max="11004"/>
    <col width="12" customWidth="1" min="11005" max="11005"/>
    <col width="16" customWidth="1" min="11006" max="11006"/>
    <col width="5.125" customWidth="1" min="11229" max="11229"/>
    <col width="13.375" customWidth="1" min="11230" max="11230"/>
    <col width="45.75" customWidth="1" min="11231" max="11231"/>
    <col width="10.625" customWidth="1" min="11232" max="11233"/>
    <col width="13.75" customWidth="1" min="11234" max="11234"/>
    <col width="18.375" customWidth="1" min="11235" max="11235"/>
    <col width="20.625" customWidth="1" min="11236" max="11236"/>
    <col width="17.375" customWidth="1" min="11237" max="11237"/>
    <col width="12.125" customWidth="1" min="11238" max="11238"/>
    <col width="10.625" customWidth="1" min="11239" max="11239"/>
    <col width="14.375" customWidth="1" min="11240" max="11240"/>
    <col width="10.625" customWidth="1" min="11241" max="11241"/>
    <col width="13" customWidth="1" min="11242" max="11242"/>
    <col width="13.125" customWidth="1" min="11243" max="11243"/>
    <col width="10.625" customWidth="1" min="11244" max="11245"/>
    <col width="13" customWidth="1" min="11246" max="11246"/>
    <col width="10.625" customWidth="1" min="11247" max="11247"/>
    <col width="12.375" customWidth="1" min="11248" max="11248"/>
    <col width="10.625" customWidth="1" min="11249" max="11249"/>
    <col width="15" customWidth="1" min="11250" max="11250"/>
    <col width="20.375" customWidth="1" min="11251" max="11251"/>
    <col width="10.625" customWidth="1" min="11252" max="11252"/>
    <col width="11.375" customWidth="1" min="11253" max="11253"/>
    <col width="10.625" customWidth="1" min="11254" max="11254"/>
    <col width="16.125" customWidth="1" min="11255" max="11255"/>
    <col width="12.625" customWidth="1" min="11256" max="11256"/>
    <col width="17" customWidth="1" min="11257" max="11257"/>
    <col width="16.375" customWidth="1" min="11258" max="11258"/>
    <col width="20.125" customWidth="1" min="11259" max="11259"/>
    <col width="17.625" customWidth="1" min="11260" max="11260"/>
    <col width="12" customWidth="1" min="11261" max="11261"/>
    <col width="16" customWidth="1" min="11262" max="11262"/>
    <col width="5.125" customWidth="1" min="11485" max="11485"/>
    <col width="13.375" customWidth="1" min="11486" max="11486"/>
    <col width="45.75" customWidth="1" min="11487" max="11487"/>
    <col width="10.625" customWidth="1" min="11488" max="11489"/>
    <col width="13.75" customWidth="1" min="11490" max="11490"/>
    <col width="18.375" customWidth="1" min="11491" max="11491"/>
    <col width="20.625" customWidth="1" min="11492" max="11492"/>
    <col width="17.375" customWidth="1" min="11493" max="11493"/>
    <col width="12.125" customWidth="1" min="11494" max="11494"/>
    <col width="10.625" customWidth="1" min="11495" max="11495"/>
    <col width="14.375" customWidth="1" min="11496" max="11496"/>
    <col width="10.625" customWidth="1" min="11497" max="11497"/>
    <col width="13" customWidth="1" min="11498" max="11498"/>
    <col width="13.125" customWidth="1" min="11499" max="11499"/>
    <col width="10.625" customWidth="1" min="11500" max="11501"/>
    <col width="13" customWidth="1" min="11502" max="11502"/>
    <col width="10.625" customWidth="1" min="11503" max="11503"/>
    <col width="12.375" customWidth="1" min="11504" max="11504"/>
    <col width="10.625" customWidth="1" min="11505" max="11505"/>
    <col width="15" customWidth="1" min="11506" max="11506"/>
    <col width="20.375" customWidth="1" min="11507" max="11507"/>
    <col width="10.625" customWidth="1" min="11508" max="11508"/>
    <col width="11.375" customWidth="1" min="11509" max="11509"/>
    <col width="10.625" customWidth="1" min="11510" max="11510"/>
    <col width="16.125" customWidth="1" min="11511" max="11511"/>
    <col width="12.625" customWidth="1" min="11512" max="11512"/>
    <col width="17" customWidth="1" min="11513" max="11513"/>
    <col width="16.375" customWidth="1" min="11514" max="11514"/>
    <col width="20.125" customWidth="1" min="11515" max="11515"/>
    <col width="17.625" customWidth="1" min="11516" max="11516"/>
    <col width="12" customWidth="1" min="11517" max="11517"/>
    <col width="16" customWidth="1" min="11518" max="11518"/>
    <col width="5.125" customWidth="1" min="11741" max="11741"/>
    <col width="13.375" customWidth="1" min="11742" max="11742"/>
    <col width="45.75" customWidth="1" min="11743" max="11743"/>
    <col width="10.625" customWidth="1" min="11744" max="11745"/>
    <col width="13.75" customWidth="1" min="11746" max="11746"/>
    <col width="18.375" customWidth="1" min="11747" max="11747"/>
    <col width="20.625" customWidth="1" min="11748" max="11748"/>
    <col width="17.375" customWidth="1" min="11749" max="11749"/>
    <col width="12.125" customWidth="1" min="11750" max="11750"/>
    <col width="10.625" customWidth="1" min="11751" max="11751"/>
    <col width="14.375" customWidth="1" min="11752" max="11752"/>
    <col width="10.625" customWidth="1" min="11753" max="11753"/>
    <col width="13" customWidth="1" min="11754" max="11754"/>
    <col width="13.125" customWidth="1" min="11755" max="11755"/>
    <col width="10.625" customWidth="1" min="11756" max="11757"/>
    <col width="13" customWidth="1" min="11758" max="11758"/>
    <col width="10.625" customWidth="1" min="11759" max="11759"/>
    <col width="12.375" customWidth="1" min="11760" max="11760"/>
    <col width="10.625" customWidth="1" min="11761" max="11761"/>
    <col width="15" customWidth="1" min="11762" max="11762"/>
    <col width="20.375" customWidth="1" min="11763" max="11763"/>
    <col width="10.625" customWidth="1" min="11764" max="11764"/>
    <col width="11.375" customWidth="1" min="11765" max="11765"/>
    <col width="10.625" customWidth="1" min="11766" max="11766"/>
    <col width="16.125" customWidth="1" min="11767" max="11767"/>
    <col width="12.625" customWidth="1" min="11768" max="11768"/>
    <col width="17" customWidth="1" min="11769" max="11769"/>
    <col width="16.375" customWidth="1" min="11770" max="11770"/>
    <col width="20.125" customWidth="1" min="11771" max="11771"/>
    <col width="17.625" customWidth="1" min="11772" max="11772"/>
    <col width="12" customWidth="1" min="11773" max="11773"/>
    <col width="16" customWidth="1" min="11774" max="11774"/>
    <col width="5.125" customWidth="1" min="11997" max="11997"/>
    <col width="13.375" customWidth="1" min="11998" max="11998"/>
    <col width="45.75" customWidth="1" min="11999" max="11999"/>
    <col width="10.625" customWidth="1" min="12000" max="12001"/>
    <col width="13.75" customWidth="1" min="12002" max="12002"/>
    <col width="18.375" customWidth="1" min="12003" max="12003"/>
    <col width="20.625" customWidth="1" min="12004" max="12004"/>
    <col width="17.375" customWidth="1" min="12005" max="12005"/>
    <col width="12.125" customWidth="1" min="12006" max="12006"/>
    <col width="10.625" customWidth="1" min="12007" max="12007"/>
    <col width="14.375" customWidth="1" min="12008" max="12008"/>
    <col width="10.625" customWidth="1" min="12009" max="12009"/>
    <col width="13" customWidth="1" min="12010" max="12010"/>
    <col width="13.125" customWidth="1" min="12011" max="12011"/>
    <col width="10.625" customWidth="1" min="12012" max="12013"/>
    <col width="13" customWidth="1" min="12014" max="12014"/>
    <col width="10.625" customWidth="1" min="12015" max="12015"/>
    <col width="12.375" customWidth="1" min="12016" max="12016"/>
    <col width="10.625" customWidth="1" min="12017" max="12017"/>
    <col width="15" customWidth="1" min="12018" max="12018"/>
    <col width="20.375" customWidth="1" min="12019" max="12019"/>
    <col width="10.625" customWidth="1" min="12020" max="12020"/>
    <col width="11.375" customWidth="1" min="12021" max="12021"/>
    <col width="10.625" customWidth="1" min="12022" max="12022"/>
    <col width="16.125" customWidth="1" min="12023" max="12023"/>
    <col width="12.625" customWidth="1" min="12024" max="12024"/>
    <col width="17" customWidth="1" min="12025" max="12025"/>
    <col width="16.375" customWidth="1" min="12026" max="12026"/>
    <col width="20.125" customWidth="1" min="12027" max="12027"/>
    <col width="17.625" customWidth="1" min="12028" max="12028"/>
    <col width="12" customWidth="1" min="12029" max="12029"/>
    <col width="16" customWidth="1" min="12030" max="12030"/>
    <col width="5.125" customWidth="1" min="12253" max="12253"/>
    <col width="13.375" customWidth="1" min="12254" max="12254"/>
    <col width="45.75" customWidth="1" min="12255" max="12255"/>
    <col width="10.625" customWidth="1" min="12256" max="12257"/>
    <col width="13.75" customWidth="1" min="12258" max="12258"/>
    <col width="18.375" customWidth="1" min="12259" max="12259"/>
    <col width="20.625" customWidth="1" min="12260" max="12260"/>
    <col width="17.375" customWidth="1" min="12261" max="12261"/>
    <col width="12.125" customWidth="1" min="12262" max="12262"/>
    <col width="10.625" customWidth="1" min="12263" max="12263"/>
    <col width="14.375" customWidth="1" min="12264" max="12264"/>
    <col width="10.625" customWidth="1" min="12265" max="12265"/>
    <col width="13" customWidth="1" min="12266" max="12266"/>
    <col width="13.125" customWidth="1" min="12267" max="12267"/>
    <col width="10.625" customWidth="1" min="12268" max="12269"/>
    <col width="13" customWidth="1" min="12270" max="12270"/>
    <col width="10.625" customWidth="1" min="12271" max="12271"/>
    <col width="12.375" customWidth="1" min="12272" max="12272"/>
    <col width="10.625" customWidth="1" min="12273" max="12273"/>
    <col width="15" customWidth="1" min="12274" max="12274"/>
    <col width="20.375" customWidth="1" min="12275" max="12275"/>
    <col width="10.625" customWidth="1" min="12276" max="12276"/>
    <col width="11.375" customWidth="1" min="12277" max="12277"/>
    <col width="10.625" customWidth="1" min="12278" max="12278"/>
    <col width="16.125" customWidth="1" min="12279" max="12279"/>
    <col width="12.625" customWidth="1" min="12280" max="12280"/>
    <col width="17" customWidth="1" min="12281" max="12281"/>
    <col width="16.375" customWidth="1" min="12282" max="12282"/>
    <col width="20.125" customWidth="1" min="12283" max="12283"/>
    <col width="17.625" customWidth="1" min="12284" max="12284"/>
    <col width="12" customWidth="1" min="12285" max="12285"/>
    <col width="16" customWidth="1" min="12286" max="12286"/>
    <col width="5.125" customWidth="1" min="12509" max="12509"/>
    <col width="13.375" customWidth="1" min="12510" max="12510"/>
    <col width="45.75" customWidth="1" min="12511" max="12511"/>
    <col width="10.625" customWidth="1" min="12512" max="12513"/>
    <col width="13.75" customWidth="1" min="12514" max="12514"/>
    <col width="18.375" customWidth="1" min="12515" max="12515"/>
    <col width="20.625" customWidth="1" min="12516" max="12516"/>
    <col width="17.375" customWidth="1" min="12517" max="12517"/>
    <col width="12.125" customWidth="1" min="12518" max="12518"/>
    <col width="10.625" customWidth="1" min="12519" max="12519"/>
    <col width="14.375" customWidth="1" min="12520" max="12520"/>
    <col width="10.625" customWidth="1" min="12521" max="12521"/>
    <col width="13" customWidth="1" min="12522" max="12522"/>
    <col width="13.125" customWidth="1" min="12523" max="12523"/>
    <col width="10.625" customWidth="1" min="12524" max="12525"/>
    <col width="13" customWidth="1" min="12526" max="12526"/>
    <col width="10.625" customWidth="1" min="12527" max="12527"/>
    <col width="12.375" customWidth="1" min="12528" max="12528"/>
    <col width="10.625" customWidth="1" min="12529" max="12529"/>
    <col width="15" customWidth="1" min="12530" max="12530"/>
    <col width="20.375" customWidth="1" min="12531" max="12531"/>
    <col width="10.625" customWidth="1" min="12532" max="12532"/>
    <col width="11.375" customWidth="1" min="12533" max="12533"/>
    <col width="10.625" customWidth="1" min="12534" max="12534"/>
    <col width="16.125" customWidth="1" min="12535" max="12535"/>
    <col width="12.625" customWidth="1" min="12536" max="12536"/>
    <col width="17" customWidth="1" min="12537" max="12537"/>
    <col width="16.375" customWidth="1" min="12538" max="12538"/>
    <col width="20.125" customWidth="1" min="12539" max="12539"/>
    <col width="17.625" customWidth="1" min="12540" max="12540"/>
    <col width="12" customWidth="1" min="12541" max="12541"/>
    <col width="16" customWidth="1" min="12542" max="12542"/>
    <col width="5.125" customWidth="1" min="12765" max="12765"/>
    <col width="13.375" customWidth="1" min="12766" max="12766"/>
    <col width="45.75" customWidth="1" min="12767" max="12767"/>
    <col width="10.625" customWidth="1" min="12768" max="12769"/>
    <col width="13.75" customWidth="1" min="12770" max="12770"/>
    <col width="18.375" customWidth="1" min="12771" max="12771"/>
    <col width="20.625" customWidth="1" min="12772" max="12772"/>
    <col width="17.375" customWidth="1" min="12773" max="12773"/>
    <col width="12.125" customWidth="1" min="12774" max="12774"/>
    <col width="10.625" customWidth="1" min="12775" max="12775"/>
    <col width="14.375" customWidth="1" min="12776" max="12776"/>
    <col width="10.625" customWidth="1" min="12777" max="12777"/>
    <col width="13" customWidth="1" min="12778" max="12778"/>
    <col width="13.125" customWidth="1" min="12779" max="12779"/>
    <col width="10.625" customWidth="1" min="12780" max="12781"/>
    <col width="13" customWidth="1" min="12782" max="12782"/>
    <col width="10.625" customWidth="1" min="12783" max="12783"/>
    <col width="12.375" customWidth="1" min="12784" max="12784"/>
    <col width="10.625" customWidth="1" min="12785" max="12785"/>
    <col width="15" customWidth="1" min="12786" max="12786"/>
    <col width="20.375" customWidth="1" min="12787" max="12787"/>
    <col width="10.625" customWidth="1" min="12788" max="12788"/>
    <col width="11.375" customWidth="1" min="12789" max="12789"/>
    <col width="10.625" customWidth="1" min="12790" max="12790"/>
    <col width="16.125" customWidth="1" min="12791" max="12791"/>
    <col width="12.625" customWidth="1" min="12792" max="12792"/>
    <col width="17" customWidth="1" min="12793" max="12793"/>
    <col width="16.375" customWidth="1" min="12794" max="12794"/>
    <col width="20.125" customWidth="1" min="12795" max="12795"/>
    <col width="17.625" customWidth="1" min="12796" max="12796"/>
    <col width="12" customWidth="1" min="12797" max="12797"/>
    <col width="16" customWidth="1" min="12798" max="12798"/>
    <col width="5.125" customWidth="1" min="13021" max="13021"/>
    <col width="13.375" customWidth="1" min="13022" max="13022"/>
    <col width="45.75" customWidth="1" min="13023" max="13023"/>
    <col width="10.625" customWidth="1" min="13024" max="13025"/>
    <col width="13.75" customWidth="1" min="13026" max="13026"/>
    <col width="18.375" customWidth="1" min="13027" max="13027"/>
    <col width="20.625" customWidth="1" min="13028" max="13028"/>
    <col width="17.375" customWidth="1" min="13029" max="13029"/>
    <col width="12.125" customWidth="1" min="13030" max="13030"/>
    <col width="10.625" customWidth="1" min="13031" max="13031"/>
    <col width="14.375" customWidth="1" min="13032" max="13032"/>
    <col width="10.625" customWidth="1" min="13033" max="13033"/>
    <col width="13" customWidth="1" min="13034" max="13034"/>
    <col width="13.125" customWidth="1" min="13035" max="13035"/>
    <col width="10.625" customWidth="1" min="13036" max="13037"/>
    <col width="13" customWidth="1" min="13038" max="13038"/>
    <col width="10.625" customWidth="1" min="13039" max="13039"/>
    <col width="12.375" customWidth="1" min="13040" max="13040"/>
    <col width="10.625" customWidth="1" min="13041" max="13041"/>
    <col width="15" customWidth="1" min="13042" max="13042"/>
    <col width="20.375" customWidth="1" min="13043" max="13043"/>
    <col width="10.625" customWidth="1" min="13044" max="13044"/>
    <col width="11.375" customWidth="1" min="13045" max="13045"/>
    <col width="10.625" customWidth="1" min="13046" max="13046"/>
    <col width="16.125" customWidth="1" min="13047" max="13047"/>
    <col width="12.625" customWidth="1" min="13048" max="13048"/>
    <col width="17" customWidth="1" min="13049" max="13049"/>
    <col width="16.375" customWidth="1" min="13050" max="13050"/>
    <col width="20.125" customWidth="1" min="13051" max="13051"/>
    <col width="17.625" customWidth="1" min="13052" max="13052"/>
    <col width="12" customWidth="1" min="13053" max="13053"/>
    <col width="16" customWidth="1" min="13054" max="13054"/>
    <col width="5.125" customWidth="1" min="13277" max="13277"/>
    <col width="13.375" customWidth="1" min="13278" max="13278"/>
    <col width="45.75" customWidth="1" min="13279" max="13279"/>
    <col width="10.625" customWidth="1" min="13280" max="13281"/>
    <col width="13.75" customWidth="1" min="13282" max="13282"/>
    <col width="18.375" customWidth="1" min="13283" max="13283"/>
    <col width="20.625" customWidth="1" min="13284" max="13284"/>
    <col width="17.375" customWidth="1" min="13285" max="13285"/>
    <col width="12.125" customWidth="1" min="13286" max="13286"/>
    <col width="10.625" customWidth="1" min="13287" max="13287"/>
    <col width="14.375" customWidth="1" min="13288" max="13288"/>
    <col width="10.625" customWidth="1" min="13289" max="13289"/>
    <col width="13" customWidth="1" min="13290" max="13290"/>
    <col width="13.125" customWidth="1" min="13291" max="13291"/>
    <col width="10.625" customWidth="1" min="13292" max="13293"/>
    <col width="13" customWidth="1" min="13294" max="13294"/>
    <col width="10.625" customWidth="1" min="13295" max="13295"/>
    <col width="12.375" customWidth="1" min="13296" max="13296"/>
    <col width="10.625" customWidth="1" min="13297" max="13297"/>
    <col width="15" customWidth="1" min="13298" max="13298"/>
    <col width="20.375" customWidth="1" min="13299" max="13299"/>
    <col width="10.625" customWidth="1" min="13300" max="13300"/>
    <col width="11.375" customWidth="1" min="13301" max="13301"/>
    <col width="10.625" customWidth="1" min="13302" max="13302"/>
    <col width="16.125" customWidth="1" min="13303" max="13303"/>
    <col width="12.625" customWidth="1" min="13304" max="13304"/>
    <col width="17" customWidth="1" min="13305" max="13305"/>
    <col width="16.375" customWidth="1" min="13306" max="13306"/>
    <col width="20.125" customWidth="1" min="13307" max="13307"/>
    <col width="17.625" customWidth="1" min="13308" max="13308"/>
    <col width="12" customWidth="1" min="13309" max="13309"/>
    <col width="16" customWidth="1" min="13310" max="13310"/>
    <col width="5.125" customWidth="1" min="13533" max="13533"/>
    <col width="13.375" customWidth="1" min="13534" max="13534"/>
    <col width="45.75" customWidth="1" min="13535" max="13535"/>
    <col width="10.625" customWidth="1" min="13536" max="13537"/>
    <col width="13.75" customWidth="1" min="13538" max="13538"/>
    <col width="18.375" customWidth="1" min="13539" max="13539"/>
    <col width="20.625" customWidth="1" min="13540" max="13540"/>
    <col width="17.375" customWidth="1" min="13541" max="13541"/>
    <col width="12.125" customWidth="1" min="13542" max="13542"/>
    <col width="10.625" customWidth="1" min="13543" max="13543"/>
    <col width="14.375" customWidth="1" min="13544" max="13544"/>
    <col width="10.625" customWidth="1" min="13545" max="13545"/>
    <col width="13" customWidth="1" min="13546" max="13546"/>
    <col width="13.125" customWidth="1" min="13547" max="13547"/>
    <col width="10.625" customWidth="1" min="13548" max="13549"/>
    <col width="13" customWidth="1" min="13550" max="13550"/>
    <col width="10.625" customWidth="1" min="13551" max="13551"/>
    <col width="12.375" customWidth="1" min="13552" max="13552"/>
    <col width="10.625" customWidth="1" min="13553" max="13553"/>
    <col width="15" customWidth="1" min="13554" max="13554"/>
    <col width="20.375" customWidth="1" min="13555" max="13555"/>
    <col width="10.625" customWidth="1" min="13556" max="13556"/>
    <col width="11.375" customWidth="1" min="13557" max="13557"/>
    <col width="10.625" customWidth="1" min="13558" max="13558"/>
    <col width="16.125" customWidth="1" min="13559" max="13559"/>
    <col width="12.625" customWidth="1" min="13560" max="13560"/>
    <col width="17" customWidth="1" min="13561" max="13561"/>
    <col width="16.375" customWidth="1" min="13562" max="13562"/>
    <col width="20.125" customWidth="1" min="13563" max="13563"/>
    <col width="17.625" customWidth="1" min="13564" max="13564"/>
    <col width="12" customWidth="1" min="13565" max="13565"/>
    <col width="16" customWidth="1" min="13566" max="13566"/>
    <col width="5.125" customWidth="1" min="13789" max="13789"/>
    <col width="13.375" customWidth="1" min="13790" max="13790"/>
    <col width="45.75" customWidth="1" min="13791" max="13791"/>
    <col width="10.625" customWidth="1" min="13792" max="13793"/>
    <col width="13.75" customWidth="1" min="13794" max="13794"/>
    <col width="18.375" customWidth="1" min="13795" max="13795"/>
    <col width="20.625" customWidth="1" min="13796" max="13796"/>
    <col width="17.375" customWidth="1" min="13797" max="13797"/>
    <col width="12.125" customWidth="1" min="13798" max="13798"/>
    <col width="10.625" customWidth="1" min="13799" max="13799"/>
    <col width="14.375" customWidth="1" min="13800" max="13800"/>
    <col width="10.625" customWidth="1" min="13801" max="13801"/>
    <col width="13" customWidth="1" min="13802" max="13802"/>
    <col width="13.125" customWidth="1" min="13803" max="13803"/>
    <col width="10.625" customWidth="1" min="13804" max="13805"/>
    <col width="13" customWidth="1" min="13806" max="13806"/>
    <col width="10.625" customWidth="1" min="13807" max="13807"/>
    <col width="12.375" customWidth="1" min="13808" max="13808"/>
    <col width="10.625" customWidth="1" min="13809" max="13809"/>
    <col width="15" customWidth="1" min="13810" max="13810"/>
    <col width="20.375" customWidth="1" min="13811" max="13811"/>
    <col width="10.625" customWidth="1" min="13812" max="13812"/>
    <col width="11.375" customWidth="1" min="13813" max="13813"/>
    <col width="10.625" customWidth="1" min="13814" max="13814"/>
    <col width="16.125" customWidth="1" min="13815" max="13815"/>
    <col width="12.625" customWidth="1" min="13816" max="13816"/>
    <col width="17" customWidth="1" min="13817" max="13817"/>
    <col width="16.375" customWidth="1" min="13818" max="13818"/>
    <col width="20.125" customWidth="1" min="13819" max="13819"/>
    <col width="17.625" customWidth="1" min="13820" max="13820"/>
    <col width="12" customWidth="1" min="13821" max="13821"/>
    <col width="16" customWidth="1" min="13822" max="13822"/>
    <col width="5.125" customWidth="1" min="14045" max="14045"/>
    <col width="13.375" customWidth="1" min="14046" max="14046"/>
    <col width="45.75" customWidth="1" min="14047" max="14047"/>
    <col width="10.625" customWidth="1" min="14048" max="14049"/>
    <col width="13.75" customWidth="1" min="14050" max="14050"/>
    <col width="18.375" customWidth="1" min="14051" max="14051"/>
    <col width="20.625" customWidth="1" min="14052" max="14052"/>
    <col width="17.375" customWidth="1" min="14053" max="14053"/>
    <col width="12.125" customWidth="1" min="14054" max="14054"/>
    <col width="10.625" customWidth="1" min="14055" max="14055"/>
    <col width="14.375" customWidth="1" min="14056" max="14056"/>
    <col width="10.625" customWidth="1" min="14057" max="14057"/>
    <col width="13" customWidth="1" min="14058" max="14058"/>
    <col width="13.125" customWidth="1" min="14059" max="14059"/>
    <col width="10.625" customWidth="1" min="14060" max="14061"/>
    <col width="13" customWidth="1" min="14062" max="14062"/>
    <col width="10.625" customWidth="1" min="14063" max="14063"/>
    <col width="12.375" customWidth="1" min="14064" max="14064"/>
    <col width="10.625" customWidth="1" min="14065" max="14065"/>
    <col width="15" customWidth="1" min="14066" max="14066"/>
    <col width="20.375" customWidth="1" min="14067" max="14067"/>
    <col width="10.625" customWidth="1" min="14068" max="14068"/>
    <col width="11.375" customWidth="1" min="14069" max="14069"/>
    <col width="10.625" customWidth="1" min="14070" max="14070"/>
    <col width="16.125" customWidth="1" min="14071" max="14071"/>
    <col width="12.625" customWidth="1" min="14072" max="14072"/>
    <col width="17" customWidth="1" min="14073" max="14073"/>
    <col width="16.375" customWidth="1" min="14074" max="14074"/>
    <col width="20.125" customWidth="1" min="14075" max="14075"/>
    <col width="17.625" customWidth="1" min="14076" max="14076"/>
    <col width="12" customWidth="1" min="14077" max="14077"/>
    <col width="16" customWidth="1" min="14078" max="14078"/>
    <col width="5.125" customWidth="1" min="14301" max="14301"/>
    <col width="13.375" customWidth="1" min="14302" max="14302"/>
    <col width="45.75" customWidth="1" min="14303" max="14303"/>
    <col width="10.625" customWidth="1" min="14304" max="14305"/>
    <col width="13.75" customWidth="1" min="14306" max="14306"/>
    <col width="18.375" customWidth="1" min="14307" max="14307"/>
    <col width="20.625" customWidth="1" min="14308" max="14308"/>
    <col width="17.375" customWidth="1" min="14309" max="14309"/>
    <col width="12.125" customWidth="1" min="14310" max="14310"/>
    <col width="10.625" customWidth="1" min="14311" max="14311"/>
    <col width="14.375" customWidth="1" min="14312" max="14312"/>
    <col width="10.625" customWidth="1" min="14313" max="14313"/>
    <col width="13" customWidth="1" min="14314" max="14314"/>
    <col width="13.125" customWidth="1" min="14315" max="14315"/>
    <col width="10.625" customWidth="1" min="14316" max="14317"/>
    <col width="13" customWidth="1" min="14318" max="14318"/>
    <col width="10.625" customWidth="1" min="14319" max="14319"/>
    <col width="12.375" customWidth="1" min="14320" max="14320"/>
    <col width="10.625" customWidth="1" min="14321" max="14321"/>
    <col width="15" customWidth="1" min="14322" max="14322"/>
    <col width="20.375" customWidth="1" min="14323" max="14323"/>
    <col width="10.625" customWidth="1" min="14324" max="14324"/>
    <col width="11.375" customWidth="1" min="14325" max="14325"/>
    <col width="10.625" customWidth="1" min="14326" max="14326"/>
    <col width="16.125" customWidth="1" min="14327" max="14327"/>
    <col width="12.625" customWidth="1" min="14328" max="14328"/>
    <col width="17" customWidth="1" min="14329" max="14329"/>
    <col width="16.375" customWidth="1" min="14330" max="14330"/>
    <col width="20.125" customWidth="1" min="14331" max="14331"/>
    <col width="17.625" customWidth="1" min="14332" max="14332"/>
    <col width="12" customWidth="1" min="14333" max="14333"/>
    <col width="16" customWidth="1" min="14334" max="14334"/>
    <col width="5.125" customWidth="1" min="14557" max="14557"/>
    <col width="13.375" customWidth="1" min="14558" max="14558"/>
    <col width="45.75" customWidth="1" min="14559" max="14559"/>
    <col width="10.625" customWidth="1" min="14560" max="14561"/>
    <col width="13.75" customWidth="1" min="14562" max="14562"/>
    <col width="18.375" customWidth="1" min="14563" max="14563"/>
    <col width="20.625" customWidth="1" min="14564" max="14564"/>
    <col width="17.375" customWidth="1" min="14565" max="14565"/>
    <col width="12.125" customWidth="1" min="14566" max="14566"/>
    <col width="10.625" customWidth="1" min="14567" max="14567"/>
    <col width="14.375" customWidth="1" min="14568" max="14568"/>
    <col width="10.625" customWidth="1" min="14569" max="14569"/>
    <col width="13" customWidth="1" min="14570" max="14570"/>
    <col width="13.125" customWidth="1" min="14571" max="14571"/>
    <col width="10.625" customWidth="1" min="14572" max="14573"/>
    <col width="13" customWidth="1" min="14574" max="14574"/>
    <col width="10.625" customWidth="1" min="14575" max="14575"/>
    <col width="12.375" customWidth="1" min="14576" max="14576"/>
    <col width="10.625" customWidth="1" min="14577" max="14577"/>
    <col width="15" customWidth="1" min="14578" max="14578"/>
    <col width="20.375" customWidth="1" min="14579" max="14579"/>
    <col width="10.625" customWidth="1" min="14580" max="14580"/>
    <col width="11.375" customWidth="1" min="14581" max="14581"/>
    <col width="10.625" customWidth="1" min="14582" max="14582"/>
    <col width="16.125" customWidth="1" min="14583" max="14583"/>
    <col width="12.625" customWidth="1" min="14584" max="14584"/>
    <col width="17" customWidth="1" min="14585" max="14585"/>
    <col width="16.375" customWidth="1" min="14586" max="14586"/>
    <col width="20.125" customWidth="1" min="14587" max="14587"/>
    <col width="17.625" customWidth="1" min="14588" max="14588"/>
    <col width="12" customWidth="1" min="14589" max="14589"/>
    <col width="16" customWidth="1" min="14590" max="14590"/>
    <col width="5.125" customWidth="1" min="14813" max="14813"/>
    <col width="13.375" customWidth="1" min="14814" max="14814"/>
    <col width="45.75" customWidth="1" min="14815" max="14815"/>
    <col width="10.625" customWidth="1" min="14816" max="14817"/>
    <col width="13.75" customWidth="1" min="14818" max="14818"/>
    <col width="18.375" customWidth="1" min="14819" max="14819"/>
    <col width="20.625" customWidth="1" min="14820" max="14820"/>
    <col width="17.375" customWidth="1" min="14821" max="14821"/>
    <col width="12.125" customWidth="1" min="14822" max="14822"/>
    <col width="10.625" customWidth="1" min="14823" max="14823"/>
    <col width="14.375" customWidth="1" min="14824" max="14824"/>
    <col width="10.625" customWidth="1" min="14825" max="14825"/>
    <col width="13" customWidth="1" min="14826" max="14826"/>
    <col width="13.125" customWidth="1" min="14827" max="14827"/>
    <col width="10.625" customWidth="1" min="14828" max="14829"/>
    <col width="13" customWidth="1" min="14830" max="14830"/>
    <col width="10.625" customWidth="1" min="14831" max="14831"/>
    <col width="12.375" customWidth="1" min="14832" max="14832"/>
    <col width="10.625" customWidth="1" min="14833" max="14833"/>
    <col width="15" customWidth="1" min="14834" max="14834"/>
    <col width="20.375" customWidth="1" min="14835" max="14835"/>
    <col width="10.625" customWidth="1" min="14836" max="14836"/>
    <col width="11.375" customWidth="1" min="14837" max="14837"/>
    <col width="10.625" customWidth="1" min="14838" max="14838"/>
    <col width="16.125" customWidth="1" min="14839" max="14839"/>
    <col width="12.625" customWidth="1" min="14840" max="14840"/>
    <col width="17" customWidth="1" min="14841" max="14841"/>
    <col width="16.375" customWidth="1" min="14842" max="14842"/>
    <col width="20.125" customWidth="1" min="14843" max="14843"/>
    <col width="17.625" customWidth="1" min="14844" max="14844"/>
    <col width="12" customWidth="1" min="14845" max="14845"/>
    <col width="16" customWidth="1" min="14846" max="14846"/>
    <col width="5.125" customWidth="1" min="15069" max="15069"/>
    <col width="13.375" customWidth="1" min="15070" max="15070"/>
    <col width="45.75" customWidth="1" min="15071" max="15071"/>
    <col width="10.625" customWidth="1" min="15072" max="15073"/>
    <col width="13.75" customWidth="1" min="15074" max="15074"/>
    <col width="18.375" customWidth="1" min="15075" max="15075"/>
    <col width="20.625" customWidth="1" min="15076" max="15076"/>
    <col width="17.375" customWidth="1" min="15077" max="15077"/>
    <col width="12.125" customWidth="1" min="15078" max="15078"/>
    <col width="10.625" customWidth="1" min="15079" max="15079"/>
    <col width="14.375" customWidth="1" min="15080" max="15080"/>
    <col width="10.625" customWidth="1" min="15081" max="15081"/>
    <col width="13" customWidth="1" min="15082" max="15082"/>
    <col width="13.125" customWidth="1" min="15083" max="15083"/>
    <col width="10.625" customWidth="1" min="15084" max="15085"/>
    <col width="13" customWidth="1" min="15086" max="15086"/>
    <col width="10.625" customWidth="1" min="15087" max="15087"/>
    <col width="12.375" customWidth="1" min="15088" max="15088"/>
    <col width="10.625" customWidth="1" min="15089" max="15089"/>
    <col width="15" customWidth="1" min="15090" max="15090"/>
    <col width="20.375" customWidth="1" min="15091" max="15091"/>
    <col width="10.625" customWidth="1" min="15092" max="15092"/>
    <col width="11.375" customWidth="1" min="15093" max="15093"/>
    <col width="10.625" customWidth="1" min="15094" max="15094"/>
    <col width="16.125" customWidth="1" min="15095" max="15095"/>
    <col width="12.625" customWidth="1" min="15096" max="15096"/>
    <col width="17" customWidth="1" min="15097" max="15097"/>
    <col width="16.375" customWidth="1" min="15098" max="15098"/>
    <col width="20.125" customWidth="1" min="15099" max="15099"/>
    <col width="17.625" customWidth="1" min="15100" max="15100"/>
    <col width="12" customWidth="1" min="15101" max="15101"/>
    <col width="16" customWidth="1" min="15102" max="15102"/>
    <col width="5.125" customWidth="1" min="15325" max="15325"/>
    <col width="13.375" customWidth="1" min="15326" max="15326"/>
    <col width="45.75" customWidth="1" min="15327" max="15327"/>
    <col width="10.625" customWidth="1" min="15328" max="15329"/>
    <col width="13.75" customWidth="1" min="15330" max="15330"/>
    <col width="18.375" customWidth="1" min="15331" max="15331"/>
    <col width="20.625" customWidth="1" min="15332" max="15332"/>
    <col width="17.375" customWidth="1" min="15333" max="15333"/>
    <col width="12.125" customWidth="1" min="15334" max="15334"/>
    <col width="10.625" customWidth="1" min="15335" max="15335"/>
    <col width="14.375" customWidth="1" min="15336" max="15336"/>
    <col width="10.625" customWidth="1" min="15337" max="15337"/>
    <col width="13" customWidth="1" min="15338" max="15338"/>
    <col width="13.125" customWidth="1" min="15339" max="15339"/>
    <col width="10.625" customWidth="1" min="15340" max="15341"/>
    <col width="13" customWidth="1" min="15342" max="15342"/>
    <col width="10.625" customWidth="1" min="15343" max="15343"/>
    <col width="12.375" customWidth="1" min="15344" max="15344"/>
    <col width="10.625" customWidth="1" min="15345" max="15345"/>
    <col width="15" customWidth="1" min="15346" max="15346"/>
    <col width="20.375" customWidth="1" min="15347" max="15347"/>
    <col width="10.625" customWidth="1" min="15348" max="15348"/>
    <col width="11.375" customWidth="1" min="15349" max="15349"/>
    <col width="10.625" customWidth="1" min="15350" max="15350"/>
    <col width="16.125" customWidth="1" min="15351" max="15351"/>
    <col width="12.625" customWidth="1" min="15352" max="15352"/>
    <col width="17" customWidth="1" min="15353" max="15353"/>
    <col width="16.375" customWidth="1" min="15354" max="15354"/>
    <col width="20.125" customWidth="1" min="15355" max="15355"/>
    <col width="17.625" customWidth="1" min="15356" max="15356"/>
    <col width="12" customWidth="1" min="15357" max="15357"/>
    <col width="16" customWidth="1" min="15358" max="15358"/>
    <col width="5.125" customWidth="1" min="15581" max="15581"/>
    <col width="13.375" customWidth="1" min="15582" max="15582"/>
    <col width="45.75" customWidth="1" min="15583" max="15583"/>
    <col width="10.625" customWidth="1" min="15584" max="15585"/>
    <col width="13.75" customWidth="1" min="15586" max="15586"/>
    <col width="18.375" customWidth="1" min="15587" max="15587"/>
    <col width="20.625" customWidth="1" min="15588" max="15588"/>
    <col width="17.375" customWidth="1" min="15589" max="15589"/>
    <col width="12.125" customWidth="1" min="15590" max="15590"/>
    <col width="10.625" customWidth="1" min="15591" max="15591"/>
    <col width="14.375" customWidth="1" min="15592" max="15592"/>
    <col width="10.625" customWidth="1" min="15593" max="15593"/>
    <col width="13" customWidth="1" min="15594" max="15594"/>
    <col width="13.125" customWidth="1" min="15595" max="15595"/>
    <col width="10.625" customWidth="1" min="15596" max="15597"/>
    <col width="13" customWidth="1" min="15598" max="15598"/>
    <col width="10.625" customWidth="1" min="15599" max="15599"/>
    <col width="12.375" customWidth="1" min="15600" max="15600"/>
    <col width="10.625" customWidth="1" min="15601" max="15601"/>
    <col width="15" customWidth="1" min="15602" max="15602"/>
    <col width="20.375" customWidth="1" min="15603" max="15603"/>
    <col width="10.625" customWidth="1" min="15604" max="15604"/>
    <col width="11.375" customWidth="1" min="15605" max="15605"/>
    <col width="10.625" customWidth="1" min="15606" max="15606"/>
    <col width="16.125" customWidth="1" min="15607" max="15607"/>
    <col width="12.625" customWidth="1" min="15608" max="15608"/>
    <col width="17" customWidth="1" min="15609" max="15609"/>
    <col width="16.375" customWidth="1" min="15610" max="15610"/>
    <col width="20.125" customWidth="1" min="15611" max="15611"/>
    <col width="17.625" customWidth="1" min="15612" max="15612"/>
    <col width="12" customWidth="1" min="15613" max="15613"/>
    <col width="16" customWidth="1" min="15614" max="15614"/>
    <col width="5.125" customWidth="1" min="15837" max="15837"/>
    <col width="13.375" customWidth="1" min="15838" max="15838"/>
    <col width="45.75" customWidth="1" min="15839" max="15839"/>
    <col width="10.625" customWidth="1" min="15840" max="15841"/>
    <col width="13.75" customWidth="1" min="15842" max="15842"/>
    <col width="18.375" customWidth="1" min="15843" max="15843"/>
    <col width="20.625" customWidth="1" min="15844" max="15844"/>
    <col width="17.375" customWidth="1" min="15845" max="15845"/>
    <col width="12.125" customWidth="1" min="15846" max="15846"/>
    <col width="10.625" customWidth="1" min="15847" max="15847"/>
    <col width="14.375" customWidth="1" min="15848" max="15848"/>
    <col width="10.625" customWidth="1" min="15849" max="15849"/>
    <col width="13" customWidth="1" min="15850" max="15850"/>
    <col width="13.125" customWidth="1" min="15851" max="15851"/>
    <col width="10.625" customWidth="1" min="15852" max="15853"/>
    <col width="13" customWidth="1" min="15854" max="15854"/>
    <col width="10.625" customWidth="1" min="15855" max="15855"/>
    <col width="12.375" customWidth="1" min="15856" max="15856"/>
    <col width="10.625" customWidth="1" min="15857" max="15857"/>
    <col width="15" customWidth="1" min="15858" max="15858"/>
    <col width="20.375" customWidth="1" min="15859" max="15859"/>
    <col width="10.625" customWidth="1" min="15860" max="15860"/>
    <col width="11.375" customWidth="1" min="15861" max="15861"/>
    <col width="10.625" customWidth="1" min="15862" max="15862"/>
    <col width="16.125" customWidth="1" min="15863" max="15863"/>
    <col width="12.625" customWidth="1" min="15864" max="15864"/>
    <col width="17" customWidth="1" min="15865" max="15865"/>
    <col width="16.375" customWidth="1" min="15866" max="15866"/>
    <col width="20.125" customWidth="1" min="15867" max="15867"/>
    <col width="17.625" customWidth="1" min="15868" max="15868"/>
    <col width="12" customWidth="1" min="15869" max="15869"/>
    <col width="16" customWidth="1" min="15870" max="15870"/>
    <col width="5.125" customWidth="1" min="16093" max="16093"/>
    <col width="13.375" customWidth="1" min="16094" max="16094"/>
    <col width="45.75" customWidth="1" min="16095" max="16095"/>
    <col width="10.625" customWidth="1" min="16096" max="16097"/>
    <col width="13.75" customWidth="1" min="16098" max="16098"/>
    <col width="18.375" customWidth="1" min="16099" max="16099"/>
    <col width="20.625" customWidth="1" min="16100" max="16100"/>
    <col width="17.375" customWidth="1" min="16101" max="16101"/>
    <col width="12.125" customWidth="1" min="16102" max="16102"/>
    <col width="10.625" customWidth="1" min="16103" max="16103"/>
    <col width="14.375" customWidth="1" min="16104" max="16104"/>
    <col width="10.625" customWidth="1" min="16105" max="16105"/>
    <col width="13" customWidth="1" min="16106" max="16106"/>
    <col width="13.125" customWidth="1" min="16107" max="16107"/>
    <col width="10.625" customWidth="1" min="16108" max="16109"/>
    <col width="13" customWidth="1" min="16110" max="16110"/>
    <col width="10.625" customWidth="1" min="16111" max="16111"/>
    <col width="12.375" customWidth="1" min="16112" max="16112"/>
    <col width="10.625" customWidth="1" min="16113" max="16113"/>
    <col width="15" customWidth="1" min="16114" max="16114"/>
    <col width="20.375" customWidth="1" min="16115" max="16115"/>
    <col width="10.625" customWidth="1" min="16116" max="16116"/>
    <col width="11.375" customWidth="1" min="16117" max="16117"/>
    <col width="10.625" customWidth="1" min="16118" max="16118"/>
    <col width="16.125" customWidth="1" min="16119" max="16119"/>
    <col width="12.625" customWidth="1" min="16120" max="16120"/>
    <col width="17" customWidth="1" min="16121" max="16121"/>
    <col width="16.375" customWidth="1" min="16122" max="16122"/>
    <col width="20.125" customWidth="1" min="16123" max="16123"/>
    <col width="17.625" customWidth="1" min="16124" max="16124"/>
    <col width="12" customWidth="1" min="16125" max="16125"/>
    <col width="16" customWidth="1" min="16126" max="16126"/>
  </cols>
  <sheetData>
    <row r="1" ht="15.75" customHeight="1" thickBot="1"/>
    <row r="2" ht="28.5" customHeight="1" thickBot="1">
      <c r="E2" s="421" t="inlineStr">
        <is>
          <t>QIDDIYA - LP</t>
        </is>
      </c>
      <c r="F2" s="422" t="n"/>
      <c r="G2" s="422" t="n"/>
      <c r="H2" s="422" t="n"/>
      <c r="I2" s="423" t="n"/>
      <c r="K2" s="421" t="inlineStr">
        <is>
          <t>QIDDIYA - UP</t>
        </is>
      </c>
      <c r="L2" s="422" t="n"/>
      <c r="M2" s="422" t="n"/>
      <c r="N2" s="422" t="n"/>
      <c r="O2" s="423" t="n"/>
      <c r="Q2" s="421" t="inlineStr">
        <is>
          <t>QIDDIYA - 5&amp;6</t>
        </is>
      </c>
      <c r="R2" s="422" t="n"/>
      <c r="S2" s="422" t="n"/>
      <c r="T2" s="422" t="n"/>
      <c r="U2" s="423" t="n"/>
      <c r="W2" s="421" t="inlineStr">
        <is>
          <t>QIDDIYA - PGC</t>
        </is>
      </c>
      <c r="X2" s="422" t="n"/>
      <c r="Y2" s="422" t="n"/>
      <c r="Z2" s="422" t="n"/>
      <c r="AA2" s="423" t="n"/>
    </row>
    <row r="3" ht="43.5" customHeight="1">
      <c r="A3" s="349" t="inlineStr">
        <is>
          <t>S#</t>
        </is>
      </c>
      <c r="B3" s="349" t="inlineStr">
        <is>
          <t xml:space="preserve">NATIONALITY </t>
        </is>
      </c>
      <c r="C3" s="349" t="inlineStr">
        <is>
          <t xml:space="preserve"> Categories </t>
        </is>
      </c>
      <c r="D3" s="349" t="inlineStr">
        <is>
          <t xml:space="preserve">Facility Management Services </t>
        </is>
      </c>
      <c r="E3" s="350" t="inlineStr">
        <is>
          <t>Expat Qty</t>
        </is>
      </c>
      <c r="F3" s="350" t="inlineStr">
        <is>
          <t>Saudi Qty.</t>
        </is>
      </c>
      <c r="G3" s="350" t="inlineStr">
        <is>
          <t>Onsite Qty</t>
        </is>
      </c>
      <c r="H3" s="350" t="inlineStr">
        <is>
          <t>Additional Qty</t>
        </is>
      </c>
      <c r="I3" s="351" t="inlineStr">
        <is>
          <t xml:space="preserve">Total </t>
        </is>
      </c>
      <c r="K3" s="350" t="inlineStr">
        <is>
          <t>Expat Qty</t>
        </is>
      </c>
      <c r="L3" s="350" t="inlineStr">
        <is>
          <t>Saudi Qty</t>
        </is>
      </c>
      <c r="M3" s="350" t="inlineStr">
        <is>
          <t>Onsite Qty</t>
        </is>
      </c>
      <c r="N3" s="350" t="inlineStr">
        <is>
          <t>Additional Qty</t>
        </is>
      </c>
      <c r="O3" s="351" t="inlineStr">
        <is>
          <t xml:space="preserve">Total </t>
        </is>
      </c>
      <c r="Q3" s="350" t="inlineStr">
        <is>
          <t>Expat Qty</t>
        </is>
      </c>
      <c r="R3" s="350" t="inlineStr">
        <is>
          <t>Saudi Qty</t>
        </is>
      </c>
      <c r="S3" s="350" t="inlineStr">
        <is>
          <t>Onsite Qty</t>
        </is>
      </c>
      <c r="T3" s="350" t="inlineStr">
        <is>
          <t>Additional Qty</t>
        </is>
      </c>
      <c r="U3" s="351" t="inlineStr">
        <is>
          <t xml:space="preserve">Total </t>
        </is>
      </c>
      <c r="W3" s="350" t="inlineStr">
        <is>
          <t>Expat Qty</t>
        </is>
      </c>
      <c r="X3" s="350" t="inlineStr">
        <is>
          <t>Saudi Qty</t>
        </is>
      </c>
      <c r="Y3" s="350" t="inlineStr">
        <is>
          <t>Onsite Qty</t>
        </is>
      </c>
      <c r="Z3" s="350" t="inlineStr">
        <is>
          <t>Additional Qty</t>
        </is>
      </c>
      <c r="AA3" s="351" t="inlineStr">
        <is>
          <t xml:space="preserve">Total </t>
        </is>
      </c>
    </row>
    <row r="4" ht="18.75" customFormat="1" customHeight="1" s="120">
      <c r="A4" s="352" t="inlineStr">
        <is>
          <t xml:space="preserve">MEDICAL FACILITIES </t>
        </is>
      </c>
      <c r="B4" s="353" t="n"/>
      <c r="C4" s="354" t="n"/>
      <c r="D4" s="354" t="n"/>
      <c r="E4" s="355">
        <f>+SUM(E5:E11)</f>
        <v/>
      </c>
      <c r="F4" s="355">
        <f>+SUM(F5:F11)</f>
        <v/>
      </c>
      <c r="G4" s="356">
        <f>+SUM(G5:G11)</f>
        <v/>
      </c>
      <c r="H4" s="355">
        <f>SUM(H5:H11)</f>
        <v/>
      </c>
      <c r="I4" s="356">
        <f>SUM(G4:H4)</f>
        <v/>
      </c>
      <c r="K4" s="357">
        <f>SUM(K5:K11)</f>
        <v/>
      </c>
      <c r="L4" s="358">
        <f>SUM(L5:L11)</f>
        <v/>
      </c>
      <c r="M4" s="358">
        <f>SUM(M5:M11)</f>
        <v/>
      </c>
      <c r="N4" s="358">
        <f>+SUM(N5:N11)</f>
        <v/>
      </c>
      <c r="O4" s="358">
        <f>SUM(M4:N4)</f>
        <v/>
      </c>
      <c r="Q4" s="357">
        <f>SUM(Q5:Q11)</f>
        <v/>
      </c>
      <c r="R4" s="357">
        <f>SUM(R5:R11)</f>
        <v/>
      </c>
      <c r="S4" s="357">
        <f>SUM(S5:S11)</f>
        <v/>
      </c>
      <c r="T4" s="357">
        <f>SUM(T5:T11)</f>
        <v/>
      </c>
      <c r="U4" s="358">
        <f>SUM(S4:T4)</f>
        <v/>
      </c>
      <c r="W4" s="357" t="n"/>
      <c r="X4" s="358" t="n"/>
      <c r="Y4" s="358" t="n"/>
      <c r="Z4" s="358" t="n"/>
      <c r="AA4" s="358" t="n"/>
    </row>
    <row r="5" ht="21" customHeight="1">
      <c r="A5" s="121" t="n">
        <v>1</v>
      </c>
      <c r="B5" s="122" t="inlineStr">
        <is>
          <t>S.EXPATS</t>
        </is>
      </c>
      <c r="C5" s="123" t="inlineStr">
        <is>
          <t>A</t>
        </is>
      </c>
      <c r="D5" s="124" t="inlineStr">
        <is>
          <t>MANAGERS</t>
        </is>
      </c>
      <c r="E5" s="359" t="n">
        <v>0</v>
      </c>
      <c r="F5" s="359" t="n">
        <v>0</v>
      </c>
      <c r="G5" s="360">
        <f>SUM(E5:F5)</f>
        <v/>
      </c>
      <c r="H5" s="359" t="n"/>
      <c r="I5" s="360">
        <f>SUM(G5:H5)</f>
        <v/>
      </c>
      <c r="K5" s="360" t="n">
        <v>0</v>
      </c>
      <c r="L5" s="360" t="n">
        <v>0</v>
      </c>
      <c r="M5" s="360" t="n">
        <v>0</v>
      </c>
      <c r="N5" s="360" t="n">
        <v>0</v>
      </c>
      <c r="O5" s="360">
        <f>SUM(M5:N5)</f>
        <v/>
      </c>
      <c r="Q5" s="360" t="n"/>
      <c r="R5" s="360" t="n"/>
      <c r="S5" s="360" t="n"/>
      <c r="T5" s="360" t="n"/>
      <c r="U5" s="360">
        <f>SUM(S5:T5)</f>
        <v/>
      </c>
      <c r="W5" s="360" t="n"/>
      <c r="X5" s="360" t="n"/>
      <c r="Y5" s="360" t="n"/>
      <c r="Z5" s="360" t="n"/>
      <c r="AA5" s="360" t="n"/>
    </row>
    <row r="6" ht="21" customHeight="1">
      <c r="A6" s="121">
        <f>+A5+1</f>
        <v/>
      </c>
      <c r="B6" s="122" t="inlineStr">
        <is>
          <t>S.EXPATS</t>
        </is>
      </c>
      <c r="C6" s="123" t="inlineStr">
        <is>
          <t>A</t>
        </is>
      </c>
      <c r="D6" s="124" t="inlineStr">
        <is>
          <t>ADMINISTRATORS</t>
        </is>
      </c>
      <c r="E6" s="359" t="n">
        <v>0</v>
      </c>
      <c r="F6" s="359" t="n">
        <v>0</v>
      </c>
      <c r="G6" s="360">
        <f>SUM(E6:F6)</f>
        <v/>
      </c>
      <c r="H6" s="359" t="n"/>
      <c r="I6" s="360">
        <f>SUM(G6:H6)</f>
        <v/>
      </c>
      <c r="K6" s="360" t="n">
        <v>0</v>
      </c>
      <c r="L6" s="360" t="n">
        <v>0</v>
      </c>
      <c r="M6" s="360" t="n">
        <v>0</v>
      </c>
      <c r="N6" s="360" t="n">
        <v>0</v>
      </c>
      <c r="O6" s="360">
        <f>SUM(M6:N6)</f>
        <v/>
      </c>
      <c r="Q6" s="360" t="n"/>
      <c r="R6" s="360" t="n"/>
      <c r="S6" s="360" t="n"/>
      <c r="T6" s="360" t="n"/>
      <c r="U6" s="360">
        <f>SUM(S6:T6)</f>
        <v/>
      </c>
      <c r="W6" s="360" t="n"/>
      <c r="X6" s="360" t="n"/>
      <c r="Y6" s="360" t="n"/>
      <c r="Z6" s="360" t="n"/>
      <c r="AA6" s="360" t="n"/>
    </row>
    <row r="7" ht="21" customHeight="1">
      <c r="A7" s="121">
        <f>+A6+1</f>
        <v/>
      </c>
      <c r="B7" s="122" t="inlineStr">
        <is>
          <t>S.EXPATS</t>
        </is>
      </c>
      <c r="C7" s="123" t="inlineStr">
        <is>
          <t>A</t>
        </is>
      </c>
      <c r="D7" s="124" t="inlineStr">
        <is>
          <t>SUPERVISORS</t>
        </is>
      </c>
      <c r="E7" s="359" t="n">
        <v>0</v>
      </c>
      <c r="F7" s="359" t="n">
        <v>0</v>
      </c>
      <c r="G7" s="360">
        <f>SUM(E7:F7)</f>
        <v/>
      </c>
      <c r="H7" s="359" t="n"/>
      <c r="I7" s="360">
        <f>SUM(G7:H7)</f>
        <v/>
      </c>
      <c r="K7" s="360" t="n">
        <v>0</v>
      </c>
      <c r="L7" s="360" t="n">
        <v>0</v>
      </c>
      <c r="M7" s="360" t="n">
        <v>0</v>
      </c>
      <c r="N7" s="360" t="n">
        <v>0</v>
      </c>
      <c r="O7" s="360">
        <f>SUM(M7:N7)</f>
        <v/>
      </c>
      <c r="Q7" s="360" t="n"/>
      <c r="R7" s="360" t="n"/>
      <c r="S7" s="360" t="n"/>
      <c r="T7" s="360" t="n"/>
      <c r="U7" s="360">
        <f>SUM(S7:T7)</f>
        <v/>
      </c>
      <c r="W7" s="360" t="n"/>
      <c r="X7" s="360" t="n"/>
      <c r="Y7" s="360" t="n"/>
      <c r="Z7" s="360" t="n"/>
      <c r="AA7" s="360" t="n"/>
    </row>
    <row r="8" ht="21" customHeight="1">
      <c r="A8" s="121">
        <f>+A7+1</f>
        <v/>
      </c>
      <c r="B8" s="122" t="inlineStr">
        <is>
          <t>S.EXPATS</t>
        </is>
      </c>
      <c r="C8" s="123" t="inlineStr">
        <is>
          <t>B</t>
        </is>
      </c>
      <c r="D8" s="124" t="inlineStr">
        <is>
          <t>TEAM LEADERS</t>
        </is>
      </c>
      <c r="E8" s="359" t="n">
        <v>0</v>
      </c>
      <c r="F8" s="359" t="n">
        <v>0</v>
      </c>
      <c r="G8" s="360">
        <f>SUM(E8:F8)</f>
        <v/>
      </c>
      <c r="H8" s="359" t="n"/>
      <c r="I8" s="360">
        <f>SUM(G8:H8)</f>
        <v/>
      </c>
      <c r="K8" s="360" t="n">
        <v>0</v>
      </c>
      <c r="L8" s="360" t="n">
        <v>0</v>
      </c>
      <c r="M8" s="360" t="n">
        <v>0</v>
      </c>
      <c r="N8" s="360" t="n">
        <v>0</v>
      </c>
      <c r="O8" s="360">
        <f>SUM(M8:N8)</f>
        <v/>
      </c>
      <c r="Q8" s="360" t="n"/>
      <c r="R8" s="360" t="n"/>
      <c r="S8" s="360" t="n"/>
      <c r="T8" s="360" t="n"/>
      <c r="U8" s="360">
        <f>SUM(S8:T8)</f>
        <v/>
      </c>
      <c r="W8" s="360" t="n"/>
      <c r="X8" s="360" t="n"/>
      <c r="Y8" s="360" t="n"/>
      <c r="Z8" s="360" t="n"/>
      <c r="AA8" s="360" t="n"/>
    </row>
    <row r="9" ht="21" customHeight="1">
      <c r="A9" s="121">
        <f>+A8+1</f>
        <v/>
      </c>
      <c r="B9" s="122" t="inlineStr">
        <is>
          <t>EXPAT'S</t>
        </is>
      </c>
      <c r="C9" s="123" t="inlineStr">
        <is>
          <t>D</t>
        </is>
      </c>
      <c r="D9" s="124" t="inlineStr">
        <is>
          <t>CLEANING STAFF</t>
        </is>
      </c>
      <c r="E9" s="359" t="n">
        <v>2</v>
      </c>
      <c r="F9" s="359" t="n">
        <v>0</v>
      </c>
      <c r="G9" s="360">
        <f>SUM(E9:F9)</f>
        <v/>
      </c>
      <c r="H9" s="359" t="n"/>
      <c r="I9" s="360">
        <f>SUM(G9:H9)</f>
        <v/>
      </c>
      <c r="K9" s="360" t="n">
        <v>2</v>
      </c>
      <c r="L9" s="360" t="n">
        <v>0</v>
      </c>
      <c r="M9" s="360" t="n">
        <v>2</v>
      </c>
      <c r="N9" s="360" t="n">
        <v>0</v>
      </c>
      <c r="O9" s="360">
        <f>SUM(M9:N9)</f>
        <v/>
      </c>
      <c r="Q9" s="360" t="n"/>
      <c r="R9" s="360" t="n"/>
      <c r="S9" s="360" t="n"/>
      <c r="T9" s="360" t="n"/>
      <c r="U9" s="360">
        <f>SUM(S9:T9)</f>
        <v/>
      </c>
      <c r="W9" s="360" t="n"/>
      <c r="X9" s="360" t="n"/>
      <c r="Y9" s="360" t="n"/>
      <c r="Z9" s="360" t="n"/>
      <c r="AA9" s="360" t="n"/>
    </row>
    <row r="10" ht="21" customHeight="1">
      <c r="A10" s="121">
        <f>+A9+1</f>
        <v/>
      </c>
      <c r="B10" s="122" t="inlineStr">
        <is>
          <t>EXPAT'S</t>
        </is>
      </c>
      <c r="C10" s="123" t="inlineStr">
        <is>
          <t>C</t>
        </is>
      </c>
      <c r="D10" s="124" t="inlineStr">
        <is>
          <t>AMBULANCE DRIVERS</t>
        </is>
      </c>
      <c r="E10" s="359" t="n">
        <v>0</v>
      </c>
      <c r="F10" s="359" t="n">
        <v>0</v>
      </c>
      <c r="G10" s="360">
        <f>SUM(E10:F10)</f>
        <v/>
      </c>
      <c r="H10" s="359" t="n"/>
      <c r="I10" s="360">
        <f>SUM(G10:H10)</f>
        <v/>
      </c>
      <c r="K10" s="360" t="n">
        <v>0</v>
      </c>
      <c r="L10" s="360" t="n">
        <v>0</v>
      </c>
      <c r="M10" s="360" t="n">
        <v>0</v>
      </c>
      <c r="N10" s="360" t="n">
        <v>0</v>
      </c>
      <c r="O10" s="360">
        <f>SUM(M10:N10)</f>
        <v/>
      </c>
      <c r="Q10" s="360" t="n"/>
      <c r="R10" s="360" t="n"/>
      <c r="S10" s="360" t="n"/>
      <c r="T10" s="360" t="n"/>
      <c r="U10" s="360">
        <f>SUM(S10:T10)</f>
        <v/>
      </c>
      <c r="W10" s="360" t="n"/>
      <c r="X10" s="360" t="n"/>
      <c r="Y10" s="360" t="n"/>
      <c r="Z10" s="360" t="n"/>
      <c r="AA10" s="360" t="n"/>
    </row>
    <row r="11" ht="21" customHeight="1">
      <c r="A11" s="121">
        <f>+A10+1</f>
        <v/>
      </c>
      <c r="B11" s="122" t="inlineStr">
        <is>
          <t>EXPAT'S</t>
        </is>
      </c>
      <c r="C11" s="123" t="inlineStr">
        <is>
          <t>C</t>
        </is>
      </c>
      <c r="D11" s="124" t="inlineStr">
        <is>
          <t>EQUIPMENT TECHNICIANS</t>
        </is>
      </c>
      <c r="E11" s="359" t="n">
        <v>0</v>
      </c>
      <c r="F11" s="359" t="n">
        <v>0</v>
      </c>
      <c r="G11" s="360">
        <f>SUM(E11:F11)</f>
        <v/>
      </c>
      <c r="H11" s="359" t="n"/>
      <c r="I11" s="360">
        <f>SUM(G11:H11)</f>
        <v/>
      </c>
      <c r="K11" s="360" t="n">
        <v>0</v>
      </c>
      <c r="L11" s="360" t="n">
        <v>0</v>
      </c>
      <c r="M11" s="360" t="n">
        <v>0</v>
      </c>
      <c r="N11" s="360" t="n">
        <v>0</v>
      </c>
      <c r="O11" s="360">
        <f>SUM(M11:N11)</f>
        <v/>
      </c>
      <c r="Q11" s="360" t="n"/>
      <c r="R11" s="360" t="n"/>
      <c r="S11" s="360" t="n"/>
      <c r="T11" s="360" t="n"/>
      <c r="U11" s="360">
        <f>SUM(S11:T11)</f>
        <v/>
      </c>
      <c r="W11" s="360" t="n"/>
      <c r="X11" s="360" t="n"/>
      <c r="Y11" s="360" t="n"/>
      <c r="Z11" s="360" t="n"/>
      <c r="AA11" s="360" t="n"/>
    </row>
    <row r="12" ht="18.75" customFormat="1" customHeight="1" s="120">
      <c r="A12" s="352" t="inlineStr">
        <is>
          <t>ENVIRONMENT, HEALTH AND SAFETY</t>
        </is>
      </c>
      <c r="B12" s="353" t="n"/>
      <c r="C12" s="354" t="n"/>
      <c r="D12" s="354" t="n"/>
      <c r="E12" s="355">
        <f>+SUM(E13:E16)</f>
        <v/>
      </c>
      <c r="F12" s="355">
        <f>+SUM(F13:F16)</f>
        <v/>
      </c>
      <c r="G12" s="356">
        <f>+SUM(G13:G16)</f>
        <v/>
      </c>
      <c r="H12" s="355">
        <f>SUM(H13:H16)</f>
        <v/>
      </c>
      <c r="I12" s="356">
        <f>SUM(G12:H12)</f>
        <v/>
      </c>
      <c r="K12" s="358">
        <f>SUM(K13:K16)</f>
        <v/>
      </c>
      <c r="L12" s="358">
        <f>SUM(L13:L16)</f>
        <v/>
      </c>
      <c r="M12" s="358">
        <f>SUM(M13:M16)</f>
        <v/>
      </c>
      <c r="N12" s="358">
        <f>SUM(N13:N16)</f>
        <v/>
      </c>
      <c r="O12" s="358">
        <f>SUM(M12:N12)</f>
        <v/>
      </c>
      <c r="Q12" s="358">
        <f>SUM(Q13:Q16)</f>
        <v/>
      </c>
      <c r="R12" s="358">
        <f>SUM(R13:R16)</f>
        <v/>
      </c>
      <c r="S12" s="358">
        <f>SUM(S13:S16)</f>
        <v/>
      </c>
      <c r="T12" s="358">
        <f>SUM(T13:T16)</f>
        <v/>
      </c>
      <c r="U12" s="358">
        <f>SUM(S12:T12)</f>
        <v/>
      </c>
      <c r="W12" s="358" t="n">
        <v>1</v>
      </c>
      <c r="X12" s="358" t="n"/>
      <c r="Y12" s="358">
        <f>SUM(Y13:Y16)</f>
        <v/>
      </c>
      <c r="Z12" s="358" t="n"/>
      <c r="AA12" s="358" t="n">
        <v>1</v>
      </c>
    </row>
    <row r="13" ht="21" customHeight="1">
      <c r="A13" s="121" t="n">
        <v>1</v>
      </c>
      <c r="B13" s="122" t="inlineStr">
        <is>
          <t>SAUDI'S</t>
        </is>
      </c>
      <c r="C13" s="123" t="inlineStr">
        <is>
          <t>A</t>
        </is>
      </c>
      <c r="D13" s="122" t="inlineStr">
        <is>
          <t xml:space="preserve">QHSE MANAGER </t>
        </is>
      </c>
      <c r="E13" s="359" t="n">
        <v>1</v>
      </c>
      <c r="F13" s="359" t="n">
        <v>1</v>
      </c>
      <c r="G13" s="360">
        <f>SUM(E13:F13)</f>
        <v/>
      </c>
      <c r="H13" s="359" t="n">
        <v>1</v>
      </c>
      <c r="I13" s="360">
        <f>SUM(G13:H13)</f>
        <v/>
      </c>
      <c r="K13" s="360" t="n">
        <v>1</v>
      </c>
      <c r="L13" s="360" t="n">
        <v>1</v>
      </c>
      <c r="M13" s="360" t="n">
        <v>1</v>
      </c>
      <c r="N13" s="360" t="n">
        <v>0</v>
      </c>
      <c r="O13" s="360">
        <f>SUM(M13:N13)</f>
        <v/>
      </c>
      <c r="Q13" s="360" t="n"/>
      <c r="R13" s="360" t="n"/>
      <c r="S13" s="360" t="n"/>
      <c r="T13" s="360" t="n"/>
      <c r="U13" s="360">
        <f>SUM(S13:T13)</f>
        <v/>
      </c>
      <c r="W13" s="360" t="n"/>
      <c r="X13" s="360" t="n"/>
      <c r="Y13" s="360" t="n"/>
      <c r="Z13" s="360" t="n"/>
      <c r="AA13" s="360" t="n"/>
    </row>
    <row r="14" ht="21" customHeight="1">
      <c r="A14" s="121">
        <f>+A13+1</f>
        <v/>
      </c>
      <c r="B14" s="122" t="inlineStr">
        <is>
          <t>SAUDI'S</t>
        </is>
      </c>
      <c r="C14" s="123" t="inlineStr">
        <is>
          <t>B</t>
        </is>
      </c>
      <c r="D14" s="122" t="inlineStr">
        <is>
          <t xml:space="preserve">ENVIRONMENTAL INSPECTOR </t>
        </is>
      </c>
      <c r="E14" s="359" t="n">
        <v>2</v>
      </c>
      <c r="F14" s="359" t="n">
        <v>1</v>
      </c>
      <c r="G14" s="360" t="n">
        <v>0</v>
      </c>
      <c r="H14" s="359" t="n"/>
      <c r="I14" s="360">
        <f>SUM(G14:H14)</f>
        <v/>
      </c>
      <c r="K14" s="360" t="n">
        <v>2</v>
      </c>
      <c r="L14" s="360" t="n">
        <v>1</v>
      </c>
      <c r="M14" s="360" t="n">
        <v>0</v>
      </c>
      <c r="N14" s="360" t="n">
        <v>0</v>
      </c>
      <c r="O14" s="360">
        <f>SUM(M14:N14)</f>
        <v/>
      </c>
      <c r="Q14" s="360" t="n"/>
      <c r="R14" s="360" t="n"/>
      <c r="S14" s="360" t="n"/>
      <c r="T14" s="360" t="n"/>
      <c r="U14" s="360">
        <f>SUM(S14:T14)</f>
        <v/>
      </c>
      <c r="W14" s="360" t="n"/>
      <c r="X14" s="360" t="n"/>
      <c r="Y14" s="360" t="n"/>
      <c r="Z14" s="360" t="n"/>
      <c r="AA14" s="360" t="n"/>
    </row>
    <row r="15" ht="21" customHeight="1">
      <c r="A15" s="121">
        <f>+A14+1</f>
        <v/>
      </c>
      <c r="B15" s="122" t="inlineStr">
        <is>
          <t>EXPAT'S</t>
        </is>
      </c>
      <c r="C15" s="123" t="inlineStr">
        <is>
          <t>B</t>
        </is>
      </c>
      <c r="D15" s="122" t="inlineStr">
        <is>
          <t>QSHE  OFFICER</t>
        </is>
      </c>
      <c r="E15" s="359" t="n">
        <v>2</v>
      </c>
      <c r="F15" s="359" t="inlineStr">
        <is>
          <t>-</t>
        </is>
      </c>
      <c r="G15" s="360" t="n">
        <v>2</v>
      </c>
      <c r="H15" s="359" t="n"/>
      <c r="I15" s="360">
        <f>SUM(G15:H15)</f>
        <v/>
      </c>
      <c r="K15" s="360" t="n">
        <v>2</v>
      </c>
      <c r="L15" s="360" t="inlineStr">
        <is>
          <t>-</t>
        </is>
      </c>
      <c r="M15" s="360" t="n">
        <v>2</v>
      </c>
      <c r="N15" s="360" t="n">
        <v>0</v>
      </c>
      <c r="O15" s="360">
        <f>SUM(M15:N15)</f>
        <v/>
      </c>
      <c r="Q15" s="360" t="n"/>
      <c r="R15" s="360" t="n"/>
      <c r="S15" s="360" t="n"/>
      <c r="T15" s="360" t="n"/>
      <c r="U15" s="360">
        <f>SUM(S15:T15)</f>
        <v/>
      </c>
      <c r="W15" s="360" t="n">
        <v>1</v>
      </c>
      <c r="X15" s="360" t="n"/>
      <c r="Y15" s="360" t="n">
        <v>1</v>
      </c>
      <c r="Z15" s="360" t="n"/>
      <c r="AA15" s="360" t="n">
        <v>1</v>
      </c>
    </row>
    <row r="16" ht="21" customHeight="1">
      <c r="A16" s="121">
        <f>+A15+1</f>
        <v/>
      </c>
      <c r="B16" s="122" t="inlineStr">
        <is>
          <t>EXPAT'S</t>
        </is>
      </c>
      <c r="C16" s="123" t="inlineStr">
        <is>
          <t>B</t>
        </is>
      </c>
      <c r="D16" s="122" t="inlineStr">
        <is>
          <t>SAFETY OFFICER</t>
        </is>
      </c>
      <c r="E16" s="359" t="n">
        <v>2</v>
      </c>
      <c r="F16" s="359" t="inlineStr">
        <is>
          <t>-</t>
        </is>
      </c>
      <c r="G16" s="360" t="n">
        <v>2</v>
      </c>
      <c r="H16" s="359" t="n">
        <v>1</v>
      </c>
      <c r="I16" s="360">
        <f>SUM(G16:H16)</f>
        <v/>
      </c>
      <c r="K16" s="360" t="n">
        <v>2</v>
      </c>
      <c r="L16" s="360" t="inlineStr">
        <is>
          <t>-</t>
        </is>
      </c>
      <c r="M16" s="360" t="n">
        <v>2</v>
      </c>
      <c r="N16" s="360" t="n">
        <v>1</v>
      </c>
      <c r="O16" s="360">
        <f>SUM(M16:N16)</f>
        <v/>
      </c>
      <c r="Q16" s="360" t="n">
        <v>1</v>
      </c>
      <c r="R16" s="360" t="n"/>
      <c r="S16" s="360" t="n">
        <v>1</v>
      </c>
      <c r="T16" s="360" t="n"/>
      <c r="U16" s="360">
        <f>SUM(S16:T16)</f>
        <v/>
      </c>
      <c r="W16" s="360" t="n"/>
      <c r="X16" s="360" t="n"/>
      <c r="Y16" s="360" t="n"/>
      <c r="Z16" s="360" t="n"/>
      <c r="AA16" s="360" t="n"/>
    </row>
    <row r="17" ht="18.75" customFormat="1" customHeight="1" s="120">
      <c r="A17" s="352" t="inlineStr">
        <is>
          <t>PEST CONTROL SERVICES</t>
        </is>
      </c>
      <c r="B17" s="353" t="n"/>
      <c r="C17" s="354" t="n"/>
      <c r="D17" s="354" t="n"/>
      <c r="E17" s="355">
        <f>+SUM(E18:E19)</f>
        <v/>
      </c>
      <c r="F17" s="355">
        <f>+SUM(F18:F19)</f>
        <v/>
      </c>
      <c r="G17" s="356">
        <f>+SUM(G18:G19)</f>
        <v/>
      </c>
      <c r="H17" s="355">
        <f>SUM(H18:H19)</f>
        <v/>
      </c>
      <c r="I17" s="356">
        <f>SUM(G17:H17)</f>
        <v/>
      </c>
      <c r="K17" s="358" t="n">
        <v>8</v>
      </c>
      <c r="L17" s="358" t="n">
        <v>0</v>
      </c>
      <c r="M17" s="358">
        <f>+SUM(M18:M19)</f>
        <v/>
      </c>
      <c r="N17" s="358">
        <f>+SUM(N18:N19)</f>
        <v/>
      </c>
      <c r="O17" s="358">
        <f>SUM(M17:N17)</f>
        <v/>
      </c>
      <c r="Q17" s="358">
        <f>SUM(Q18:Q19)</f>
        <v/>
      </c>
      <c r="R17" s="358">
        <f>SUM(R18:R19)</f>
        <v/>
      </c>
      <c r="S17" s="358">
        <f>SUM(S18:S19)</f>
        <v/>
      </c>
      <c r="T17" s="358">
        <f>SUM(T18:T19)</f>
        <v/>
      </c>
      <c r="U17" s="358">
        <f>SUM(S17:T17)</f>
        <v/>
      </c>
      <c r="W17" s="358" t="n">
        <v>3</v>
      </c>
      <c r="X17" s="358" t="n"/>
      <c r="Y17" s="358" t="n">
        <v>2</v>
      </c>
      <c r="Z17" s="358" t="n"/>
      <c r="AA17" s="358" t="n">
        <v>2</v>
      </c>
    </row>
    <row r="18" ht="21" customHeight="1">
      <c r="A18" s="121" t="n">
        <v>1</v>
      </c>
      <c r="B18" s="122" t="inlineStr">
        <is>
          <t>EXPAT'S</t>
        </is>
      </c>
      <c r="C18" s="123" t="inlineStr">
        <is>
          <t>C</t>
        </is>
      </c>
      <c r="D18" s="122" t="inlineStr">
        <is>
          <t>P.C SUPERVISOR</t>
        </is>
      </c>
      <c r="E18" s="359" t="n">
        <v>2</v>
      </c>
      <c r="F18" s="359" t="inlineStr">
        <is>
          <t>-</t>
        </is>
      </c>
      <c r="G18" s="360">
        <f>SUM(E18:F18)</f>
        <v/>
      </c>
      <c r="H18" s="359" t="n"/>
      <c r="I18" s="360">
        <f>SUM(G18:H18)</f>
        <v/>
      </c>
      <c r="K18" s="360" t="n">
        <v>2</v>
      </c>
      <c r="L18" s="360" t="inlineStr">
        <is>
          <t>-</t>
        </is>
      </c>
      <c r="M18" s="360" t="n">
        <v>1</v>
      </c>
      <c r="N18" s="360" t="n">
        <v>0</v>
      </c>
      <c r="O18" s="360">
        <f>SUM(M18:N18)</f>
        <v/>
      </c>
      <c r="Q18" s="360" t="n"/>
      <c r="R18" s="360" t="n"/>
      <c r="S18" s="360" t="n">
        <v>0</v>
      </c>
      <c r="T18" s="360" t="n"/>
      <c r="U18" s="360">
        <f>SUM(S18:T18)</f>
        <v/>
      </c>
      <c r="W18" s="360" t="n">
        <v>1</v>
      </c>
      <c r="X18" s="360" t="n"/>
      <c r="Y18" s="360" t="n">
        <v>1</v>
      </c>
      <c r="Z18" s="360" t="n"/>
      <c r="AA18" s="360" t="n">
        <v>1</v>
      </c>
    </row>
    <row r="19" ht="21" customHeight="1">
      <c r="A19" s="121">
        <f>+A18+1</f>
        <v/>
      </c>
      <c r="B19" s="122" t="inlineStr">
        <is>
          <t>EXPAT'S</t>
        </is>
      </c>
      <c r="C19" s="123" t="inlineStr">
        <is>
          <t>C</t>
        </is>
      </c>
      <c r="D19" s="122" t="inlineStr">
        <is>
          <t>P.C TECHNICIAN</t>
        </is>
      </c>
      <c r="E19" s="359" t="n">
        <v>6</v>
      </c>
      <c r="F19" s="359" t="inlineStr">
        <is>
          <t>-</t>
        </is>
      </c>
      <c r="G19" s="360" t="n">
        <v>5</v>
      </c>
      <c r="H19" s="359" t="n">
        <v>0</v>
      </c>
      <c r="I19" s="360">
        <f>SUM(G19:H19)</f>
        <v/>
      </c>
      <c r="K19" s="360" t="n">
        <v>6</v>
      </c>
      <c r="L19" s="360" t="inlineStr">
        <is>
          <t>-</t>
        </is>
      </c>
      <c r="M19" s="360" t="n">
        <v>6</v>
      </c>
      <c r="N19" s="360" t="n">
        <v>11</v>
      </c>
      <c r="O19" s="360">
        <f>SUM(M19:N19)</f>
        <v/>
      </c>
      <c r="Q19" s="360" t="n">
        <v>1</v>
      </c>
      <c r="R19" s="360" t="n"/>
      <c r="S19" s="360" t="n">
        <v>1</v>
      </c>
      <c r="T19" s="360" t="n">
        <v>1</v>
      </c>
      <c r="U19" s="360">
        <f>SUM(S19:T19)</f>
        <v/>
      </c>
      <c r="W19" s="360" t="n">
        <v>2</v>
      </c>
      <c r="X19" s="360" t="n"/>
      <c r="Y19" s="360" t="n">
        <v>1</v>
      </c>
      <c r="Z19" s="360" t="n"/>
      <c r="AA19" s="360" t="n">
        <v>1</v>
      </c>
    </row>
    <row r="20" ht="18.75" customFormat="1" customHeight="1" s="120">
      <c r="A20" s="352" t="inlineStr">
        <is>
          <t>WASTE MANAGEMENT</t>
        </is>
      </c>
      <c r="B20" s="353" t="n"/>
      <c r="C20" s="354" t="n"/>
      <c r="D20" s="354" t="n"/>
      <c r="E20" s="355">
        <f>+SUM(E22:E24)</f>
        <v/>
      </c>
      <c r="F20" s="355">
        <f>+SUM(F22:F24)</f>
        <v/>
      </c>
      <c r="G20" s="356">
        <f>+SUM(G22:G24)</f>
        <v/>
      </c>
      <c r="H20" s="355">
        <f>SUM(H21:H24)</f>
        <v/>
      </c>
      <c r="I20" s="356">
        <f>SUM(I21:I24)</f>
        <v/>
      </c>
      <c r="K20" s="358">
        <f>SUM(K21:K24)</f>
        <v/>
      </c>
      <c r="L20" s="358">
        <f>SUM(L21:L24)</f>
        <v/>
      </c>
      <c r="M20" s="358">
        <f>SUM(M21:M24)</f>
        <v/>
      </c>
      <c r="N20" s="358">
        <f>SUM(N21:N24)</f>
        <v/>
      </c>
      <c r="O20" s="358">
        <f>SUM(M20:N20)</f>
        <v/>
      </c>
      <c r="Q20" s="357">
        <f>SUM(Q21:Q24)</f>
        <v/>
      </c>
      <c r="R20" s="357">
        <f>SUM(R21:R24)</f>
        <v/>
      </c>
      <c r="S20" s="357">
        <f>SUM(S21:S24)</f>
        <v/>
      </c>
      <c r="T20" s="357">
        <f>SUM(T21:T24)</f>
        <v/>
      </c>
      <c r="U20" s="358">
        <f>SUM(S20:T20)</f>
        <v/>
      </c>
      <c r="W20" s="358" t="n">
        <v>2</v>
      </c>
      <c r="X20" s="358" t="n"/>
      <c r="Y20" s="358" t="n">
        <v>2</v>
      </c>
      <c r="Z20" s="358" t="n"/>
      <c r="AA20" s="358" t="n">
        <v>2</v>
      </c>
    </row>
    <row r="21" ht="21" customHeight="1">
      <c r="A21" s="121" t="n">
        <v>1</v>
      </c>
      <c r="B21" s="122" t="inlineStr">
        <is>
          <t>EXPAT'S</t>
        </is>
      </c>
      <c r="C21" s="123" t="inlineStr">
        <is>
          <t>A</t>
        </is>
      </c>
      <c r="D21" s="122" t="inlineStr">
        <is>
          <t>WASTE MANAGEMENT MANAGER</t>
        </is>
      </c>
      <c r="E21" s="359" t="n">
        <v>0</v>
      </c>
      <c r="F21" s="359" t="inlineStr">
        <is>
          <t>-</t>
        </is>
      </c>
      <c r="G21" s="360" t="n"/>
      <c r="H21" s="359" t="n">
        <v>1</v>
      </c>
      <c r="I21" s="360">
        <f>SUM(G21:H21)</f>
        <v/>
      </c>
      <c r="K21" s="360" t="n">
        <v>0</v>
      </c>
      <c r="L21" s="360" t="inlineStr">
        <is>
          <t>-</t>
        </is>
      </c>
      <c r="M21" s="360" t="n">
        <v>0</v>
      </c>
      <c r="N21" s="360" t="n">
        <v>0</v>
      </c>
      <c r="O21" s="360">
        <f>SUM(M21:N21)</f>
        <v/>
      </c>
      <c r="Q21" s="360" t="n"/>
      <c r="R21" s="360" t="n"/>
      <c r="S21" s="360" t="n"/>
      <c r="T21" s="360" t="n"/>
      <c r="U21" s="360">
        <f>SUM(S21:T21)</f>
        <v/>
      </c>
      <c r="W21" s="360" t="n"/>
      <c r="X21" s="360" t="n"/>
      <c r="Y21" s="360" t="n"/>
      <c r="Z21" s="360" t="n"/>
      <c r="AA21" s="360" t="n"/>
    </row>
    <row r="22" ht="21" customHeight="1">
      <c r="A22" s="121" t="n">
        <v>2</v>
      </c>
      <c r="B22" s="122" t="inlineStr">
        <is>
          <t>EXPAT'S</t>
        </is>
      </c>
      <c r="C22" s="123" t="inlineStr">
        <is>
          <t>A</t>
        </is>
      </c>
      <c r="D22" s="122" t="inlineStr">
        <is>
          <t xml:space="preserve">WASTE SERVICES SUPERVISOR </t>
        </is>
      </c>
      <c r="E22" s="359" t="n">
        <v>2</v>
      </c>
      <c r="F22" s="359" t="inlineStr">
        <is>
          <t>-</t>
        </is>
      </c>
      <c r="G22" s="360" t="n">
        <v>1</v>
      </c>
      <c r="H22" s="359" t="n"/>
      <c r="I22" s="360">
        <f>SUM(G22:H22)</f>
        <v/>
      </c>
      <c r="K22" s="360" t="n">
        <v>2</v>
      </c>
      <c r="L22" s="360" t="inlineStr">
        <is>
          <t>-</t>
        </is>
      </c>
      <c r="M22" s="360" t="n">
        <v>0</v>
      </c>
      <c r="N22" s="360" t="n">
        <v>0</v>
      </c>
      <c r="O22" s="360">
        <f>SUM(M22:N22)</f>
        <v/>
      </c>
      <c r="Q22" s="360" t="n"/>
      <c r="R22" s="360" t="n"/>
      <c r="S22" s="360" t="n"/>
      <c r="T22" s="360" t="n"/>
      <c r="U22" s="360">
        <f>SUM(S22:T22)</f>
        <v/>
      </c>
      <c r="W22" s="360" t="n"/>
      <c r="X22" s="360" t="n"/>
      <c r="Y22" s="360" t="n"/>
      <c r="Z22" s="360" t="n"/>
      <c r="AA22" s="360" t="n"/>
    </row>
    <row r="23" ht="21" customHeight="1">
      <c r="A23" s="121">
        <f>+A22+1</f>
        <v/>
      </c>
      <c r="B23" s="122" t="inlineStr">
        <is>
          <t>EXPAT'S</t>
        </is>
      </c>
      <c r="C23" s="123" t="inlineStr">
        <is>
          <t>D</t>
        </is>
      </c>
      <c r="D23" s="122" t="inlineStr">
        <is>
          <t>WASTE SEGREGATOR</t>
        </is>
      </c>
      <c r="E23" s="359" t="n">
        <v>12</v>
      </c>
      <c r="F23" s="359" t="inlineStr">
        <is>
          <t>-</t>
        </is>
      </c>
      <c r="G23" s="360" t="n">
        <v>8</v>
      </c>
      <c r="H23" s="359" t="n"/>
      <c r="I23" s="360">
        <f>SUM(G23:H23)</f>
        <v/>
      </c>
      <c r="K23" s="360" t="n">
        <v>12</v>
      </c>
      <c r="L23" s="360" t="inlineStr">
        <is>
          <t>-</t>
        </is>
      </c>
      <c r="M23" s="360" t="n">
        <v>4</v>
      </c>
      <c r="N23" s="360" t="n">
        <v>0</v>
      </c>
      <c r="O23" s="360">
        <f>SUM(M23:N23)</f>
        <v/>
      </c>
      <c r="Q23" s="360" t="n"/>
      <c r="R23" s="360" t="n"/>
      <c r="S23" s="360" t="n"/>
      <c r="T23" s="360" t="n"/>
      <c r="U23" s="360">
        <f>SUM(S23:T23)</f>
        <v/>
      </c>
      <c r="W23" s="360" t="n"/>
      <c r="X23" s="360" t="n"/>
      <c r="Y23" s="360" t="n"/>
      <c r="Z23" s="360" t="n"/>
      <c r="AA23" s="360" t="n"/>
    </row>
    <row r="24" ht="21" customHeight="1">
      <c r="A24" s="121">
        <f>+A23+1</f>
        <v/>
      </c>
      <c r="B24" s="122" t="inlineStr">
        <is>
          <t>EXPAT'S</t>
        </is>
      </c>
      <c r="C24" s="123" t="inlineStr">
        <is>
          <t>D</t>
        </is>
      </c>
      <c r="D24" s="122" t="inlineStr">
        <is>
          <t xml:space="preserve">WASTE COLLECTOR </t>
        </is>
      </c>
      <c r="E24" s="359" t="n">
        <v>4</v>
      </c>
      <c r="F24" s="359" t="inlineStr">
        <is>
          <t>-</t>
        </is>
      </c>
      <c r="G24" s="360" t="n">
        <v>4</v>
      </c>
      <c r="H24" s="359" t="n"/>
      <c r="I24" s="360">
        <f>SUM(G24:H24)</f>
        <v/>
      </c>
      <c r="K24" s="360" t="n">
        <v>4</v>
      </c>
      <c r="L24" s="360" t="inlineStr">
        <is>
          <t>-</t>
        </is>
      </c>
      <c r="M24" s="360" t="n">
        <v>2</v>
      </c>
      <c r="N24" s="360" t="n">
        <v>0</v>
      </c>
      <c r="O24" s="360">
        <f>SUM(M24:N24)</f>
        <v/>
      </c>
      <c r="Q24" s="360" t="n"/>
      <c r="R24" s="360" t="n"/>
      <c r="S24" s="360" t="n"/>
      <c r="T24" s="360" t="n"/>
      <c r="U24" s="360">
        <f>SUM(S24:T24)</f>
        <v/>
      </c>
      <c r="W24" s="360" t="n">
        <v>2</v>
      </c>
      <c r="X24" s="360" t="n"/>
      <c r="Y24" s="360" t="n">
        <v>2</v>
      </c>
      <c r="Z24" s="360" t="n"/>
      <c r="AA24" s="360" t="n">
        <v>2</v>
      </c>
    </row>
    <row r="25" ht="18.75" customFormat="1" customHeight="1" s="120">
      <c r="A25" s="352" t="inlineStr">
        <is>
          <t>HAZARDOUS WASTE STORAGE AND HANDLING</t>
        </is>
      </c>
      <c r="B25" s="353" t="n"/>
      <c r="C25" s="354" t="n"/>
      <c r="D25" s="354" t="n"/>
      <c r="E25" s="355">
        <f>+SUM(E26:E26)</f>
        <v/>
      </c>
      <c r="F25" s="355">
        <f>+SUM(F26:F26)</f>
        <v/>
      </c>
      <c r="G25" s="356" t="n">
        <v>2</v>
      </c>
      <c r="H25" s="355">
        <f>SUM(H26)</f>
        <v/>
      </c>
      <c r="I25" s="356">
        <f>+SUM(I26:I26)</f>
        <v/>
      </c>
      <c r="K25" s="358">
        <f>SUM(K26)</f>
        <v/>
      </c>
      <c r="L25" s="358">
        <f>SUM(L26)</f>
        <v/>
      </c>
      <c r="M25" s="358">
        <f>SUM(M26)</f>
        <v/>
      </c>
      <c r="N25" s="358">
        <f>SUM(N26)</f>
        <v/>
      </c>
      <c r="O25" s="358">
        <f>SUM(M25:N25)</f>
        <v/>
      </c>
      <c r="Q25" s="357">
        <f>SUM(Q26)</f>
        <v/>
      </c>
      <c r="R25" s="357">
        <f>SUM(R26)</f>
        <v/>
      </c>
      <c r="S25" s="357">
        <f>SUM(S26)</f>
        <v/>
      </c>
      <c r="T25" s="357">
        <f>SUM(T26)</f>
        <v/>
      </c>
      <c r="U25" s="358">
        <f>SUM(S25:T25)</f>
        <v/>
      </c>
      <c r="W25" s="358" t="n"/>
      <c r="X25" s="358" t="n"/>
      <c r="Y25" s="358" t="n"/>
      <c r="Z25" s="358" t="n"/>
      <c r="AA25" s="358" t="n"/>
    </row>
    <row r="26" ht="21" customHeight="1">
      <c r="A26" s="121" t="n">
        <v>1</v>
      </c>
      <c r="B26" s="122" t="inlineStr">
        <is>
          <t>EXPAT'S</t>
        </is>
      </c>
      <c r="C26" s="123" t="inlineStr">
        <is>
          <t>D</t>
        </is>
      </c>
      <c r="D26" s="122" t="inlineStr">
        <is>
          <t xml:space="preserve">WASTE COLLECTOR </t>
        </is>
      </c>
      <c r="E26" s="359" t="n">
        <v>2</v>
      </c>
      <c r="F26" s="359" t="inlineStr">
        <is>
          <t>-</t>
        </is>
      </c>
      <c r="G26" s="360" t="n">
        <v>2</v>
      </c>
      <c r="H26" s="359" t="n"/>
      <c r="I26" s="360">
        <f>SUM(G26:H26)</f>
        <v/>
      </c>
      <c r="K26" s="360" t="n">
        <v>2</v>
      </c>
      <c r="L26" s="360" t="inlineStr">
        <is>
          <t>-</t>
        </is>
      </c>
      <c r="M26" s="360" t="n">
        <v>0</v>
      </c>
      <c r="N26" s="360" t="n">
        <v>0</v>
      </c>
      <c r="O26" s="360">
        <f>SUM(M26:N26)</f>
        <v/>
      </c>
      <c r="Q26" s="360" t="n"/>
      <c r="R26" s="360" t="n"/>
      <c r="S26" s="360" t="n"/>
      <c r="T26" s="360" t="n"/>
      <c r="U26" s="360">
        <f>SUM(S26:T26)</f>
        <v/>
      </c>
      <c r="W26" s="360" t="n"/>
      <c r="X26" s="360" t="n"/>
      <c r="Y26" s="360" t="n">
        <v>20</v>
      </c>
      <c r="Z26" s="360" t="n"/>
      <c r="AA26" s="360" t="n">
        <v>2</v>
      </c>
    </row>
    <row r="27" ht="18.75" customFormat="1" customHeight="1" s="120">
      <c r="A27" s="352" t="inlineStr">
        <is>
          <t>SEWAGE TREATMENT PLANT</t>
        </is>
      </c>
      <c r="B27" s="353" t="n"/>
      <c r="C27" s="354" t="n"/>
      <c r="D27" s="354" t="n"/>
      <c r="E27" s="355">
        <f>+SUM(E28:E30)</f>
        <v/>
      </c>
      <c r="F27" s="355">
        <f>+SUM(F28:F30)</f>
        <v/>
      </c>
      <c r="G27" s="356">
        <f>+SUM(G28:G30)</f>
        <v/>
      </c>
      <c r="H27" s="355">
        <f>SUM(H28:H30)</f>
        <v/>
      </c>
      <c r="I27" s="356">
        <f>+SUM(I28:I30)</f>
        <v/>
      </c>
      <c r="K27" s="358">
        <f>SUM(K28:K30)</f>
        <v/>
      </c>
      <c r="L27" s="358">
        <f>SUM(L28:L30)</f>
        <v/>
      </c>
      <c r="M27" s="358">
        <f>SUM(M28:M30)</f>
        <v/>
      </c>
      <c r="N27" s="358">
        <f>SUM(N28:N30)</f>
        <v/>
      </c>
      <c r="O27" s="358">
        <f>SUM(M27:N27)</f>
        <v/>
      </c>
      <c r="Q27" s="357">
        <f>SUM(Q28:Q30)</f>
        <v/>
      </c>
      <c r="R27" s="357">
        <f>SUM(R28:R30)</f>
        <v/>
      </c>
      <c r="S27" s="357">
        <f>SUM(S28:S30)</f>
        <v/>
      </c>
      <c r="T27" s="357">
        <f>SUM(T28:T30)</f>
        <v/>
      </c>
      <c r="U27" s="358">
        <f>SUM(S27:T27)</f>
        <v/>
      </c>
      <c r="W27" s="358" t="n"/>
      <c r="X27" s="358" t="n"/>
      <c r="Y27" s="358" t="n"/>
      <c r="Z27" s="358" t="n"/>
      <c r="AA27" s="358" t="n"/>
    </row>
    <row r="28" ht="21" customHeight="1">
      <c r="A28" s="121" t="n">
        <v>1</v>
      </c>
      <c r="B28" s="122" t="inlineStr">
        <is>
          <t>EXPAT'S</t>
        </is>
      </c>
      <c r="C28" s="123" t="inlineStr">
        <is>
          <t>A</t>
        </is>
      </c>
      <c r="D28" s="122" t="inlineStr">
        <is>
          <t xml:space="preserve">STP SUPERVISOR </t>
        </is>
      </c>
      <c r="E28" s="359" t="n">
        <v>2</v>
      </c>
      <c r="F28" s="359" t="inlineStr">
        <is>
          <t>-</t>
        </is>
      </c>
      <c r="G28" s="360">
        <f>SUM(E28:F28)</f>
        <v/>
      </c>
      <c r="H28" s="359" t="n"/>
      <c r="I28" s="360">
        <f>SUM(G28:H28)</f>
        <v/>
      </c>
      <c r="K28" s="360" t="n">
        <v>2</v>
      </c>
      <c r="L28" s="360" t="inlineStr">
        <is>
          <t>-</t>
        </is>
      </c>
      <c r="M28" s="360" t="n">
        <v>2</v>
      </c>
      <c r="N28" s="360" t="n">
        <v>0</v>
      </c>
      <c r="O28" s="360">
        <f>SUM(M28:N28)</f>
        <v/>
      </c>
      <c r="Q28" s="360" t="n"/>
      <c r="R28" s="360" t="n"/>
      <c r="S28" s="360" t="n"/>
      <c r="T28" s="360" t="n"/>
      <c r="U28" s="360">
        <f>SUM(S28:T28)</f>
        <v/>
      </c>
      <c r="W28" s="360" t="n"/>
      <c r="X28" s="360" t="n"/>
      <c r="Y28" s="360" t="n"/>
      <c r="Z28" s="360" t="n"/>
      <c r="AA28" s="360" t="n"/>
    </row>
    <row r="29" ht="21" customHeight="1">
      <c r="A29" s="121">
        <f>+A28+1</f>
        <v/>
      </c>
      <c r="B29" s="122" t="inlineStr">
        <is>
          <t>EXPAT'S</t>
        </is>
      </c>
      <c r="C29" s="123" t="inlineStr">
        <is>
          <t>C</t>
        </is>
      </c>
      <c r="D29" s="122" t="inlineStr">
        <is>
          <t xml:space="preserve">STP OPERATOR </t>
        </is>
      </c>
      <c r="E29" s="359" t="n">
        <v>4</v>
      </c>
      <c r="F29" s="359" t="inlineStr">
        <is>
          <t>-</t>
        </is>
      </c>
      <c r="G29" s="360">
        <f>SUM(E29:F29)</f>
        <v/>
      </c>
      <c r="H29" s="359" t="n"/>
      <c r="I29" s="360">
        <f>SUM(G29:H29)</f>
        <v/>
      </c>
      <c r="K29" s="360" t="n">
        <v>4</v>
      </c>
      <c r="L29" s="360" t="inlineStr">
        <is>
          <t>-</t>
        </is>
      </c>
      <c r="M29" s="360" t="n">
        <v>4</v>
      </c>
      <c r="N29" s="360" t="n">
        <v>1</v>
      </c>
      <c r="O29" s="360">
        <f>SUM(M29:N29)</f>
        <v/>
      </c>
      <c r="Q29" s="360" t="n"/>
      <c r="R29" s="360" t="n"/>
      <c r="S29" s="360" t="n"/>
      <c r="T29" s="360" t="n">
        <v>2</v>
      </c>
      <c r="U29" s="360">
        <f>SUM(S29:T29)</f>
        <v/>
      </c>
      <c r="W29" s="360" t="n"/>
      <c r="X29" s="360" t="n"/>
      <c r="Y29" s="360" t="n"/>
      <c r="Z29" s="360" t="n"/>
      <c r="AA29" s="360" t="n"/>
    </row>
    <row r="30" ht="21" customHeight="1">
      <c r="A30" s="121">
        <f>+A29+1</f>
        <v/>
      </c>
      <c r="B30" s="122" t="inlineStr">
        <is>
          <t>EXPAT'S</t>
        </is>
      </c>
      <c r="C30" s="123" t="inlineStr">
        <is>
          <t>C</t>
        </is>
      </c>
      <c r="D30" s="122" t="inlineStr">
        <is>
          <t>MULTI-SKILLED TECHNICIANS</t>
        </is>
      </c>
      <c r="E30" s="359" t="n">
        <v>2</v>
      </c>
      <c r="F30" s="359" t="inlineStr">
        <is>
          <t>-</t>
        </is>
      </c>
      <c r="G30" s="360" t="n">
        <v>0</v>
      </c>
      <c r="H30" s="359" t="n"/>
      <c r="I30" s="360">
        <f>SUM(G30:H30)</f>
        <v/>
      </c>
      <c r="K30" s="360" t="n">
        <v>2</v>
      </c>
      <c r="L30" s="360" t="inlineStr">
        <is>
          <t>-</t>
        </is>
      </c>
      <c r="M30" s="360" t="n">
        <v>0</v>
      </c>
      <c r="N30" s="360" t="n">
        <v>0</v>
      </c>
      <c r="O30" s="360">
        <f>SUM(M30:N30)</f>
        <v/>
      </c>
      <c r="Q30" s="360" t="n"/>
      <c r="R30" s="360" t="n"/>
      <c r="S30" s="360" t="n"/>
      <c r="T30" s="360" t="n"/>
      <c r="U30" s="360">
        <f>SUM(S30:T30)</f>
        <v/>
      </c>
      <c r="W30" s="360" t="n"/>
      <c r="X30" s="360" t="n"/>
      <c r="Y30" s="360" t="n"/>
      <c r="Z30" s="360" t="n"/>
      <c r="AA30" s="360" t="n"/>
    </row>
    <row r="31" ht="18.75" customFormat="1" customHeight="1" s="120">
      <c r="A31" s="352" t="inlineStr">
        <is>
          <t>MEP MAINTENANCE &amp; SERVICES</t>
        </is>
      </c>
      <c r="B31" s="353" t="n"/>
      <c r="C31" s="354" t="n"/>
      <c r="D31" s="354" t="n"/>
      <c r="E31" s="355">
        <f>+SUM(E32:E48)</f>
        <v/>
      </c>
      <c r="F31" s="355">
        <f>+SUM(F32:F48)</f>
        <v/>
      </c>
      <c r="G31" s="356">
        <f>+SUM(G32:G48)</f>
        <v/>
      </c>
      <c r="H31" s="355">
        <f>SUM(H32:H48)</f>
        <v/>
      </c>
      <c r="I31" s="356">
        <f>+SUM(I32:I48)</f>
        <v/>
      </c>
      <c r="K31" s="358">
        <f>SUM(K32:K48)</f>
        <v/>
      </c>
      <c r="L31" s="358">
        <f>SUM(L32:L48)</f>
        <v/>
      </c>
      <c r="M31" s="358">
        <f>SUM(M32:M48)</f>
        <v/>
      </c>
      <c r="N31" s="358">
        <f>SUM(N32:N48)</f>
        <v/>
      </c>
      <c r="O31" s="358">
        <f>SUM(M31:N31)</f>
        <v/>
      </c>
      <c r="Q31" s="358">
        <f>SUM(Q32:Q48)</f>
        <v/>
      </c>
      <c r="R31" s="358">
        <f>SUM(R32:R48)</f>
        <v/>
      </c>
      <c r="S31" s="358">
        <f>SUM(S32:S48)</f>
        <v/>
      </c>
      <c r="T31" s="358">
        <f>SUM(T32:T48)</f>
        <v/>
      </c>
      <c r="U31" s="358">
        <f>SUM(S31:T31)</f>
        <v/>
      </c>
      <c r="W31" s="358" t="n">
        <v>10</v>
      </c>
      <c r="X31" s="358" t="n"/>
      <c r="Y31" s="358" t="n">
        <v>9</v>
      </c>
      <c r="Z31" s="358" t="n">
        <v>1</v>
      </c>
      <c r="AA31" s="358" t="n">
        <v>8</v>
      </c>
    </row>
    <row r="32" ht="21" customHeight="1">
      <c r="A32" s="121" t="n">
        <v>1</v>
      </c>
      <c r="B32" s="122" t="inlineStr">
        <is>
          <t>S.EXPATS</t>
        </is>
      </c>
      <c r="C32" s="123" t="inlineStr">
        <is>
          <t>A</t>
        </is>
      </c>
      <c r="D32" s="122" t="inlineStr">
        <is>
          <t>FACILITIES ENGINEER</t>
        </is>
      </c>
      <c r="E32" s="359" t="n">
        <v>2</v>
      </c>
      <c r="F32" s="359" t="inlineStr">
        <is>
          <t>-</t>
        </is>
      </c>
      <c r="G32" s="360">
        <f>SUM(E32:F32)</f>
        <v/>
      </c>
      <c r="H32" s="359" t="n"/>
      <c r="I32" s="360">
        <f>SUM(G32:H32)</f>
        <v/>
      </c>
      <c r="K32" s="360" t="n">
        <v>2</v>
      </c>
      <c r="L32" s="360" t="inlineStr">
        <is>
          <t>-</t>
        </is>
      </c>
      <c r="M32" s="360" t="n">
        <v>2</v>
      </c>
      <c r="N32" s="360" t="n">
        <v>2</v>
      </c>
      <c r="O32" s="360">
        <f>SUM(M32:N32)</f>
        <v/>
      </c>
      <c r="Q32" s="360" t="n">
        <v>1</v>
      </c>
      <c r="R32" s="360" t="n"/>
      <c r="S32" s="360" t="n">
        <v>1</v>
      </c>
      <c r="T32" s="360" t="n"/>
      <c r="U32" s="360">
        <f>SUM(S32:T32)</f>
        <v/>
      </c>
      <c r="W32" s="360" t="n"/>
      <c r="X32" s="360" t="n"/>
      <c r="Y32" s="360" t="n"/>
      <c r="Z32" s="360" t="n">
        <v>1</v>
      </c>
      <c r="AA32" s="360" t="n">
        <v>1</v>
      </c>
    </row>
    <row r="33" ht="21" customHeight="1">
      <c r="A33" s="121">
        <f>+A32+1</f>
        <v/>
      </c>
      <c r="B33" s="122" t="inlineStr">
        <is>
          <t>EXPAT'S</t>
        </is>
      </c>
      <c r="C33" s="123" t="inlineStr">
        <is>
          <t>A</t>
        </is>
      </c>
      <c r="D33" s="122" t="inlineStr">
        <is>
          <t>SUPERVISORS MEP</t>
        </is>
      </c>
      <c r="E33" s="359" t="n">
        <v>4</v>
      </c>
      <c r="F33" s="359" t="inlineStr">
        <is>
          <t>-</t>
        </is>
      </c>
      <c r="G33" s="360">
        <f>SUM(E33:F33)</f>
        <v/>
      </c>
      <c r="H33" s="359" t="n">
        <v>2</v>
      </c>
      <c r="I33" s="360">
        <f>SUM(G33:H33)</f>
        <v/>
      </c>
      <c r="K33" s="360" t="n">
        <v>4</v>
      </c>
      <c r="L33" s="360" t="inlineStr">
        <is>
          <t>-</t>
        </is>
      </c>
      <c r="M33" s="360" t="n">
        <v>4</v>
      </c>
      <c r="N33" s="360" t="n">
        <v>0</v>
      </c>
      <c r="O33" s="360">
        <f>SUM(M33:N33)</f>
        <v/>
      </c>
      <c r="Q33" s="360" t="n">
        <v>1</v>
      </c>
      <c r="R33" s="360" t="n"/>
      <c r="S33" s="360" t="n">
        <v>1</v>
      </c>
      <c r="T33" s="360" t="n"/>
      <c r="U33" s="360">
        <f>SUM(S33:T33)</f>
        <v/>
      </c>
      <c r="W33" s="360" t="n">
        <v>1</v>
      </c>
      <c r="X33" s="360" t="n"/>
      <c r="Y33" s="360" t="n">
        <v>1</v>
      </c>
      <c r="Z33" s="360" t="n"/>
      <c r="AA33" s="360" t="n">
        <v>1</v>
      </c>
    </row>
    <row r="34" ht="21" customHeight="1">
      <c r="A34" s="121">
        <f>+A33+1</f>
        <v/>
      </c>
      <c r="B34" s="122" t="inlineStr">
        <is>
          <t>EXPAT'S</t>
        </is>
      </c>
      <c r="C34" s="123" t="inlineStr">
        <is>
          <t>C</t>
        </is>
      </c>
      <c r="D34" s="122" t="inlineStr">
        <is>
          <t>UTILITY/GEN</t>
        </is>
      </c>
      <c r="E34" s="359" t="n">
        <v>4</v>
      </c>
      <c r="F34" s="359" t="inlineStr">
        <is>
          <t>-</t>
        </is>
      </c>
      <c r="G34" s="360" t="n">
        <v>2</v>
      </c>
      <c r="H34" s="359" t="n"/>
      <c r="I34" s="360">
        <f>SUM(G34:H34)</f>
        <v/>
      </c>
      <c r="K34" s="360" t="n">
        <v>4</v>
      </c>
      <c r="L34" s="360" t="inlineStr">
        <is>
          <t>-</t>
        </is>
      </c>
      <c r="M34" s="360" t="n">
        <v>3</v>
      </c>
      <c r="N34" s="360" t="n">
        <v>0</v>
      </c>
      <c r="O34" s="360">
        <f>SUM(M34:N34)</f>
        <v/>
      </c>
      <c r="Q34" s="360" t="n"/>
      <c r="R34" s="360" t="n"/>
      <c r="S34" s="360" t="n"/>
      <c r="T34" s="360" t="n"/>
      <c r="U34" s="360">
        <f>SUM(S34:T34)</f>
        <v/>
      </c>
      <c r="W34" s="360" t="n">
        <v>2</v>
      </c>
      <c r="X34" s="360" t="n"/>
      <c r="Y34" s="360" t="n">
        <v>2</v>
      </c>
      <c r="Z34" s="360" t="n"/>
      <c r="AA34" s="360" t="n">
        <v>2</v>
      </c>
    </row>
    <row r="35" ht="21" customHeight="1">
      <c r="A35" s="121">
        <f>+A34+1</f>
        <v/>
      </c>
      <c r="B35" s="122" t="inlineStr">
        <is>
          <t>EXPAT'S</t>
        </is>
      </c>
      <c r="C35" s="123" t="inlineStr">
        <is>
          <t>C</t>
        </is>
      </c>
      <c r="D35" s="122" t="inlineStr">
        <is>
          <t>MULTI SKILLED TECH.</t>
        </is>
      </c>
      <c r="E35" s="359" t="n">
        <v>4</v>
      </c>
      <c r="F35" s="359" t="inlineStr">
        <is>
          <t>-</t>
        </is>
      </c>
      <c r="G35" s="360" t="n">
        <v>3</v>
      </c>
      <c r="H35" s="359" t="n"/>
      <c r="I35" s="360">
        <f>SUM(G35:H35)</f>
        <v/>
      </c>
      <c r="K35" s="360" t="n">
        <v>4</v>
      </c>
      <c r="L35" s="360" t="inlineStr">
        <is>
          <t>-</t>
        </is>
      </c>
      <c r="M35" s="360" t="n">
        <v>1</v>
      </c>
      <c r="N35" s="360" t="n">
        <v>0</v>
      </c>
      <c r="O35" s="360">
        <f>SUM(M35:N35)</f>
        <v/>
      </c>
      <c r="Q35" s="360" t="n">
        <v>1</v>
      </c>
      <c r="R35" s="360" t="n"/>
      <c r="S35" s="360" t="n">
        <v>1</v>
      </c>
      <c r="T35" s="360" t="n"/>
      <c r="U35" s="360">
        <f>SUM(S35:T35)</f>
        <v/>
      </c>
      <c r="W35" s="360" t="n">
        <v>2</v>
      </c>
      <c r="X35" s="360" t="n"/>
      <c r="Y35" s="360" t="n">
        <v>2</v>
      </c>
      <c r="Z35" s="360" t="n"/>
      <c r="AA35" s="360" t="n">
        <v>2</v>
      </c>
    </row>
    <row r="36" ht="21" customHeight="1">
      <c r="A36" s="121">
        <f>+A35+1</f>
        <v/>
      </c>
      <c r="B36" s="122" t="inlineStr">
        <is>
          <t>EXPAT'S</t>
        </is>
      </c>
      <c r="C36" s="123" t="inlineStr">
        <is>
          <t>C</t>
        </is>
      </c>
      <c r="D36" s="122" t="inlineStr">
        <is>
          <t>MECHANICAL  TECH</t>
        </is>
      </c>
      <c r="E36" s="359" t="n">
        <v>4</v>
      </c>
      <c r="F36" s="359" t="inlineStr">
        <is>
          <t>-</t>
        </is>
      </c>
      <c r="G36" s="360" t="n">
        <v>2</v>
      </c>
      <c r="H36" s="359" t="n"/>
      <c r="I36" s="360">
        <f>SUM(G36:H36)</f>
        <v/>
      </c>
      <c r="K36" s="360" t="n">
        <v>4</v>
      </c>
      <c r="L36" s="360" t="inlineStr">
        <is>
          <t>-</t>
        </is>
      </c>
      <c r="M36" s="360" t="n">
        <v>4</v>
      </c>
      <c r="N36" s="360" t="n">
        <v>3</v>
      </c>
      <c r="O36" s="360">
        <f>SUM(M36:N36)</f>
        <v/>
      </c>
      <c r="Q36" s="360" t="n">
        <v>2</v>
      </c>
      <c r="R36" s="360" t="n"/>
      <c r="S36" s="360" t="n">
        <v>0</v>
      </c>
      <c r="T36" s="360" t="n"/>
      <c r="U36" s="360">
        <f>SUM(S36:T36)</f>
        <v/>
      </c>
      <c r="W36" s="360" t="n"/>
      <c r="X36" s="360" t="n"/>
      <c r="Y36" s="360" t="n"/>
      <c r="Z36" s="360" t="n"/>
      <c r="AA36" s="360" t="n"/>
    </row>
    <row r="37" ht="21" customHeight="1">
      <c r="A37" s="121">
        <f>+A36+1</f>
        <v/>
      </c>
      <c r="B37" s="122" t="inlineStr">
        <is>
          <t>EXPAT'S</t>
        </is>
      </c>
      <c r="C37" s="123" t="inlineStr">
        <is>
          <t>C</t>
        </is>
      </c>
      <c r="D37" s="122" t="inlineStr">
        <is>
          <t xml:space="preserve">AC TECHNICIAN  </t>
        </is>
      </c>
      <c r="E37" s="359" t="n">
        <v>16</v>
      </c>
      <c r="F37" s="359" t="inlineStr">
        <is>
          <t>-</t>
        </is>
      </c>
      <c r="G37" s="360" t="n">
        <v>15</v>
      </c>
      <c r="H37" s="359" t="n"/>
      <c r="I37" s="360">
        <f>SUM(G37:H37)</f>
        <v/>
      </c>
      <c r="K37" s="360" t="n">
        <v>16</v>
      </c>
      <c r="L37" s="360" t="inlineStr">
        <is>
          <t>-</t>
        </is>
      </c>
      <c r="M37" s="360" t="n">
        <v>12</v>
      </c>
      <c r="N37" s="360" t="n">
        <v>0</v>
      </c>
      <c r="O37" s="360">
        <f>SUM(M37:N37)</f>
        <v/>
      </c>
      <c r="Q37" s="360" t="n">
        <v>3</v>
      </c>
      <c r="R37" s="360" t="n"/>
      <c r="S37" s="360" t="n">
        <v>2</v>
      </c>
      <c r="T37" s="360" t="n">
        <v>1</v>
      </c>
      <c r="U37" s="360">
        <f>SUM(S37:T37)</f>
        <v/>
      </c>
      <c r="W37" s="360" t="n">
        <v>2</v>
      </c>
      <c r="X37" s="360" t="n"/>
      <c r="Y37" s="360" t="n">
        <v>1</v>
      </c>
      <c r="Z37" s="360" t="n"/>
      <c r="AA37" s="360" t="n">
        <v>1</v>
      </c>
    </row>
    <row r="38" ht="21" customHeight="1">
      <c r="A38" s="121">
        <f>+A37+1</f>
        <v/>
      </c>
      <c r="B38" s="122" t="inlineStr">
        <is>
          <t>EXPAT'S</t>
        </is>
      </c>
      <c r="C38" s="123" t="inlineStr">
        <is>
          <t>C</t>
        </is>
      </c>
      <c r="D38" s="122" t="inlineStr">
        <is>
          <t xml:space="preserve">ASSTANT AC TECHNICIAN </t>
        </is>
      </c>
      <c r="E38" s="359" t="n">
        <v>6</v>
      </c>
      <c r="F38" s="359" t="inlineStr">
        <is>
          <t>-</t>
        </is>
      </c>
      <c r="G38" s="360" t="n">
        <v>0</v>
      </c>
      <c r="H38" s="359" t="n"/>
      <c r="I38" s="360">
        <f>SUM(G38:H38)</f>
        <v/>
      </c>
      <c r="K38" s="360" t="n">
        <v>6</v>
      </c>
      <c r="L38" s="360" t="inlineStr">
        <is>
          <t>-</t>
        </is>
      </c>
      <c r="M38" s="360" t="n">
        <v>1</v>
      </c>
      <c r="N38" s="360" t="n">
        <v>0</v>
      </c>
      <c r="O38" s="360">
        <f>SUM(M38:N38)</f>
        <v/>
      </c>
      <c r="Q38" s="360" t="n"/>
      <c r="R38" s="360" t="n"/>
      <c r="S38" s="360" t="n"/>
      <c r="T38" s="360" t="n"/>
      <c r="U38" s="360">
        <f>SUM(S38:T38)</f>
        <v/>
      </c>
      <c r="W38" s="360" t="n"/>
      <c r="X38" s="360" t="n"/>
      <c r="Y38" s="360" t="n"/>
      <c r="Z38" s="360" t="n"/>
      <c r="AA38" s="360" t="n"/>
    </row>
    <row r="39" ht="21" customHeight="1">
      <c r="A39" s="121">
        <f>+A38+1</f>
        <v/>
      </c>
      <c r="B39" s="122" t="inlineStr">
        <is>
          <t>EXPAT'S</t>
        </is>
      </c>
      <c r="C39" s="123" t="inlineStr">
        <is>
          <t>C</t>
        </is>
      </c>
      <c r="D39" s="122" t="inlineStr">
        <is>
          <t>PLUMBER</t>
        </is>
      </c>
      <c r="E39" s="359" t="n">
        <v>14</v>
      </c>
      <c r="F39" s="359" t="inlineStr">
        <is>
          <t>-</t>
        </is>
      </c>
      <c r="G39" s="360" t="n">
        <v>9</v>
      </c>
      <c r="H39" s="359" t="n"/>
      <c r="I39" s="360">
        <f>SUM(G39:H39)</f>
        <v/>
      </c>
      <c r="K39" s="360" t="n">
        <v>14</v>
      </c>
      <c r="L39" s="360" t="inlineStr">
        <is>
          <t>-</t>
        </is>
      </c>
      <c r="M39" s="360" t="n">
        <v>12</v>
      </c>
      <c r="N39" s="360" t="n">
        <v>1</v>
      </c>
      <c r="O39" s="360">
        <f>SUM(M39:N39)</f>
        <v/>
      </c>
      <c r="Q39" s="360" t="n"/>
      <c r="R39" s="360" t="n"/>
      <c r="S39" s="360" t="n"/>
      <c r="T39" s="360" t="n"/>
      <c r="U39" s="360">
        <f>SUM(S39:T39)</f>
        <v/>
      </c>
      <c r="W39" s="360" t="n">
        <v>1</v>
      </c>
      <c r="X39" s="360" t="n"/>
      <c r="Y39" s="360" t="n">
        <v>1</v>
      </c>
      <c r="Z39" s="360" t="n"/>
      <c r="AA39" s="360" t="n">
        <v>1</v>
      </c>
    </row>
    <row r="40" ht="21" customHeight="1">
      <c r="A40" s="121">
        <f>+A39+1</f>
        <v/>
      </c>
      <c r="B40" s="122" t="inlineStr">
        <is>
          <t>EXPAT'S</t>
        </is>
      </c>
      <c r="C40" s="123" t="inlineStr">
        <is>
          <t>C</t>
        </is>
      </c>
      <c r="D40" s="122" t="inlineStr">
        <is>
          <t xml:space="preserve">TRADE HELPER </t>
        </is>
      </c>
      <c r="E40" s="359" t="n">
        <v>14</v>
      </c>
      <c r="F40" s="359" t="inlineStr">
        <is>
          <t>-</t>
        </is>
      </c>
      <c r="G40" s="360" t="n">
        <v>0</v>
      </c>
      <c r="H40" s="359" t="n"/>
      <c r="I40" s="360">
        <f>SUM(G40:H40)</f>
        <v/>
      </c>
      <c r="K40" s="360" t="n">
        <v>14</v>
      </c>
      <c r="L40" s="360" t="inlineStr">
        <is>
          <t>-</t>
        </is>
      </c>
      <c r="M40" s="360" t="n">
        <v>0</v>
      </c>
      <c r="N40" s="360" t="n">
        <v>0</v>
      </c>
      <c r="O40" s="360">
        <f>SUM(M40:N40)</f>
        <v/>
      </c>
      <c r="Q40" s="360" t="n"/>
      <c r="R40" s="360" t="n"/>
      <c r="S40" s="360" t="n"/>
      <c r="T40" s="360" t="n"/>
      <c r="U40" s="360">
        <f>SUM(S40:T40)</f>
        <v/>
      </c>
      <c r="W40" s="360" t="n">
        <v>1</v>
      </c>
      <c r="X40" s="360" t="n"/>
      <c r="Y40" s="360" t="n">
        <v>1</v>
      </c>
      <c r="Z40" s="360" t="n"/>
      <c r="AA40" s="360" t="n">
        <v>1</v>
      </c>
    </row>
    <row r="41" ht="21" customHeight="1">
      <c r="A41" s="121">
        <f>+A40+1</f>
        <v/>
      </c>
      <c r="B41" s="122" t="inlineStr">
        <is>
          <t>EXPAT'S</t>
        </is>
      </c>
      <c r="C41" s="123" t="inlineStr">
        <is>
          <t>A</t>
        </is>
      </c>
      <c r="D41" s="122" t="inlineStr">
        <is>
          <t>SUPERVISOR ELECTRICAL</t>
        </is>
      </c>
      <c r="E41" s="359" t="n">
        <v>2</v>
      </c>
      <c r="F41" s="359" t="inlineStr">
        <is>
          <t>-</t>
        </is>
      </c>
      <c r="G41" s="360">
        <f>SUM(E41:F41)</f>
        <v/>
      </c>
      <c r="H41" s="359" t="n"/>
      <c r="I41" s="360">
        <f>SUM(G41:H41)</f>
        <v/>
      </c>
      <c r="K41" s="360" t="n">
        <v>2</v>
      </c>
      <c r="L41" s="360" t="inlineStr">
        <is>
          <t>-</t>
        </is>
      </c>
      <c r="M41" s="360" t="n">
        <v>1</v>
      </c>
      <c r="N41" s="360" t="n">
        <v>0</v>
      </c>
      <c r="O41" s="360">
        <f>SUM(M41:N41)</f>
        <v/>
      </c>
      <c r="Q41" s="360" t="n">
        <v>1</v>
      </c>
      <c r="R41" s="360" t="n"/>
      <c r="S41" s="360" t="n">
        <v>1</v>
      </c>
      <c r="T41" s="360" t="n"/>
      <c r="U41" s="360">
        <f>SUM(S41:T41)</f>
        <v/>
      </c>
      <c r="W41" s="360" t="n"/>
      <c r="X41" s="360" t="n"/>
      <c r="Y41" s="360" t="n"/>
      <c r="Z41" s="360" t="n"/>
      <c r="AA41" s="360" t="n"/>
    </row>
    <row r="42" ht="21" customHeight="1">
      <c r="A42" s="121">
        <f>+A41+1</f>
        <v/>
      </c>
      <c r="B42" s="122" t="inlineStr">
        <is>
          <t>EXPAT'S</t>
        </is>
      </c>
      <c r="C42" s="123" t="inlineStr">
        <is>
          <t>B</t>
        </is>
      </c>
      <c r="D42" s="122" t="inlineStr">
        <is>
          <t xml:space="preserve">TEAM LEADER ELECTRICAL </t>
        </is>
      </c>
      <c r="E42" s="359" t="n">
        <v>2</v>
      </c>
      <c r="F42" s="359" t="inlineStr">
        <is>
          <t>-</t>
        </is>
      </c>
      <c r="G42" s="360" t="n">
        <v>1</v>
      </c>
      <c r="H42" s="359" t="n"/>
      <c r="I42" s="360">
        <f>SUM(G42:H42)</f>
        <v/>
      </c>
      <c r="K42" s="360" t="n">
        <v>2</v>
      </c>
      <c r="L42" s="360" t="inlineStr">
        <is>
          <t>-</t>
        </is>
      </c>
      <c r="M42" s="360" t="n">
        <v>2</v>
      </c>
      <c r="N42" s="360" t="n">
        <v>0</v>
      </c>
      <c r="O42" s="360">
        <f>SUM(M42:N42)</f>
        <v/>
      </c>
      <c r="Q42" s="360" t="n"/>
      <c r="R42" s="360" t="n"/>
      <c r="S42" s="360" t="n"/>
      <c r="T42" s="360" t="n"/>
      <c r="U42" s="360">
        <f>SUM(S42:T42)</f>
        <v/>
      </c>
      <c r="W42" s="360" t="n"/>
      <c r="X42" s="360" t="n"/>
      <c r="Y42" s="360" t="n"/>
      <c r="Z42" s="360" t="n"/>
      <c r="AA42" s="360" t="n"/>
    </row>
    <row r="43" ht="21" customHeight="1">
      <c r="A43" s="121">
        <f>+A42+1</f>
        <v/>
      </c>
      <c r="B43" s="122" t="inlineStr">
        <is>
          <t>EXPAT'S</t>
        </is>
      </c>
      <c r="C43" s="123" t="inlineStr">
        <is>
          <t>C</t>
        </is>
      </c>
      <c r="D43" s="122" t="inlineStr">
        <is>
          <t>ELECTRICIAN</t>
        </is>
      </c>
      <c r="E43" s="359" t="n">
        <v>18</v>
      </c>
      <c r="F43" s="359" t="inlineStr">
        <is>
          <t>-</t>
        </is>
      </c>
      <c r="G43" s="360" t="n">
        <v>10</v>
      </c>
      <c r="H43" s="359" t="n"/>
      <c r="I43" s="360">
        <f>SUM(G43:H43)</f>
        <v/>
      </c>
      <c r="K43" s="360" t="n">
        <v>18</v>
      </c>
      <c r="L43" s="360" t="inlineStr">
        <is>
          <t>-</t>
        </is>
      </c>
      <c r="M43" s="360" t="n">
        <v>18</v>
      </c>
      <c r="N43" s="360" t="n">
        <v>11</v>
      </c>
      <c r="O43" s="360">
        <f>SUM(M43:N43)</f>
        <v/>
      </c>
      <c r="Q43" s="360" t="n">
        <v>2</v>
      </c>
      <c r="R43" s="360" t="n"/>
      <c r="S43" s="360" t="n">
        <v>2</v>
      </c>
      <c r="T43" s="360" t="n"/>
      <c r="U43" s="360">
        <f>SUM(S43:T43)</f>
        <v/>
      </c>
      <c r="W43" s="360" t="n">
        <v>1</v>
      </c>
      <c r="X43" s="360" t="n"/>
      <c r="Y43" s="360" t="n">
        <v>1</v>
      </c>
      <c r="Z43" s="360" t="n"/>
      <c r="AA43" s="360" t="n">
        <v>1</v>
      </c>
    </row>
    <row r="44" ht="21" customHeight="1">
      <c r="A44" s="121">
        <f>+A43+1</f>
        <v/>
      </c>
      <c r="B44" s="122" t="inlineStr">
        <is>
          <t>EXPAT'S</t>
        </is>
      </c>
      <c r="C44" s="123" t="inlineStr">
        <is>
          <t>C</t>
        </is>
      </c>
      <c r="D44" s="122" t="inlineStr">
        <is>
          <t xml:space="preserve">APPLIANCE TECHNICIAN </t>
        </is>
      </c>
      <c r="E44" s="359" t="n">
        <v>2</v>
      </c>
      <c r="F44" s="359" t="inlineStr">
        <is>
          <t>-</t>
        </is>
      </c>
      <c r="G44" s="360" t="n">
        <v>0</v>
      </c>
      <c r="H44" s="359" t="n"/>
      <c r="I44" s="360">
        <f>SUM(G44:H44)</f>
        <v/>
      </c>
      <c r="K44" s="360" t="n">
        <v>2</v>
      </c>
      <c r="L44" s="360" t="inlineStr">
        <is>
          <t>-</t>
        </is>
      </c>
      <c r="M44" s="360" t="n">
        <v>0</v>
      </c>
      <c r="N44" s="360" t="n">
        <v>0</v>
      </c>
      <c r="O44" s="360">
        <f>SUM(M44:N44)</f>
        <v/>
      </c>
      <c r="Q44" s="360" t="n"/>
      <c r="R44" s="360" t="n"/>
      <c r="S44" s="360" t="n"/>
      <c r="T44" s="360" t="n"/>
      <c r="U44" s="360">
        <f>SUM(S44:T44)</f>
        <v/>
      </c>
      <c r="W44" s="360" t="n"/>
      <c r="X44" s="360" t="n"/>
      <c r="Y44" s="360" t="n"/>
      <c r="Z44" s="360" t="n"/>
      <c r="AA44" s="360" t="n"/>
    </row>
    <row r="45" ht="21" customHeight="1">
      <c r="A45" s="121">
        <f>+A44+1</f>
        <v/>
      </c>
      <c r="B45" s="122" t="inlineStr">
        <is>
          <t>EXPAT'S</t>
        </is>
      </c>
      <c r="C45" s="123" t="inlineStr">
        <is>
          <t>D</t>
        </is>
      </c>
      <c r="D45" s="122" t="inlineStr">
        <is>
          <t>WARE HOUSE HELPER</t>
        </is>
      </c>
      <c r="E45" s="359" t="n">
        <v>2</v>
      </c>
      <c r="F45" s="359" t="inlineStr">
        <is>
          <t>-</t>
        </is>
      </c>
      <c r="G45" s="360">
        <f>SUM(E45:F45)</f>
        <v/>
      </c>
      <c r="H45" s="359" t="n"/>
      <c r="I45" s="360">
        <f>SUM(G45:H45)</f>
        <v/>
      </c>
      <c r="K45" s="360" t="n">
        <v>2</v>
      </c>
      <c r="L45" s="360" t="inlineStr">
        <is>
          <t>-</t>
        </is>
      </c>
      <c r="M45" s="360" t="n">
        <v>1</v>
      </c>
      <c r="N45" s="360" t="n">
        <v>0</v>
      </c>
      <c r="O45" s="360">
        <f>SUM(M45:N45)</f>
        <v/>
      </c>
      <c r="Q45" s="360" t="n"/>
      <c r="R45" s="360" t="n"/>
      <c r="S45" s="360" t="n"/>
      <c r="T45" s="360" t="n"/>
      <c r="U45" s="360">
        <f>SUM(S45:T45)</f>
        <v/>
      </c>
      <c r="W45" s="360" t="n"/>
      <c r="X45" s="360" t="n"/>
      <c r="Y45" s="360" t="n"/>
      <c r="Z45" s="360" t="n"/>
      <c r="AA45" s="360" t="n"/>
    </row>
    <row r="46" ht="21" customHeight="1">
      <c r="A46" s="121">
        <f>+A45+1</f>
        <v/>
      </c>
      <c r="B46" s="122" t="inlineStr">
        <is>
          <t>EXPAT'S</t>
        </is>
      </c>
      <c r="C46" s="123" t="inlineStr">
        <is>
          <t>C</t>
        </is>
      </c>
      <c r="D46" s="122" t="inlineStr">
        <is>
          <t>MEWP CERTIFIED OPERATORS</t>
        </is>
      </c>
      <c r="E46" s="359" t="n">
        <v>0</v>
      </c>
      <c r="F46" s="359" t="inlineStr">
        <is>
          <t>-</t>
        </is>
      </c>
      <c r="G46" s="360">
        <f>SUM(E46:F46)</f>
        <v/>
      </c>
      <c r="H46" s="359" t="n"/>
      <c r="I46" s="360">
        <f>SUM(G46:H46)</f>
        <v/>
      </c>
      <c r="K46" s="360" t="n">
        <v>0</v>
      </c>
      <c r="L46" s="360" t="inlineStr">
        <is>
          <t>-</t>
        </is>
      </c>
      <c r="M46" s="360" t="n">
        <v>0</v>
      </c>
      <c r="N46" s="360" t="n">
        <v>0</v>
      </c>
      <c r="O46" s="360">
        <f>SUM(M46:N46)</f>
        <v/>
      </c>
      <c r="Q46" s="360" t="n"/>
      <c r="R46" s="360" t="n"/>
      <c r="S46" s="360" t="n"/>
      <c r="T46" s="360" t="n"/>
      <c r="U46" s="360">
        <f>SUM(S46:T46)</f>
        <v/>
      </c>
      <c r="W46" s="360" t="n"/>
      <c r="X46" s="360" t="n"/>
      <c r="Y46" s="360" t="n"/>
      <c r="Z46" s="360" t="n"/>
      <c r="AA46" s="360" t="n"/>
    </row>
    <row r="47" ht="21" customHeight="1">
      <c r="A47" s="121">
        <f>+A46+1</f>
        <v/>
      </c>
      <c r="B47" s="122" t="inlineStr">
        <is>
          <t>SAUDI'S</t>
        </is>
      </c>
      <c r="C47" s="123" t="inlineStr">
        <is>
          <t>B</t>
        </is>
      </c>
      <c r="D47" s="122" t="inlineStr">
        <is>
          <t>IT ENGINEER</t>
        </is>
      </c>
      <c r="E47" s="359" t="n">
        <v>1</v>
      </c>
      <c r="F47" s="359" t="n">
        <v>1</v>
      </c>
      <c r="G47" s="360">
        <f>SUM(E47:F47)</f>
        <v/>
      </c>
      <c r="H47" s="359" t="n"/>
      <c r="I47" s="360">
        <f>SUM(G47:H47)</f>
        <v/>
      </c>
      <c r="K47" s="360" t="n">
        <v>1</v>
      </c>
      <c r="L47" s="360" t="n">
        <v>1</v>
      </c>
      <c r="M47" s="360" t="n">
        <v>1</v>
      </c>
      <c r="N47" s="360" t="n">
        <v>0</v>
      </c>
      <c r="O47" s="360">
        <f>SUM(M47:N47)</f>
        <v/>
      </c>
      <c r="Q47" s="360" t="n"/>
      <c r="R47" s="360" t="n"/>
      <c r="S47" s="360" t="n"/>
      <c r="T47" s="360" t="n"/>
      <c r="U47" s="360">
        <f>SUM(S47:T47)</f>
        <v/>
      </c>
      <c r="W47" s="360" t="n"/>
      <c r="X47" s="360" t="n"/>
      <c r="Y47" s="360" t="n"/>
      <c r="Z47" s="360" t="n"/>
      <c r="AA47" s="360" t="n"/>
    </row>
    <row r="48" ht="21" customHeight="1">
      <c r="A48" s="121">
        <f>+A47+1</f>
        <v/>
      </c>
      <c r="B48" s="122" t="inlineStr">
        <is>
          <t>EXPAT'S</t>
        </is>
      </c>
      <c r="C48" s="123" t="inlineStr">
        <is>
          <t>C</t>
        </is>
      </c>
      <c r="D48" s="122" t="inlineStr">
        <is>
          <t>LV TECHNICIAN (CCTV/IT )</t>
        </is>
      </c>
      <c r="E48" s="359" t="n">
        <v>2</v>
      </c>
      <c r="F48" s="359" t="inlineStr">
        <is>
          <t>-</t>
        </is>
      </c>
      <c r="G48" s="360">
        <f>SUM(E48:F48)</f>
        <v/>
      </c>
      <c r="H48" s="359" t="n"/>
      <c r="I48" s="360">
        <f>SUM(G48:H48)</f>
        <v/>
      </c>
      <c r="K48" s="360" t="n">
        <v>2</v>
      </c>
      <c r="L48" s="360" t="inlineStr">
        <is>
          <t>-</t>
        </is>
      </c>
      <c r="M48" s="360" t="n">
        <v>2</v>
      </c>
      <c r="N48" s="360" t="n">
        <v>2</v>
      </c>
      <c r="O48" s="360">
        <f>SUM(M48:N48)</f>
        <v/>
      </c>
      <c r="Q48" s="360" t="n">
        <v>1</v>
      </c>
      <c r="R48" s="360" t="n"/>
      <c r="S48" s="360" t="n">
        <v>0</v>
      </c>
      <c r="T48" s="360" t="n"/>
      <c r="U48" s="360">
        <f>SUM(S48:T48)</f>
        <v/>
      </c>
      <c r="W48" s="360" t="n"/>
      <c r="X48" s="360" t="n"/>
      <c r="Y48" s="360" t="n"/>
      <c r="Z48" s="360" t="n"/>
      <c r="AA48" s="360" t="n"/>
    </row>
    <row r="49" ht="18.75" customFormat="1" customHeight="1" s="120">
      <c r="A49" s="352" t="inlineStr">
        <is>
          <t>CIVIL MAINTENANCE &amp; SERVICES</t>
        </is>
      </c>
      <c r="B49" s="353" t="n"/>
      <c r="C49" s="354" t="n"/>
      <c r="D49" s="354" t="n"/>
      <c r="E49" s="355">
        <f>+SUM(E50:E52)</f>
        <v/>
      </c>
      <c r="F49" s="355">
        <f>+SUM(F50:F52)</f>
        <v/>
      </c>
      <c r="G49" s="356">
        <f>+SUM(G50:G52)</f>
        <v/>
      </c>
      <c r="H49" s="355">
        <f>SUM(H50:H52)</f>
        <v/>
      </c>
      <c r="I49" s="356">
        <f>+SUM(I50:I52)</f>
        <v/>
      </c>
      <c r="K49" s="358">
        <f>SUM(K50:K52)</f>
        <v/>
      </c>
      <c r="L49" s="358">
        <f>SUM(L50:L52)</f>
        <v/>
      </c>
      <c r="M49" s="358">
        <f>SUM(M50:M52)</f>
        <v/>
      </c>
      <c r="N49" s="358">
        <f>SUM(N50:N52)</f>
        <v/>
      </c>
      <c r="O49" s="358">
        <f>SUM(M49:N49)</f>
        <v/>
      </c>
      <c r="Q49" s="358">
        <f>SUM(Q50:Q52)</f>
        <v/>
      </c>
      <c r="R49" s="358">
        <f>SUM(R50:R52)</f>
        <v/>
      </c>
      <c r="S49" s="358">
        <f>SUM(S50:S52)</f>
        <v/>
      </c>
      <c r="T49" s="358">
        <f>SUM(T50:T52)</f>
        <v/>
      </c>
      <c r="U49" s="358">
        <f>SUM(S49:T49)</f>
        <v/>
      </c>
      <c r="W49" s="358" t="n"/>
      <c r="X49" s="358" t="n"/>
      <c r="Y49" s="358" t="n"/>
      <c r="Z49" s="358" t="n"/>
      <c r="AA49" s="358" t="n"/>
    </row>
    <row r="50" ht="21" customHeight="1">
      <c r="A50" s="121" t="n">
        <v>1</v>
      </c>
      <c r="B50" s="122" t="inlineStr">
        <is>
          <t>EXPAT'S</t>
        </is>
      </c>
      <c r="C50" s="123" t="inlineStr">
        <is>
          <t>A</t>
        </is>
      </c>
      <c r="D50" s="122" t="inlineStr">
        <is>
          <t>CIVIL SUPERVISOR</t>
        </is>
      </c>
      <c r="E50" s="359" t="n">
        <v>2</v>
      </c>
      <c r="F50" s="359" t="inlineStr">
        <is>
          <t>-</t>
        </is>
      </c>
      <c r="G50" s="360">
        <f>SUM(E50:F50)</f>
        <v/>
      </c>
      <c r="H50" s="359" t="n"/>
      <c r="I50" s="360">
        <f>SUM(G50:H50)</f>
        <v/>
      </c>
      <c r="K50" s="360" t="n">
        <v>2</v>
      </c>
      <c r="L50" s="360" t="inlineStr">
        <is>
          <t>-</t>
        </is>
      </c>
      <c r="M50" s="360" t="n">
        <v>2</v>
      </c>
      <c r="N50" s="360" t="n">
        <v>0</v>
      </c>
      <c r="O50" s="360">
        <f>SUM(M50:N50)</f>
        <v/>
      </c>
      <c r="Q50" s="360" t="n">
        <v>1</v>
      </c>
      <c r="R50" s="360" t="n"/>
      <c r="S50" s="360" t="n">
        <v>1</v>
      </c>
      <c r="T50" s="360" t="n"/>
      <c r="U50" s="360">
        <f>SUM(S50:T50)</f>
        <v/>
      </c>
      <c r="W50" s="360" t="n"/>
      <c r="X50" s="360" t="n"/>
      <c r="Y50" s="360" t="n"/>
      <c r="Z50" s="360" t="n"/>
      <c r="AA50" s="360" t="n"/>
    </row>
    <row r="51" ht="21" customHeight="1">
      <c r="A51" s="121" t="n">
        <v>2</v>
      </c>
      <c r="B51" s="122" t="inlineStr">
        <is>
          <t>EXPAT'S</t>
        </is>
      </c>
      <c r="C51" s="280" t="inlineStr">
        <is>
          <t>C</t>
        </is>
      </c>
      <c r="D51" s="122" t="inlineStr">
        <is>
          <t>CIVIL TECHNICIAN</t>
        </is>
      </c>
      <c r="E51" s="359" t="n">
        <v>0</v>
      </c>
      <c r="F51" s="359" t="n"/>
      <c r="G51" s="360" t="n"/>
      <c r="H51" s="359" t="n"/>
      <c r="I51" s="360">
        <f>SUM(G51:H51)</f>
        <v/>
      </c>
      <c r="K51" s="360" t="n">
        <v>0</v>
      </c>
      <c r="L51" s="360" t="n"/>
      <c r="M51" s="360" t="n">
        <v>0</v>
      </c>
      <c r="N51" s="360" t="n">
        <v>0</v>
      </c>
      <c r="O51" s="360">
        <f>SUM(M51:N51)</f>
        <v/>
      </c>
      <c r="Q51" s="360" t="n">
        <v>1</v>
      </c>
      <c r="R51" s="360" t="n"/>
      <c r="S51" s="360" t="n">
        <v>0</v>
      </c>
      <c r="T51" s="360" t="n"/>
      <c r="U51" s="360">
        <f>SUM(S51:T51)</f>
        <v/>
      </c>
      <c r="W51" s="360" t="n"/>
      <c r="X51" s="360" t="n"/>
      <c r="Y51" s="360" t="n"/>
      <c r="Z51" s="360" t="n"/>
      <c r="AA51" s="360" t="n"/>
    </row>
    <row r="52" ht="21" customHeight="1">
      <c r="A52" s="121" t="n">
        <v>3</v>
      </c>
      <c r="B52" s="122" t="inlineStr">
        <is>
          <t>EXPAT'S</t>
        </is>
      </c>
      <c r="C52" s="123" t="inlineStr">
        <is>
          <t>C</t>
        </is>
      </c>
      <c r="D52" s="122" t="inlineStr">
        <is>
          <t>MASON</t>
        </is>
      </c>
      <c r="E52" s="359" t="n">
        <v>2</v>
      </c>
      <c r="F52" s="359" t="inlineStr">
        <is>
          <t>-</t>
        </is>
      </c>
      <c r="G52" s="360" t="n">
        <v>1</v>
      </c>
      <c r="H52" s="359" t="n">
        <v>0</v>
      </c>
      <c r="I52" s="360">
        <f>SUM(G52:H52)</f>
        <v/>
      </c>
      <c r="K52" s="360" t="n">
        <v>2</v>
      </c>
      <c r="L52" s="360" t="inlineStr">
        <is>
          <t>-</t>
        </is>
      </c>
      <c r="M52" s="360" t="n">
        <v>2</v>
      </c>
      <c r="N52" s="360" t="n">
        <v>1</v>
      </c>
      <c r="O52" s="360">
        <f>SUM(M52:N52)</f>
        <v/>
      </c>
      <c r="Q52" s="360" t="n"/>
      <c r="R52" s="360" t="n"/>
      <c r="S52" s="360" t="n"/>
      <c r="T52" s="360" t="n"/>
      <c r="U52" s="360">
        <f>SUM(S52:T52)</f>
        <v/>
      </c>
      <c r="W52" s="360" t="n"/>
      <c r="X52" s="360" t="n"/>
      <c r="Y52" s="360" t="n"/>
      <c r="Z52" s="360" t="n"/>
      <c r="AA52" s="360" t="n"/>
    </row>
    <row r="53" ht="18.75" customFormat="1" customHeight="1" s="120">
      <c r="A53" s="352" t="inlineStr">
        <is>
          <t>CARPENTRY SERVICES</t>
        </is>
      </c>
      <c r="B53" s="353" t="n"/>
      <c r="C53" s="354" t="n"/>
      <c r="D53" s="354" t="n"/>
      <c r="E53" s="355">
        <f>+SUM(E54:E55)</f>
        <v/>
      </c>
      <c r="F53" s="355">
        <f>+SUM(F54:F55)</f>
        <v/>
      </c>
      <c r="G53" s="356">
        <f>+SUM(G54:G55)</f>
        <v/>
      </c>
      <c r="H53" s="355">
        <f>SUM(H54:H55)</f>
        <v/>
      </c>
      <c r="I53" s="356">
        <f>+SUM(I54:I55)</f>
        <v/>
      </c>
      <c r="K53" s="358">
        <f>SUM(K54:K55)</f>
        <v/>
      </c>
      <c r="L53" s="358">
        <f>SUM(L54:L55)</f>
        <v/>
      </c>
      <c r="M53" s="358">
        <f>SUM(M54:M55)</f>
        <v/>
      </c>
      <c r="N53" s="358">
        <f>SUM(N54:N55)</f>
        <v/>
      </c>
      <c r="O53" s="358">
        <f>SUM(M53:N53)</f>
        <v/>
      </c>
      <c r="Q53" s="357">
        <f>SUM(Q54:Q55)</f>
        <v/>
      </c>
      <c r="R53" s="357">
        <f>SUM(R54:R55)</f>
        <v/>
      </c>
      <c r="S53" s="357">
        <f>SUM(S54:S55)</f>
        <v/>
      </c>
      <c r="T53" s="357">
        <f>SUM(T54:T55)</f>
        <v/>
      </c>
      <c r="U53" s="358">
        <f>SUM(S53:T53)</f>
        <v/>
      </c>
      <c r="W53" s="358" t="n">
        <v>1</v>
      </c>
      <c r="X53" s="358" t="n"/>
      <c r="Y53" s="358" t="n">
        <v>1</v>
      </c>
      <c r="Z53" s="358" t="n"/>
      <c r="AA53" s="358" t="n">
        <v>1</v>
      </c>
    </row>
    <row r="54" ht="21" customHeight="1">
      <c r="A54" s="121" t="n">
        <v>1</v>
      </c>
      <c r="B54" s="122" t="inlineStr">
        <is>
          <t>EXPAT'S</t>
        </is>
      </c>
      <c r="C54" s="123" t="inlineStr">
        <is>
          <t>C</t>
        </is>
      </c>
      <c r="D54" s="122" t="inlineStr">
        <is>
          <t>CARPENTER</t>
        </is>
      </c>
      <c r="E54" s="359" t="n">
        <v>8</v>
      </c>
      <c r="F54" s="359" t="inlineStr">
        <is>
          <t>-</t>
        </is>
      </c>
      <c r="G54" s="360" t="n">
        <v>6</v>
      </c>
      <c r="H54" s="359" t="n"/>
      <c r="I54" s="360">
        <f>SUM(G54:H54)</f>
        <v/>
      </c>
      <c r="K54" s="360" t="n">
        <v>8</v>
      </c>
      <c r="L54" s="360" t="inlineStr">
        <is>
          <t>-</t>
        </is>
      </c>
      <c r="M54" s="360" t="n">
        <v>2</v>
      </c>
      <c r="N54" s="360" t="n">
        <v>0</v>
      </c>
      <c r="O54" s="360">
        <f>SUM(M54:N54)</f>
        <v/>
      </c>
      <c r="Q54" s="360" t="n"/>
      <c r="R54" s="360" t="n"/>
      <c r="S54" s="360" t="n"/>
      <c r="T54" s="360" t="n"/>
      <c r="U54" s="360">
        <f>SUM(S54:T54)</f>
        <v/>
      </c>
      <c r="W54" s="360" t="n"/>
      <c r="X54" s="360" t="n"/>
      <c r="Y54" s="360" t="n"/>
      <c r="Z54" s="360" t="n"/>
      <c r="AA54" s="360" t="n"/>
    </row>
    <row r="55" ht="21" customHeight="1">
      <c r="A55" s="121">
        <f>+A54+1</f>
        <v/>
      </c>
      <c r="B55" s="122" t="inlineStr">
        <is>
          <t>EXPAT'S</t>
        </is>
      </c>
      <c r="C55" s="123" t="inlineStr">
        <is>
          <t>C</t>
        </is>
      </c>
      <c r="D55" s="122" t="inlineStr">
        <is>
          <t>PAINTER/HANDYMAN (CIVIL)</t>
        </is>
      </c>
      <c r="E55" s="359" t="n">
        <v>4</v>
      </c>
      <c r="F55" s="359" t="inlineStr">
        <is>
          <t>-</t>
        </is>
      </c>
      <c r="G55" s="360">
        <f>SUM(E55:F55)</f>
        <v/>
      </c>
      <c r="H55" s="359" t="n">
        <v>2</v>
      </c>
      <c r="I55" s="360">
        <f>SUM(G55:H55)</f>
        <v/>
      </c>
      <c r="K55" s="360" t="n">
        <v>4</v>
      </c>
      <c r="L55" s="360" t="inlineStr">
        <is>
          <t>-</t>
        </is>
      </c>
      <c r="M55" s="360" t="n">
        <v>4</v>
      </c>
      <c r="N55" s="360" t="n">
        <v>0</v>
      </c>
      <c r="O55" s="360">
        <f>SUM(M55:N55)</f>
        <v/>
      </c>
      <c r="Q55" s="360" t="n"/>
      <c r="R55" s="360" t="n"/>
      <c r="S55" s="360" t="n"/>
      <c r="T55" s="360" t="n"/>
      <c r="U55" s="360">
        <f>SUM(S55:T55)</f>
        <v/>
      </c>
      <c r="W55" s="360" t="n">
        <v>1</v>
      </c>
      <c r="X55" s="360" t="n"/>
      <c r="Y55" s="360" t="n">
        <v>1</v>
      </c>
      <c r="Z55" s="360" t="n"/>
      <c r="AA55" s="360" t="n">
        <v>1</v>
      </c>
    </row>
    <row r="56" ht="18.75" customFormat="1" customHeight="1" s="120">
      <c r="A56" s="352" t="inlineStr">
        <is>
          <t>LANDSCAPE  SERVICES</t>
        </is>
      </c>
      <c r="B56" s="353" t="n"/>
      <c r="C56" s="354" t="n"/>
      <c r="D56" s="354" t="n"/>
      <c r="E56" s="355">
        <f>+SUM(E57:E58)</f>
        <v/>
      </c>
      <c r="F56" s="355">
        <f>+SUM(F57:F58)</f>
        <v/>
      </c>
      <c r="G56" s="356">
        <f>+SUM(G57:G58)</f>
        <v/>
      </c>
      <c r="H56" s="355">
        <f>SUM(H57:H58)</f>
        <v/>
      </c>
      <c r="I56" s="356">
        <f>+SUM(I57:I58)</f>
        <v/>
      </c>
      <c r="K56" s="358">
        <f>SUM(K57:K58)</f>
        <v/>
      </c>
      <c r="L56" s="358" t="n">
        <v>0</v>
      </c>
      <c r="M56" s="358">
        <f>+SUM(M57:M58)</f>
        <v/>
      </c>
      <c r="N56" s="358">
        <f>+SUM(N57:N58)</f>
        <v/>
      </c>
      <c r="O56" s="358">
        <f>SUM(M56:N56)</f>
        <v/>
      </c>
      <c r="Q56" s="358">
        <f>SUM(Q57:Q58)</f>
        <v/>
      </c>
      <c r="R56" s="358">
        <f>SUM(R57:R58)</f>
        <v/>
      </c>
      <c r="S56" s="358">
        <f>SUM(S57:S58)</f>
        <v/>
      </c>
      <c r="T56" s="358">
        <f>SUM(T57:T58)</f>
        <v/>
      </c>
      <c r="U56" s="358">
        <f>SUM(S56:T56)</f>
        <v/>
      </c>
      <c r="W56" s="358" t="n"/>
      <c r="X56" s="358" t="n"/>
      <c r="Y56" s="358" t="n"/>
      <c r="Z56" s="358" t="n"/>
      <c r="AA56" s="358" t="n"/>
    </row>
    <row r="57" ht="21" customHeight="1">
      <c r="A57" s="121" t="n">
        <v>1</v>
      </c>
      <c r="B57" s="122" t="inlineStr">
        <is>
          <t>EXPAT'S</t>
        </is>
      </c>
      <c r="C57" s="123" t="inlineStr">
        <is>
          <t>A</t>
        </is>
      </c>
      <c r="D57" s="122" t="inlineStr">
        <is>
          <t>LANDSCAPE SUPERVISOR</t>
        </is>
      </c>
      <c r="E57" s="361" t="n">
        <v>2</v>
      </c>
      <c r="F57" s="361" t="inlineStr">
        <is>
          <t>-</t>
        </is>
      </c>
      <c r="G57" s="360">
        <f>SUM(E57:F57)</f>
        <v/>
      </c>
      <c r="H57" s="359" t="n">
        <v>1</v>
      </c>
      <c r="I57" s="360">
        <f>SUM(G57:H57)</f>
        <v/>
      </c>
      <c r="K57" s="362" t="n">
        <v>2</v>
      </c>
      <c r="L57" s="362" t="inlineStr">
        <is>
          <t>-</t>
        </is>
      </c>
      <c r="M57" s="360" t="n">
        <v>1</v>
      </c>
      <c r="N57" s="362" t="n">
        <v>0</v>
      </c>
      <c r="O57" s="360">
        <f>SUM(M57:N57)</f>
        <v/>
      </c>
      <c r="Q57" s="362" t="n">
        <v>2</v>
      </c>
      <c r="R57" s="362" t="n"/>
      <c r="S57" s="360" t="n">
        <v>2</v>
      </c>
      <c r="T57" s="362" t="n"/>
      <c r="U57" s="360">
        <f>SUM(S57:T57)</f>
        <v/>
      </c>
      <c r="W57" s="362" t="n"/>
      <c r="X57" s="362" t="n"/>
      <c r="Y57" s="362" t="n"/>
      <c r="Z57" s="362" t="n"/>
      <c r="AA57" s="360" t="n"/>
    </row>
    <row r="58" ht="21" customHeight="1">
      <c r="A58" s="121">
        <f>+A57+1</f>
        <v/>
      </c>
      <c r="B58" s="122" t="inlineStr">
        <is>
          <t>EXPAT'S</t>
        </is>
      </c>
      <c r="C58" s="123" t="inlineStr">
        <is>
          <t>D</t>
        </is>
      </c>
      <c r="D58" s="122" t="inlineStr">
        <is>
          <t>GARDENER</t>
        </is>
      </c>
      <c r="E58" s="359" t="n">
        <v>20</v>
      </c>
      <c r="F58" s="359" t="inlineStr">
        <is>
          <t>-</t>
        </is>
      </c>
      <c r="G58" s="360" t="n">
        <v>20</v>
      </c>
      <c r="H58" s="359" t="n">
        <v>20</v>
      </c>
      <c r="I58" s="360">
        <f>SUM(G58:H58)</f>
        <v/>
      </c>
      <c r="K58" s="360" t="n">
        <v>20</v>
      </c>
      <c r="L58" s="360" t="inlineStr">
        <is>
          <t>-</t>
        </is>
      </c>
      <c r="M58" s="360" t="n">
        <v>20</v>
      </c>
      <c r="N58" s="360" t="n">
        <v>29</v>
      </c>
      <c r="O58" s="360">
        <f>SUM(M58:N58)</f>
        <v/>
      </c>
      <c r="Q58" s="360" t="n">
        <v>15</v>
      </c>
      <c r="R58" s="360" t="n"/>
      <c r="S58" s="360" t="n">
        <v>15</v>
      </c>
      <c r="T58" s="362" t="n">
        <v>10</v>
      </c>
      <c r="U58" s="360">
        <f>SUM(S58:T58)</f>
        <v/>
      </c>
      <c r="W58" s="360" t="n"/>
      <c r="X58" s="360" t="n"/>
      <c r="Y58" s="360" t="n"/>
      <c r="Z58" s="360" t="n"/>
      <c r="AA58" s="360" t="n"/>
    </row>
    <row r="59" ht="18.75" customFormat="1" customHeight="1" s="120">
      <c r="A59" s="352" t="inlineStr">
        <is>
          <t>IRRIGATION SYSTEMS</t>
        </is>
      </c>
      <c r="B59" s="353" t="n"/>
      <c r="C59" s="354" t="n"/>
      <c r="D59" s="354" t="n"/>
      <c r="E59" s="355">
        <f>+SUM(E60)</f>
        <v/>
      </c>
      <c r="F59" s="355">
        <f>+SUM(F60)</f>
        <v/>
      </c>
      <c r="G59" s="356">
        <f>+SUM(G60)</f>
        <v/>
      </c>
      <c r="H59" s="355">
        <f>SUM(H60)</f>
        <v/>
      </c>
      <c r="I59" s="356">
        <f>+SUM(I60)</f>
        <v/>
      </c>
      <c r="K59" s="358">
        <f>SUM(K60)</f>
        <v/>
      </c>
      <c r="L59" s="358" t="n">
        <v>0</v>
      </c>
      <c r="M59" s="358">
        <f>+SUM(M60)</f>
        <v/>
      </c>
      <c r="N59" s="358">
        <f>+SUM(N60)</f>
        <v/>
      </c>
      <c r="O59" s="358">
        <f>SUM(M59:N59)</f>
        <v/>
      </c>
      <c r="Q59" s="357">
        <f>SUM(Q60)</f>
        <v/>
      </c>
      <c r="R59" s="357">
        <f>SUM(R60)</f>
        <v/>
      </c>
      <c r="S59" s="357">
        <f>SUM(S60)</f>
        <v/>
      </c>
      <c r="T59" s="357">
        <f>SUM(T60)</f>
        <v/>
      </c>
      <c r="U59" s="358">
        <f>SUM(S59:T59)</f>
        <v/>
      </c>
      <c r="W59" s="358" t="n"/>
      <c r="X59" s="358" t="n"/>
      <c r="Y59" s="358" t="n"/>
      <c r="Z59" s="358" t="n"/>
      <c r="AA59" s="358" t="n"/>
    </row>
    <row r="60" ht="21" customHeight="1">
      <c r="A60" s="121" t="n">
        <v>1</v>
      </c>
      <c r="B60" s="122" t="inlineStr">
        <is>
          <t>EXPAT'S</t>
        </is>
      </c>
      <c r="C60" s="123" t="inlineStr">
        <is>
          <t>C</t>
        </is>
      </c>
      <c r="D60" s="122" t="inlineStr">
        <is>
          <t>IRRIGATION TECHNICIAN</t>
        </is>
      </c>
      <c r="E60" s="359" t="n">
        <v>2</v>
      </c>
      <c r="F60" s="359" t="inlineStr">
        <is>
          <t>-</t>
        </is>
      </c>
      <c r="G60" s="360">
        <f>SUM(E60:F60)</f>
        <v/>
      </c>
      <c r="H60" s="359" t="n">
        <v>1</v>
      </c>
      <c r="I60" s="360">
        <f>SUM(G60:H60)</f>
        <v/>
      </c>
      <c r="K60" s="360" t="n">
        <v>2</v>
      </c>
      <c r="L60" s="360" t="inlineStr">
        <is>
          <t>-</t>
        </is>
      </c>
      <c r="M60" s="360" t="n">
        <v>2</v>
      </c>
      <c r="N60" s="360" t="n">
        <v>2</v>
      </c>
      <c r="O60" s="360">
        <f>SUM(M60:N60)</f>
        <v/>
      </c>
      <c r="Q60" s="360" t="n"/>
      <c r="R60" s="360" t="n"/>
      <c r="S60" s="360" t="n"/>
      <c r="T60" s="360" t="n"/>
      <c r="U60" s="360">
        <f>SUM(S60:T60)</f>
        <v/>
      </c>
      <c r="W60" s="360" t="n"/>
      <c r="X60" s="360" t="n"/>
      <c r="Y60" s="360" t="n"/>
      <c r="Z60" s="360" t="n"/>
      <c r="AA60" s="360" t="n"/>
    </row>
    <row r="61" ht="18.75" customFormat="1" customHeight="1" s="120">
      <c r="A61" s="352" t="inlineStr">
        <is>
          <t>FIRE PROTECTION AND SAFETY SERVICES</t>
        </is>
      </c>
      <c r="B61" s="353" t="n"/>
      <c r="C61" s="354" t="n"/>
      <c r="D61" s="354" t="n"/>
      <c r="E61" s="355">
        <f>+SUM(E63:E66)</f>
        <v/>
      </c>
      <c r="F61" s="355">
        <f>+SUM(F63:F66)</f>
        <v/>
      </c>
      <c r="G61" s="356">
        <f>+SUM(G63:G66)</f>
        <v/>
      </c>
      <c r="H61" s="355">
        <f>SUM(H62:H66)</f>
        <v/>
      </c>
      <c r="I61" s="356">
        <f>+SUM(I63:I66)</f>
        <v/>
      </c>
      <c r="K61" s="358">
        <f>SUM(K62:K66)</f>
        <v/>
      </c>
      <c r="L61" s="358">
        <f>SUM(L62:L66)</f>
        <v/>
      </c>
      <c r="M61" s="358">
        <f>SUM(M62:M66)</f>
        <v/>
      </c>
      <c r="N61" s="358">
        <f>SUM(N62:N66)</f>
        <v/>
      </c>
      <c r="O61" s="358">
        <f>SUM(M61:N61)</f>
        <v/>
      </c>
      <c r="Q61" s="358">
        <f>SUM(Q62:Q66)</f>
        <v/>
      </c>
      <c r="R61" s="358">
        <f>SUM(R62:R66)</f>
        <v/>
      </c>
      <c r="S61" s="358">
        <f>SUM(S62:S66)</f>
        <v/>
      </c>
      <c r="T61" s="358">
        <f>SUM(T62:T66)</f>
        <v/>
      </c>
      <c r="U61" s="358">
        <f>SUM(S61:T61)</f>
        <v/>
      </c>
      <c r="W61" s="358" t="n"/>
      <c r="X61" s="358" t="n"/>
      <c r="Y61" s="358" t="n"/>
      <c r="Z61" s="358" t="n"/>
      <c r="AA61" s="358" t="n"/>
    </row>
    <row r="62" ht="21" customHeight="1">
      <c r="A62" s="121" t="n">
        <v>1</v>
      </c>
      <c r="B62" s="122" t="inlineStr">
        <is>
          <t>EXPAT'S</t>
        </is>
      </c>
      <c r="C62" s="123" t="inlineStr">
        <is>
          <t>B</t>
        </is>
      </c>
      <c r="D62" s="122" t="inlineStr">
        <is>
          <t>FLS SPECIALIST</t>
        </is>
      </c>
      <c r="E62" s="359" t="n">
        <v>0</v>
      </c>
      <c r="F62" s="359" t="inlineStr">
        <is>
          <t>-</t>
        </is>
      </c>
      <c r="G62" s="360" t="n"/>
      <c r="H62" s="359" t="n"/>
      <c r="I62" s="360">
        <f>SUM(G62:H62)</f>
        <v/>
      </c>
      <c r="K62" s="360" t="n">
        <v>0</v>
      </c>
      <c r="L62" s="360" t="inlineStr">
        <is>
          <t>-</t>
        </is>
      </c>
      <c r="M62" s="360" t="n">
        <v>0</v>
      </c>
      <c r="N62" s="360" t="n">
        <v>0</v>
      </c>
      <c r="O62" s="360">
        <f>SUM(M62:N62)</f>
        <v/>
      </c>
      <c r="Q62" s="360" t="n">
        <v>1</v>
      </c>
      <c r="R62" s="360" t="n"/>
      <c r="S62" s="360" t="n">
        <v>1</v>
      </c>
      <c r="T62" s="360" t="n"/>
      <c r="U62" s="360">
        <f>SUM(S62:T62)</f>
        <v/>
      </c>
      <c r="W62" s="360" t="n"/>
      <c r="X62" s="360" t="n"/>
      <c r="Y62" s="360" t="n"/>
      <c r="Z62" s="360" t="n"/>
      <c r="AA62" s="360" t="n"/>
    </row>
    <row r="63" ht="21" customHeight="1">
      <c r="A63" s="121" t="n">
        <v>2</v>
      </c>
      <c r="B63" s="122" t="inlineStr">
        <is>
          <t>EXPAT'S</t>
        </is>
      </c>
      <c r="C63" s="123" t="inlineStr">
        <is>
          <t>B</t>
        </is>
      </c>
      <c r="D63" s="122" t="inlineStr">
        <is>
          <t>FIRE PROTECTION ENGINEER</t>
        </is>
      </c>
      <c r="E63" s="359" t="n">
        <v>2</v>
      </c>
      <c r="F63" s="359" t="inlineStr">
        <is>
          <t>-</t>
        </is>
      </c>
      <c r="G63" s="360" t="n">
        <v>1</v>
      </c>
      <c r="H63" s="359" t="n"/>
      <c r="I63" s="360">
        <f>SUM(G63:H63)</f>
        <v/>
      </c>
      <c r="K63" s="360" t="n">
        <v>2</v>
      </c>
      <c r="L63" s="360" t="inlineStr">
        <is>
          <t>-</t>
        </is>
      </c>
      <c r="M63" s="360" t="n">
        <v>0</v>
      </c>
      <c r="N63" s="360" t="n">
        <v>0</v>
      </c>
      <c r="O63" s="360">
        <f>SUM(M63:N63)</f>
        <v/>
      </c>
      <c r="Q63" s="360" t="n">
        <v>0</v>
      </c>
      <c r="R63" s="360" t="n"/>
      <c r="S63" s="360" t="n">
        <v>0</v>
      </c>
      <c r="T63" s="360" t="n"/>
      <c r="U63" s="360">
        <f>SUM(S63:T63)</f>
        <v/>
      </c>
      <c r="W63" s="360" t="n"/>
      <c r="X63" s="360" t="n"/>
      <c r="Y63" s="360" t="n"/>
      <c r="Z63" s="360" t="n"/>
      <c r="AA63" s="360" t="n"/>
    </row>
    <row r="64" ht="21" customHeight="1">
      <c r="A64" s="121" t="n">
        <v>3</v>
      </c>
      <c r="B64" s="122" t="inlineStr">
        <is>
          <t>EXPAT'S</t>
        </is>
      </c>
      <c r="C64" s="123" t="inlineStr">
        <is>
          <t>C</t>
        </is>
      </c>
      <c r="D64" s="122" t="inlineStr">
        <is>
          <t>SUPERVISOR FIRE ALARM</t>
        </is>
      </c>
      <c r="E64" s="359" t="n">
        <v>0</v>
      </c>
      <c r="F64" s="359" t="inlineStr">
        <is>
          <t>-</t>
        </is>
      </c>
      <c r="G64" s="360">
        <f>SUM(E64:F64)</f>
        <v/>
      </c>
      <c r="H64" s="359" t="n"/>
      <c r="I64" s="360">
        <f>SUM(G64:H64)</f>
        <v/>
      </c>
      <c r="K64" s="360" t="n">
        <v>0</v>
      </c>
      <c r="L64" s="360" t="inlineStr">
        <is>
          <t>-</t>
        </is>
      </c>
      <c r="M64" s="360" t="n">
        <v>0</v>
      </c>
      <c r="N64" s="360" t="n">
        <v>0</v>
      </c>
      <c r="O64" s="360">
        <f>SUM(M64:N64)</f>
        <v/>
      </c>
      <c r="Q64" s="360" t="n"/>
      <c r="R64" s="360" t="n"/>
      <c r="S64" s="360" t="n"/>
      <c r="T64" s="360" t="n"/>
      <c r="U64" s="360">
        <f>SUM(S64:T64)</f>
        <v/>
      </c>
      <c r="W64" s="360" t="n"/>
      <c r="X64" s="360" t="n"/>
      <c r="Y64" s="360" t="n"/>
      <c r="Z64" s="360" t="n"/>
      <c r="AA64" s="360" t="n"/>
    </row>
    <row r="65" ht="21" customHeight="1">
      <c r="A65" s="121" t="n">
        <v>4</v>
      </c>
      <c r="B65" s="122" t="inlineStr">
        <is>
          <t>EXPAT'S</t>
        </is>
      </c>
      <c r="C65" s="123" t="inlineStr">
        <is>
          <t>C</t>
        </is>
      </c>
      <c r="D65" s="122" t="inlineStr">
        <is>
          <t>FIRE FIGHTING TEAM LEADER</t>
        </is>
      </c>
      <c r="E65" s="359" t="n">
        <v>2</v>
      </c>
      <c r="F65" s="359" t="inlineStr">
        <is>
          <t>-</t>
        </is>
      </c>
      <c r="G65" s="360" t="n">
        <v>1</v>
      </c>
      <c r="H65" s="359" t="n"/>
      <c r="I65" s="360">
        <f>SUM(G65:H65)</f>
        <v/>
      </c>
      <c r="K65" s="360" t="n">
        <v>2</v>
      </c>
      <c r="L65" s="360" t="inlineStr">
        <is>
          <t>-</t>
        </is>
      </c>
      <c r="M65" s="360" t="n">
        <v>1</v>
      </c>
      <c r="N65" s="360" t="n">
        <v>0</v>
      </c>
      <c r="O65" s="360">
        <f>SUM(M65:N65)</f>
        <v/>
      </c>
      <c r="Q65" s="360" t="n"/>
      <c r="R65" s="360" t="n"/>
      <c r="S65" s="360" t="n"/>
      <c r="T65" s="360" t="n"/>
      <c r="U65" s="360">
        <f>SUM(S65:T65)</f>
        <v/>
      </c>
      <c r="W65" s="360" t="n"/>
      <c r="X65" s="360" t="n"/>
      <c r="Y65" s="360" t="n"/>
      <c r="Z65" s="360" t="n"/>
      <c r="AA65" s="360" t="n"/>
    </row>
    <row r="66" ht="21" customHeight="1">
      <c r="A66" s="121" t="n">
        <v>5</v>
      </c>
      <c r="B66" s="122" t="inlineStr">
        <is>
          <t>EXPAT'S</t>
        </is>
      </c>
      <c r="C66" s="123" t="inlineStr">
        <is>
          <t>C</t>
        </is>
      </c>
      <c r="D66" s="122" t="inlineStr">
        <is>
          <t>FIRE ALARM TECH</t>
        </is>
      </c>
      <c r="E66" s="359" t="n">
        <v>6</v>
      </c>
      <c r="F66" s="359" t="inlineStr">
        <is>
          <t>-</t>
        </is>
      </c>
      <c r="G66" s="360" t="n">
        <v>4</v>
      </c>
      <c r="H66" s="359" t="n"/>
      <c r="I66" s="360">
        <f>SUM(G66:H66)</f>
        <v/>
      </c>
      <c r="K66" s="360" t="n">
        <v>6</v>
      </c>
      <c r="L66" s="360" t="inlineStr">
        <is>
          <t>-</t>
        </is>
      </c>
      <c r="M66" s="360" t="n">
        <v>6</v>
      </c>
      <c r="N66" s="360" t="n">
        <v>1</v>
      </c>
      <c r="O66" s="360">
        <f>SUM(M66:N66)</f>
        <v/>
      </c>
      <c r="Q66" s="360" t="n">
        <v>1</v>
      </c>
      <c r="R66" s="360" t="n"/>
      <c r="S66" s="360" t="n">
        <v>1</v>
      </c>
      <c r="T66" s="360" t="n">
        <v>2</v>
      </c>
      <c r="U66" s="360">
        <f>SUM(S66:T66)</f>
        <v/>
      </c>
      <c r="W66" s="360" t="n"/>
      <c r="X66" s="360" t="n"/>
      <c r="Y66" s="360" t="n"/>
      <c r="Z66" s="360" t="n"/>
      <c r="AA66" s="360" t="n"/>
    </row>
    <row r="67" ht="18.75" customFormat="1" customHeight="1" s="120">
      <c r="A67" s="352" t="inlineStr">
        <is>
          <t>SECURITY SERVICES</t>
        </is>
      </c>
      <c r="B67" s="353" t="n"/>
      <c r="C67" s="354" t="n"/>
      <c r="D67" s="354" t="n"/>
      <c r="E67" s="355">
        <f>+SUM(E69:E73)</f>
        <v/>
      </c>
      <c r="F67" s="355">
        <f>+SUM(F69:F73)</f>
        <v/>
      </c>
      <c r="G67" s="356">
        <f>+SUM(G69:G73)</f>
        <v/>
      </c>
      <c r="H67" s="355">
        <f>SUM(H68:H73)</f>
        <v/>
      </c>
      <c r="I67" s="356">
        <f>SUM(I68:I73)</f>
        <v/>
      </c>
      <c r="K67" s="358">
        <f>SUM(K68:K73)</f>
        <v/>
      </c>
      <c r="L67" s="358">
        <f>SUM(L68:L73)</f>
        <v/>
      </c>
      <c r="M67" s="358">
        <f>SUM(M68:M73)</f>
        <v/>
      </c>
      <c r="N67" s="358">
        <f>SUM(N68:N73)</f>
        <v/>
      </c>
      <c r="O67" s="358">
        <f>SUM(M67:N67)</f>
        <v/>
      </c>
      <c r="Q67" s="358">
        <f>SUM(Q68:Q73)</f>
        <v/>
      </c>
      <c r="R67" s="358">
        <f>SUM(R68:R73)</f>
        <v/>
      </c>
      <c r="S67" s="358">
        <f>SUM(S68:S73)</f>
        <v/>
      </c>
      <c r="T67" s="358">
        <f>SUM(T68:T73)</f>
        <v/>
      </c>
      <c r="U67" s="358">
        <f>SUM(S67:T67)</f>
        <v/>
      </c>
      <c r="W67" s="358" t="n"/>
      <c r="X67" s="358" t="n"/>
      <c r="Y67" s="358" t="n"/>
      <c r="Z67" s="358" t="n"/>
      <c r="AA67" s="358" t="n"/>
    </row>
    <row r="68" ht="21" customHeight="1">
      <c r="A68" s="121" t="n">
        <v>1</v>
      </c>
      <c r="B68" s="122" t="inlineStr">
        <is>
          <t>SAUDI'S</t>
        </is>
      </c>
      <c r="C68" s="123" t="inlineStr">
        <is>
          <t>A</t>
        </is>
      </c>
      <c r="D68" s="122" t="inlineStr">
        <is>
          <t>SECURITY OPERATIONS MANAGER</t>
        </is>
      </c>
      <c r="E68" s="361" t="inlineStr">
        <is>
          <t>-</t>
        </is>
      </c>
      <c r="F68" s="361" t="n">
        <v>0</v>
      </c>
      <c r="G68" s="360" t="n"/>
      <c r="H68" s="359" t="n">
        <v>2</v>
      </c>
      <c r="I68" s="360">
        <f>SUM(G68:H68)</f>
        <v/>
      </c>
      <c r="K68" s="362" t="inlineStr">
        <is>
          <t>-</t>
        </is>
      </c>
      <c r="L68" s="362" t="n">
        <v>0</v>
      </c>
      <c r="M68" s="360" t="n">
        <v>0</v>
      </c>
      <c r="N68" s="362" t="n">
        <v>0</v>
      </c>
      <c r="O68" s="360">
        <f>SUM(M68:N68)</f>
        <v/>
      </c>
      <c r="Q68" s="362" t="n"/>
      <c r="R68" s="362" t="n"/>
      <c r="S68" s="360" t="n"/>
      <c r="T68" s="362" t="n"/>
      <c r="U68" s="360">
        <f>SUM(S68:T68)</f>
        <v/>
      </c>
      <c r="W68" s="362" t="n"/>
      <c r="X68" s="362" t="n"/>
      <c r="Y68" s="362" t="n"/>
      <c r="Z68" s="362" t="n"/>
      <c r="AA68" s="360" t="n"/>
    </row>
    <row r="69" ht="21" customHeight="1">
      <c r="A69" s="121">
        <f>+A68+1</f>
        <v/>
      </c>
      <c r="B69" s="122" t="inlineStr">
        <is>
          <t>SAUDI'S</t>
        </is>
      </c>
      <c r="C69" s="123" t="inlineStr">
        <is>
          <t>A</t>
        </is>
      </c>
      <c r="D69" s="122" t="inlineStr">
        <is>
          <t>SECURITY MANAGER</t>
        </is>
      </c>
      <c r="E69" s="361" t="inlineStr">
        <is>
          <t>-</t>
        </is>
      </c>
      <c r="F69" s="361" t="n">
        <v>1</v>
      </c>
      <c r="G69" s="360" t="n">
        <v>0</v>
      </c>
      <c r="H69" s="361" t="n"/>
      <c r="I69" s="360">
        <f>SUM(G69:H69)</f>
        <v/>
      </c>
      <c r="K69" s="362" t="inlineStr">
        <is>
          <t>-</t>
        </is>
      </c>
      <c r="L69" s="362" t="n">
        <v>1</v>
      </c>
      <c r="M69" s="360" t="n">
        <v>1</v>
      </c>
      <c r="N69" s="362" t="n">
        <v>0</v>
      </c>
      <c r="O69" s="360">
        <f>SUM(M69:N69)</f>
        <v/>
      </c>
      <c r="Q69" s="362" t="n"/>
      <c r="R69" s="362" t="n"/>
      <c r="S69" s="360" t="n"/>
      <c r="T69" s="362" t="n"/>
      <c r="U69" s="360">
        <f>SUM(S69:T69)</f>
        <v/>
      </c>
      <c r="W69" s="362" t="n"/>
      <c r="X69" s="362" t="n"/>
      <c r="Y69" s="362" t="n"/>
      <c r="Z69" s="362" t="n"/>
      <c r="AA69" s="360" t="n"/>
    </row>
    <row r="70" ht="21" customHeight="1">
      <c r="A70" s="121">
        <f>+A69+1</f>
        <v/>
      </c>
      <c r="B70" s="122" t="inlineStr">
        <is>
          <t>SAUDI'S</t>
        </is>
      </c>
      <c r="C70" s="123" t="inlineStr">
        <is>
          <t>A</t>
        </is>
      </c>
      <c r="D70" s="122" t="inlineStr">
        <is>
          <t>SECURITY SUPERVISOR</t>
        </is>
      </c>
      <c r="E70" s="361" t="inlineStr">
        <is>
          <t>-</t>
        </is>
      </c>
      <c r="F70" s="361" t="n">
        <v>8</v>
      </c>
      <c r="G70" s="360" t="n">
        <v>3</v>
      </c>
      <c r="H70" s="361" t="n"/>
      <c r="I70" s="360">
        <f>SUM(G70:H70)</f>
        <v/>
      </c>
      <c r="K70" s="362" t="inlineStr">
        <is>
          <t>-</t>
        </is>
      </c>
      <c r="L70" s="362" t="n">
        <v>8</v>
      </c>
      <c r="M70" s="360" t="n">
        <v>2</v>
      </c>
      <c r="N70" s="362" t="n">
        <v>0</v>
      </c>
      <c r="O70" s="360">
        <f>SUM(M70:N70)</f>
        <v/>
      </c>
      <c r="Q70" s="362" t="n">
        <v>1</v>
      </c>
      <c r="R70" s="362" t="n">
        <v>1</v>
      </c>
      <c r="S70" s="360" t="n">
        <v>1</v>
      </c>
      <c r="T70" s="362" t="n"/>
      <c r="U70" s="360">
        <f>SUM(S70:T70)</f>
        <v/>
      </c>
      <c r="W70" s="362" t="n"/>
      <c r="X70" s="362" t="n"/>
      <c r="Y70" s="362" t="n"/>
      <c r="Z70" s="362" t="n"/>
      <c r="AA70" s="360" t="n"/>
    </row>
    <row r="71" ht="21" customHeight="1">
      <c r="A71" s="121">
        <f>+A70+1</f>
        <v/>
      </c>
      <c r="B71" s="122" t="inlineStr">
        <is>
          <t>SAUDI'S</t>
        </is>
      </c>
      <c r="C71" s="123" t="inlineStr">
        <is>
          <t>C</t>
        </is>
      </c>
      <c r="D71" s="122" t="inlineStr">
        <is>
          <t xml:space="preserve">SECURITY ADMIN </t>
        </is>
      </c>
      <c r="E71" s="359" t="inlineStr">
        <is>
          <t>-</t>
        </is>
      </c>
      <c r="F71" s="359" t="n">
        <v>8</v>
      </c>
      <c r="G71" s="360" t="n">
        <v>3</v>
      </c>
      <c r="H71" s="359" t="n"/>
      <c r="I71" s="360">
        <f>SUM(G71:H71)</f>
        <v/>
      </c>
      <c r="K71" s="360" t="inlineStr">
        <is>
          <t>-</t>
        </is>
      </c>
      <c r="L71" s="360" t="n">
        <v>8</v>
      </c>
      <c r="M71" s="360" t="n">
        <v>2</v>
      </c>
      <c r="N71" s="362" t="n">
        <v>0</v>
      </c>
      <c r="O71" s="360">
        <f>SUM(M71:N71)</f>
        <v/>
      </c>
      <c r="Q71" s="360" t="n"/>
      <c r="R71" s="360" t="n"/>
      <c r="S71" s="360" t="n"/>
      <c r="T71" s="360" t="n"/>
      <c r="U71" s="360">
        <f>SUM(S71:T71)</f>
        <v/>
      </c>
      <c r="W71" s="360" t="n"/>
      <c r="X71" s="360" t="n"/>
      <c r="Y71" s="360" t="n"/>
      <c r="Z71" s="360" t="n"/>
      <c r="AA71" s="360" t="n"/>
    </row>
    <row r="72" ht="21" customHeight="1">
      <c r="A72" s="121">
        <f>+A71+1</f>
        <v/>
      </c>
      <c r="B72" s="122" t="inlineStr">
        <is>
          <t>SAUDI'S</t>
        </is>
      </c>
      <c r="C72" s="123" t="inlineStr">
        <is>
          <t>C</t>
        </is>
      </c>
      <c r="D72" s="122" t="inlineStr">
        <is>
          <t>MANNED SECURITY WATCHMAN/GUARDS</t>
        </is>
      </c>
      <c r="E72" s="359" t="inlineStr">
        <is>
          <t>-</t>
        </is>
      </c>
      <c r="F72" s="359" t="n">
        <v>60</v>
      </c>
      <c r="G72" s="360" t="n">
        <v>35</v>
      </c>
      <c r="H72" s="359" t="n"/>
      <c r="I72" s="360">
        <f>SUM(G72:H72)</f>
        <v/>
      </c>
      <c r="K72" s="360" t="inlineStr">
        <is>
          <t>-</t>
        </is>
      </c>
      <c r="L72" s="360" t="n">
        <v>60</v>
      </c>
      <c r="M72" s="360" t="n">
        <v>33</v>
      </c>
      <c r="N72" s="362" t="n">
        <v>0</v>
      </c>
      <c r="O72" s="360">
        <f>SUM(M72:N72)</f>
        <v/>
      </c>
      <c r="Q72" s="360" t="n">
        <v>12</v>
      </c>
      <c r="R72" s="360" t="n">
        <v>12</v>
      </c>
      <c r="S72" s="360" t="n">
        <v>10</v>
      </c>
      <c r="T72" s="360" t="n"/>
      <c r="U72" s="360">
        <f>SUM(S72:T72)</f>
        <v/>
      </c>
      <c r="W72" s="360" t="n"/>
      <c r="X72" s="360" t="n"/>
      <c r="Y72" s="360" t="n"/>
      <c r="Z72" s="360" t="n"/>
      <c r="AA72" s="360" t="n"/>
    </row>
    <row r="73" ht="21" customHeight="1">
      <c r="A73" s="121">
        <f>+A72+1</f>
        <v/>
      </c>
      <c r="B73" s="122" t="inlineStr">
        <is>
          <t>SAUDI'S</t>
        </is>
      </c>
      <c r="C73" s="123" t="inlineStr">
        <is>
          <t>D</t>
        </is>
      </c>
      <c r="D73" s="122" t="inlineStr">
        <is>
          <t>MANNED SECURITY PATROLS</t>
        </is>
      </c>
      <c r="E73" s="359" t="inlineStr">
        <is>
          <t>-</t>
        </is>
      </c>
      <c r="F73" s="359" t="n">
        <v>8</v>
      </c>
      <c r="G73" s="360" t="n">
        <v>0</v>
      </c>
      <c r="H73" s="359" t="n"/>
      <c r="I73" s="360">
        <f>SUM(G73:H73)</f>
        <v/>
      </c>
      <c r="K73" s="360" t="inlineStr">
        <is>
          <t>-</t>
        </is>
      </c>
      <c r="L73" s="360" t="n">
        <v>8</v>
      </c>
      <c r="M73" s="360" t="n">
        <v>0</v>
      </c>
      <c r="N73" s="362" t="n">
        <v>0</v>
      </c>
      <c r="O73" s="360">
        <f>SUM(M73:N73)</f>
        <v/>
      </c>
      <c r="Q73" s="360" t="n"/>
      <c r="R73" s="360" t="n"/>
      <c r="S73" s="360" t="n"/>
      <c r="T73" s="360" t="n"/>
      <c r="U73" s="360">
        <f>SUM(S73:T73)</f>
        <v/>
      </c>
      <c r="W73" s="360" t="n"/>
      <c r="X73" s="360" t="n"/>
      <c r="Y73" s="360" t="n"/>
      <c r="Z73" s="360" t="n"/>
      <c r="AA73" s="360" t="n"/>
    </row>
    <row r="74" ht="18.75" customFormat="1" customHeight="1" s="120">
      <c r="A74" s="352" t="inlineStr">
        <is>
          <t xml:space="preserve">RECREATION SERVICES  </t>
        </is>
      </c>
      <c r="B74" s="353" t="n"/>
      <c r="C74" s="354" t="n"/>
      <c r="D74" s="354" t="n"/>
      <c r="E74" s="355">
        <f>+SUM(E75:E77)</f>
        <v/>
      </c>
      <c r="F74" s="355">
        <f>+SUM(F75:F77)</f>
        <v/>
      </c>
      <c r="G74" s="356">
        <f>+SUM(G75:G77)</f>
        <v/>
      </c>
      <c r="H74" s="355">
        <f>SUM(H75:H77)</f>
        <v/>
      </c>
      <c r="I74" s="356">
        <f>+SUM(I75:I77)</f>
        <v/>
      </c>
      <c r="K74" s="358">
        <f>SUM(K75:K77)</f>
        <v/>
      </c>
      <c r="L74" s="358">
        <f>SUM(L75:L77)</f>
        <v/>
      </c>
      <c r="M74" s="358">
        <f>SUM(M75:M77)</f>
        <v/>
      </c>
      <c r="N74" s="358">
        <f>SUM(N75:N77)</f>
        <v/>
      </c>
      <c r="O74" s="358">
        <f>SUM(M74:N74)</f>
        <v/>
      </c>
      <c r="Q74" s="358">
        <f>SUM(Q75:Q76)</f>
        <v/>
      </c>
      <c r="R74" s="358">
        <f>SUM(R75:R76)</f>
        <v/>
      </c>
      <c r="S74" s="358">
        <f>SUM(S75:S76)</f>
        <v/>
      </c>
      <c r="T74" s="358">
        <f>SUM(T75:T76)</f>
        <v/>
      </c>
      <c r="U74" s="358">
        <f>SUM(S74:T74)</f>
        <v/>
      </c>
      <c r="W74" s="358" t="n"/>
      <c r="X74" s="358" t="n"/>
      <c r="Y74" s="358" t="n"/>
      <c r="Z74" s="358" t="n"/>
      <c r="AA74" s="358" t="n"/>
    </row>
    <row r="75" ht="21" customHeight="1">
      <c r="A75" s="121" t="n">
        <v>1</v>
      </c>
      <c r="B75" s="122" t="inlineStr">
        <is>
          <t>EXPAT'S</t>
        </is>
      </c>
      <c r="C75" s="123" t="inlineStr">
        <is>
          <t>B</t>
        </is>
      </c>
      <c r="D75" s="122" t="inlineStr">
        <is>
          <t xml:space="preserve">RECREATION INCHARGE </t>
        </is>
      </c>
      <c r="E75" s="361" t="n">
        <v>1</v>
      </c>
      <c r="F75" s="361" t="inlineStr">
        <is>
          <t>-</t>
        </is>
      </c>
      <c r="G75" s="360">
        <f>SUM(E75:F75)</f>
        <v/>
      </c>
      <c r="H75" s="361" t="n"/>
      <c r="I75" s="360">
        <f>SUM(G75:H75)</f>
        <v/>
      </c>
      <c r="K75" s="362" t="n">
        <v>1</v>
      </c>
      <c r="L75" s="362" t="inlineStr">
        <is>
          <t>-</t>
        </is>
      </c>
      <c r="M75" s="360" t="n">
        <v>1</v>
      </c>
      <c r="N75" s="362" t="n">
        <v>0</v>
      </c>
      <c r="O75" s="360">
        <f>SUM(M75:N75)</f>
        <v/>
      </c>
      <c r="Q75" s="362" t="n"/>
      <c r="R75" s="362" t="n"/>
      <c r="S75" s="362" t="n"/>
      <c r="T75" s="362" t="n"/>
      <c r="U75" s="360">
        <f>SUM(S75:T75)</f>
        <v/>
      </c>
      <c r="W75" s="362" t="n"/>
      <c r="X75" s="362" t="n"/>
      <c r="Y75" s="362" t="n"/>
      <c r="Z75" s="362" t="n"/>
      <c r="AA75" s="360" t="n"/>
    </row>
    <row r="76" ht="21" customHeight="1">
      <c r="A76" s="121" t="n">
        <v>2</v>
      </c>
      <c r="B76" s="122" t="inlineStr">
        <is>
          <t>EXPAT'S</t>
        </is>
      </c>
      <c r="C76" s="123" t="inlineStr">
        <is>
          <t>C</t>
        </is>
      </c>
      <c r="D76" s="122" t="inlineStr">
        <is>
          <t xml:space="preserve">RECREATION COORDINATOR </t>
        </is>
      </c>
      <c r="E76" s="361" t="n">
        <v>1</v>
      </c>
      <c r="F76" s="361" t="inlineStr">
        <is>
          <t>-</t>
        </is>
      </c>
      <c r="G76" s="360">
        <f>SUM(E76:F76)</f>
        <v/>
      </c>
      <c r="H76" s="361" t="n"/>
      <c r="I76" s="360">
        <f>SUM(G76:H76)</f>
        <v/>
      </c>
      <c r="K76" s="362" t="n">
        <v>1</v>
      </c>
      <c r="L76" s="362" t="inlineStr">
        <is>
          <t>-</t>
        </is>
      </c>
      <c r="M76" s="360" t="n">
        <v>1</v>
      </c>
      <c r="N76" s="362" t="n">
        <v>0</v>
      </c>
      <c r="O76" s="360">
        <f>SUM(M76:N76)</f>
        <v/>
      </c>
      <c r="Q76" s="362" t="n"/>
      <c r="R76" s="362" t="n"/>
      <c r="S76" s="362" t="n"/>
      <c r="T76" s="362" t="n"/>
      <c r="U76" s="360">
        <f>SUM(S76:T76)</f>
        <v/>
      </c>
      <c r="W76" s="362" t="n"/>
      <c r="X76" s="362" t="n"/>
      <c r="Y76" s="362" t="n"/>
      <c r="Z76" s="362" t="n"/>
      <c r="AA76" s="360" t="n"/>
    </row>
    <row r="77" ht="21" customHeight="1">
      <c r="A77" s="121" t="n">
        <v>3</v>
      </c>
      <c r="B77" s="122" t="inlineStr">
        <is>
          <t>EXPAT'S</t>
        </is>
      </c>
      <c r="C77" s="123" t="inlineStr">
        <is>
          <t>C</t>
        </is>
      </c>
      <c r="D77" s="122" t="inlineStr">
        <is>
          <t>SWIMMING POOL TECHNICIAN</t>
        </is>
      </c>
      <c r="E77" s="361" t="n">
        <v>0</v>
      </c>
      <c r="F77" s="361" t="inlineStr">
        <is>
          <t>-</t>
        </is>
      </c>
      <c r="G77" s="360" t="n"/>
      <c r="H77" s="359" t="n">
        <v>7</v>
      </c>
      <c r="I77" s="360">
        <f>SUM(G77:H77)</f>
        <v/>
      </c>
      <c r="K77" s="362" t="n">
        <v>0</v>
      </c>
      <c r="L77" s="362" t="inlineStr">
        <is>
          <t>-</t>
        </is>
      </c>
      <c r="M77" s="360" t="n">
        <v>0</v>
      </c>
      <c r="N77" s="362" t="n">
        <v>2</v>
      </c>
      <c r="O77" s="360">
        <f>SUM(M77:N77)</f>
        <v/>
      </c>
      <c r="Q77" s="362" t="n">
        <v>1</v>
      </c>
      <c r="R77" s="362" t="n"/>
      <c r="S77" s="360" t="n">
        <v>1</v>
      </c>
      <c r="T77" s="362" t="n"/>
      <c r="U77" s="360">
        <f>SUM(S77:T77)</f>
        <v/>
      </c>
      <c r="W77" s="362" t="n"/>
      <c r="X77" s="362" t="n"/>
      <c r="Y77" s="362" t="n"/>
      <c r="Z77" s="362" t="n"/>
      <c r="AA77" s="360" t="n"/>
    </row>
    <row r="78" ht="30.75" customFormat="1" customHeight="1" s="120">
      <c r="A78" s="352" t="inlineStr">
        <is>
          <t>CAMP MANAGEMENT</t>
        </is>
      </c>
      <c r="B78" s="353" t="n"/>
      <c r="C78" s="354" t="n"/>
      <c r="D78" s="354" t="n"/>
      <c r="E78" s="355">
        <f>+SUM(E80:E99)</f>
        <v/>
      </c>
      <c r="F78" s="355">
        <f>+SUM(F80:F99)</f>
        <v/>
      </c>
      <c r="G78" s="356">
        <f>+SUM(G80:G99)</f>
        <v/>
      </c>
      <c r="H78" s="355">
        <f>SUM(H79:H99)</f>
        <v/>
      </c>
      <c r="I78" s="356">
        <f>SUM(I79:I99)</f>
        <v/>
      </c>
      <c r="K78" s="358">
        <f>SUM(K79:K100)</f>
        <v/>
      </c>
      <c r="L78" s="358">
        <f>SUM(L79:L100)</f>
        <v/>
      </c>
      <c r="M78" s="358">
        <f>SUM(M79:M100)</f>
        <v/>
      </c>
      <c r="N78" s="358">
        <f>SUM(N79:N100)</f>
        <v/>
      </c>
      <c r="O78" s="358">
        <f>SUM(M78:N78)</f>
        <v/>
      </c>
      <c r="Q78" s="358">
        <f>SUM(Q79:Q99)</f>
        <v/>
      </c>
      <c r="R78" s="358">
        <f>SUM(R79:R99)</f>
        <v/>
      </c>
      <c r="S78" s="358">
        <f>SUM(S79:S99)</f>
        <v/>
      </c>
      <c r="T78" s="358">
        <f>SUM(T79:T99)</f>
        <v/>
      </c>
      <c r="U78" s="358">
        <f>SUM(S78:T78)</f>
        <v/>
      </c>
      <c r="W78" s="358" t="n">
        <v>3</v>
      </c>
      <c r="X78" s="358" t="n"/>
      <c r="Y78" s="358" t="n">
        <v>2</v>
      </c>
      <c r="Z78" s="358" t="n"/>
      <c r="AA78" s="358" t="n">
        <v>4</v>
      </c>
    </row>
    <row r="79" ht="21" customHeight="1">
      <c r="A79" s="121" t="n">
        <v>1</v>
      </c>
      <c r="B79" s="122" t="inlineStr">
        <is>
          <t>S.EXPATS</t>
        </is>
      </c>
      <c r="C79" s="123" t="inlineStr">
        <is>
          <t>A</t>
        </is>
      </c>
      <c r="D79" s="124" t="inlineStr">
        <is>
          <t>ON SITE OPERATIONS MANAGER</t>
        </is>
      </c>
      <c r="E79" s="359" t="n"/>
      <c r="F79" s="359" t="inlineStr">
        <is>
          <t>-</t>
        </is>
      </c>
      <c r="G79" s="360" t="n"/>
      <c r="H79" s="359" t="n">
        <v>1</v>
      </c>
      <c r="I79" s="360">
        <f>SUM(G79:H79)</f>
        <v/>
      </c>
      <c r="K79" s="360" t="n">
        <v>0</v>
      </c>
      <c r="L79" s="360" t="inlineStr">
        <is>
          <t>-</t>
        </is>
      </c>
      <c r="M79" s="360" t="n">
        <v>0</v>
      </c>
      <c r="N79" s="360" t="n">
        <v>0</v>
      </c>
      <c r="O79" s="360">
        <f>SUM(M79:N79)</f>
        <v/>
      </c>
      <c r="Q79" s="360" t="n"/>
      <c r="R79" s="360" t="n"/>
      <c r="S79" s="360" t="n"/>
      <c r="T79" s="360" t="n"/>
      <c r="U79" s="360">
        <f>SUM(S79:T79)</f>
        <v/>
      </c>
      <c r="W79" s="360" t="n"/>
      <c r="X79" s="360" t="n"/>
      <c r="Y79" s="360" t="n"/>
      <c r="Z79" s="360" t="n"/>
      <c r="AA79" s="360" t="n"/>
    </row>
    <row r="80" ht="21" customHeight="1">
      <c r="A80" s="121" t="n">
        <v>2</v>
      </c>
      <c r="B80" s="122" t="inlineStr">
        <is>
          <t>S.EXPATS</t>
        </is>
      </c>
      <c r="C80" s="123" t="inlineStr">
        <is>
          <t>A</t>
        </is>
      </c>
      <c r="D80" s="124" t="inlineStr">
        <is>
          <t>FACILITY MANAGER</t>
        </is>
      </c>
      <c r="E80" s="359" t="n">
        <v>1</v>
      </c>
      <c r="F80" s="359" t="inlineStr">
        <is>
          <t>-</t>
        </is>
      </c>
      <c r="G80" s="360" t="n">
        <v>0</v>
      </c>
      <c r="H80" s="359" t="n"/>
      <c r="I80" s="360">
        <f>SUM(G80:H80)</f>
        <v/>
      </c>
      <c r="K80" s="360" t="n">
        <v>1</v>
      </c>
      <c r="L80" s="360" t="inlineStr">
        <is>
          <t>-</t>
        </is>
      </c>
      <c r="M80" s="360" t="n">
        <v>1</v>
      </c>
      <c r="N80" s="360" t="n">
        <v>0</v>
      </c>
      <c r="O80" s="360">
        <f>SUM(M80:N80)</f>
        <v/>
      </c>
      <c r="Q80" s="360" t="n">
        <v>1</v>
      </c>
      <c r="R80" s="360" t="n"/>
      <c r="S80" s="360" t="n">
        <v>0</v>
      </c>
      <c r="T80" s="360" t="n">
        <v>0</v>
      </c>
      <c r="U80" s="360">
        <f>SUM(S80:T80)</f>
        <v/>
      </c>
      <c r="W80" s="360" t="n">
        <v>1</v>
      </c>
      <c r="X80" s="360" t="n"/>
      <c r="Y80" s="360" t="n">
        <v>1</v>
      </c>
      <c r="Z80" s="360" t="n"/>
      <c r="AA80" s="360" t="n">
        <v>1</v>
      </c>
    </row>
    <row r="81" ht="21" customHeight="1">
      <c r="A81" s="121" t="n">
        <v>3</v>
      </c>
      <c r="B81" s="122" t="inlineStr">
        <is>
          <t>S.EXPATS</t>
        </is>
      </c>
      <c r="C81" s="123" t="inlineStr">
        <is>
          <t>A</t>
        </is>
      </c>
      <c r="D81" s="124" t="inlineStr">
        <is>
          <t>HARD SERVICES MANAGERS</t>
        </is>
      </c>
      <c r="E81" s="359" t="n">
        <v>1</v>
      </c>
      <c r="F81" s="359" t="inlineStr">
        <is>
          <t>-</t>
        </is>
      </c>
      <c r="G81" s="360">
        <f>SUM(E81:F81)</f>
        <v/>
      </c>
      <c r="H81" s="359" t="n"/>
      <c r="I81" s="360">
        <f>SUM(G81:H81)</f>
        <v/>
      </c>
      <c r="K81" s="360" t="n">
        <v>1</v>
      </c>
      <c r="L81" s="360" t="inlineStr">
        <is>
          <t>-</t>
        </is>
      </c>
      <c r="M81" s="360" t="n">
        <v>1</v>
      </c>
      <c r="N81" s="360" t="n">
        <v>0</v>
      </c>
      <c r="O81" s="360">
        <f>SUM(M81:N81)</f>
        <v/>
      </c>
      <c r="Q81" s="360" t="n">
        <v>1</v>
      </c>
      <c r="R81" s="360" t="n"/>
      <c r="S81" s="360" t="n">
        <v>1</v>
      </c>
      <c r="T81" s="360" t="n">
        <v>1</v>
      </c>
      <c r="U81" s="360">
        <f>SUM(S81:T81)</f>
        <v/>
      </c>
      <c r="W81" s="360" t="n"/>
      <c r="X81" s="360" t="n"/>
      <c r="Y81" s="360" t="n">
        <v>1</v>
      </c>
      <c r="Z81" s="360" t="n"/>
      <c r="AA81" s="360" t="n">
        <v>1</v>
      </c>
    </row>
    <row r="82" ht="21" customHeight="1">
      <c r="A82" s="121" t="n">
        <v>4</v>
      </c>
      <c r="B82" s="122" t="inlineStr">
        <is>
          <t>EXPAT'S</t>
        </is>
      </c>
      <c r="C82" s="123" t="inlineStr">
        <is>
          <t>A</t>
        </is>
      </c>
      <c r="D82" s="124" t="inlineStr">
        <is>
          <t>SOFT SERVICES MANAGERS</t>
        </is>
      </c>
      <c r="E82" s="359" t="n">
        <v>1</v>
      </c>
      <c r="F82" s="359" t="inlineStr">
        <is>
          <t>-</t>
        </is>
      </c>
      <c r="G82" s="360">
        <f>SUM(E82:F82)</f>
        <v/>
      </c>
      <c r="H82" s="359" t="n"/>
      <c r="I82" s="360">
        <f>SUM(G82:H82)</f>
        <v/>
      </c>
      <c r="K82" s="360" t="n">
        <v>1</v>
      </c>
      <c r="L82" s="360" t="inlineStr">
        <is>
          <t>-</t>
        </is>
      </c>
      <c r="M82" s="360" t="n">
        <v>1</v>
      </c>
      <c r="N82" s="360" t="n">
        <v>1</v>
      </c>
      <c r="O82" s="360">
        <f>SUM(M82:N82)</f>
        <v/>
      </c>
      <c r="Q82" s="360" t="n">
        <v>1</v>
      </c>
      <c r="R82" s="360" t="n"/>
      <c r="S82" s="360" t="n">
        <v>1</v>
      </c>
      <c r="T82" s="360" t="n"/>
      <c r="U82" s="360">
        <f>SUM(S82:T82)</f>
        <v/>
      </c>
      <c r="W82" s="360" t="n"/>
      <c r="X82" s="360" t="n"/>
      <c r="Y82" s="360" t="n"/>
      <c r="Z82" s="360" t="n"/>
      <c r="AA82" s="360" t="n"/>
    </row>
    <row r="83" ht="21" customHeight="1">
      <c r="A83" s="121" t="n">
        <v>5</v>
      </c>
      <c r="B83" s="122" t="inlineStr">
        <is>
          <t>S.EXPATS</t>
        </is>
      </c>
      <c r="C83" s="123" t="inlineStr">
        <is>
          <t>A</t>
        </is>
      </c>
      <c r="D83" s="124" t="inlineStr">
        <is>
          <t xml:space="preserve">OFFICE MANAGER/HR MANAGER </t>
        </is>
      </c>
      <c r="E83" s="359" t="n">
        <v>1</v>
      </c>
      <c r="F83" s="359" t="inlineStr">
        <is>
          <t>-</t>
        </is>
      </c>
      <c r="G83" s="360">
        <f>SUM(E83:F83)</f>
        <v/>
      </c>
      <c r="H83" s="359" t="n"/>
      <c r="I83" s="360">
        <f>SUM(G83:H83)</f>
        <v/>
      </c>
      <c r="K83" s="360" t="n">
        <v>1</v>
      </c>
      <c r="L83" s="360" t="inlineStr">
        <is>
          <t>-</t>
        </is>
      </c>
      <c r="M83" s="360" t="n">
        <v>0</v>
      </c>
      <c r="N83" s="360" t="n">
        <v>0</v>
      </c>
      <c r="O83" s="360">
        <f>SUM(M83:N83)</f>
        <v/>
      </c>
      <c r="Q83" s="360" t="n"/>
      <c r="R83" s="360" t="n"/>
      <c r="S83" s="360" t="n"/>
      <c r="T83" s="360" t="n"/>
      <c r="U83" s="360">
        <f>SUM(S83:T83)</f>
        <v/>
      </c>
      <c r="W83" s="360" t="n"/>
      <c r="X83" s="360" t="n"/>
      <c r="Y83" s="360" t="n"/>
      <c r="Z83" s="360" t="n"/>
      <c r="AA83" s="360" t="n"/>
    </row>
    <row r="84" ht="21" customHeight="1">
      <c r="A84" s="121" t="n">
        <v>6</v>
      </c>
      <c r="B84" s="122" t="inlineStr">
        <is>
          <t>EXPAT'S</t>
        </is>
      </c>
      <c r="C84" s="123" t="inlineStr">
        <is>
          <t>C</t>
        </is>
      </c>
      <c r="D84" s="124" t="inlineStr">
        <is>
          <t>HARD SERVICE COORDINATORS</t>
        </is>
      </c>
      <c r="E84" s="359" t="n">
        <v>1</v>
      </c>
      <c r="F84" s="359" t="inlineStr">
        <is>
          <t>-</t>
        </is>
      </c>
      <c r="G84" s="360">
        <f>SUM(E84:F84)</f>
        <v/>
      </c>
      <c r="H84" s="359" t="n"/>
      <c r="I84" s="360">
        <f>SUM(G84:H84)</f>
        <v/>
      </c>
      <c r="K84" s="360" t="n">
        <v>1</v>
      </c>
      <c r="L84" s="360" t="inlineStr">
        <is>
          <t>-</t>
        </is>
      </c>
      <c r="M84" s="360" t="n">
        <v>0</v>
      </c>
      <c r="N84" s="360" t="n">
        <v>0</v>
      </c>
      <c r="O84" s="360">
        <f>SUM(M84:N84)</f>
        <v/>
      </c>
      <c r="Q84" s="360" t="n"/>
      <c r="R84" s="360" t="n"/>
      <c r="S84" s="360" t="n"/>
      <c r="T84" s="360" t="n"/>
      <c r="U84" s="360">
        <f>SUM(S84:T84)</f>
        <v/>
      </c>
      <c r="W84" s="360" t="n"/>
      <c r="X84" s="360" t="n"/>
      <c r="Y84" s="360" t="n"/>
      <c r="Z84" s="360" t="n"/>
      <c r="AA84" s="360" t="n"/>
    </row>
    <row r="85" ht="21" customHeight="1">
      <c r="A85" s="121" t="n">
        <v>7</v>
      </c>
      <c r="B85" s="122" t="inlineStr">
        <is>
          <t>EXPAT'S</t>
        </is>
      </c>
      <c r="C85" s="123" t="inlineStr">
        <is>
          <t>D</t>
        </is>
      </c>
      <c r="D85" s="124" t="inlineStr">
        <is>
          <t>SOFT SERVICE COORDINATORS</t>
        </is>
      </c>
      <c r="E85" s="359" t="n">
        <v>1</v>
      </c>
      <c r="F85" s="359" t="inlineStr">
        <is>
          <t>-</t>
        </is>
      </c>
      <c r="G85" s="360">
        <f>SUM(E85:F85)</f>
        <v/>
      </c>
      <c r="H85" s="359" t="n"/>
      <c r="I85" s="360">
        <f>SUM(G85:H85)</f>
        <v/>
      </c>
      <c r="K85" s="360" t="n">
        <v>1</v>
      </c>
      <c r="L85" s="360" t="inlineStr">
        <is>
          <t>-</t>
        </is>
      </c>
      <c r="M85" s="360" t="n">
        <v>1</v>
      </c>
      <c r="N85" s="360" t="n">
        <v>0</v>
      </c>
      <c r="O85" s="360">
        <f>SUM(M85:N85)</f>
        <v/>
      </c>
      <c r="Q85" s="360" t="n"/>
      <c r="R85" s="360" t="n"/>
      <c r="S85" s="360" t="n"/>
      <c r="T85" s="360" t="n"/>
      <c r="U85" s="360">
        <f>SUM(S85:T85)</f>
        <v/>
      </c>
      <c r="W85" s="360" t="n"/>
      <c r="X85" s="360" t="n"/>
      <c r="Y85" s="360" t="n"/>
      <c r="Z85" s="360" t="n"/>
      <c r="AA85" s="360" t="n"/>
    </row>
    <row r="86" ht="21" customHeight="1">
      <c r="A86" s="121" t="n">
        <v>8</v>
      </c>
      <c r="B86" s="122" t="inlineStr">
        <is>
          <t>EXPAT'S</t>
        </is>
      </c>
      <c r="C86" s="123" t="inlineStr">
        <is>
          <t>A</t>
        </is>
      </c>
      <c r="D86" s="124" t="inlineStr">
        <is>
          <t>ADMINISTRATORS</t>
        </is>
      </c>
      <c r="E86" s="359" t="n">
        <v>2</v>
      </c>
      <c r="F86" s="359" t="inlineStr">
        <is>
          <t>-</t>
        </is>
      </c>
      <c r="G86" s="360">
        <f>SUM(E86:F86)</f>
        <v/>
      </c>
      <c r="H86" s="359" t="n">
        <v>2</v>
      </c>
      <c r="I86" s="360">
        <f>SUM(G86:H86)</f>
        <v/>
      </c>
      <c r="K86" s="360" t="n">
        <v>2</v>
      </c>
      <c r="L86" s="360" t="inlineStr">
        <is>
          <t>-</t>
        </is>
      </c>
      <c r="M86" s="360" t="n">
        <v>2</v>
      </c>
      <c r="N86" s="360" t="n">
        <v>0</v>
      </c>
      <c r="O86" s="360">
        <f>SUM(M86:N86)</f>
        <v/>
      </c>
      <c r="Q86" s="360" t="n"/>
      <c r="R86" s="360" t="n"/>
      <c r="S86" s="360" t="n"/>
      <c r="T86" s="360" t="n"/>
      <c r="U86" s="360">
        <f>SUM(S86:T86)</f>
        <v/>
      </c>
      <c r="W86" s="360" t="n">
        <v>1</v>
      </c>
      <c r="X86" s="360" t="n"/>
      <c r="Y86" s="360" t="n">
        <v>1</v>
      </c>
      <c r="Z86" s="360" t="n"/>
      <c r="AA86" s="360" t="n">
        <v>1</v>
      </c>
    </row>
    <row r="87" ht="21" customHeight="1">
      <c r="A87" s="121" t="n">
        <v>9</v>
      </c>
      <c r="B87" s="122" t="inlineStr">
        <is>
          <t>SAUDI'S</t>
        </is>
      </c>
      <c r="C87" s="123" t="inlineStr">
        <is>
          <t>A</t>
        </is>
      </c>
      <c r="D87" s="124" t="inlineStr">
        <is>
          <t xml:space="preserve">IMAM FOR MOSQUE </t>
        </is>
      </c>
      <c r="E87" s="359" t="n">
        <v>1</v>
      </c>
      <c r="F87" s="359" t="n">
        <v>1</v>
      </c>
      <c r="G87" s="360">
        <f>SUM(E87:F87)</f>
        <v/>
      </c>
      <c r="H87" s="359" t="n"/>
      <c r="I87" s="360">
        <f>SUM(G87:H87)</f>
        <v/>
      </c>
      <c r="K87" s="360" t="n">
        <v>1</v>
      </c>
      <c r="L87" s="360" t="n">
        <v>1</v>
      </c>
      <c r="M87" s="360" t="n">
        <v>2</v>
      </c>
      <c r="N87" s="360" t="n">
        <v>0</v>
      </c>
      <c r="O87" s="360">
        <f>SUM(M87:N87)</f>
        <v/>
      </c>
      <c r="Q87" s="360" t="n"/>
      <c r="R87" s="360" t="n"/>
      <c r="S87" s="360" t="n"/>
      <c r="T87" s="360" t="n"/>
      <c r="U87" s="360">
        <f>SUM(S87:T87)</f>
        <v/>
      </c>
      <c r="W87" s="360" t="n"/>
      <c r="X87" s="360" t="n"/>
      <c r="Y87" s="360" t="n"/>
      <c r="Z87" s="360" t="n"/>
      <c r="AA87" s="360" t="n"/>
    </row>
    <row r="88" ht="21" customHeight="1">
      <c r="A88" s="121" t="n">
        <v>10</v>
      </c>
      <c r="B88" s="122" t="inlineStr">
        <is>
          <t>EXPAT'S</t>
        </is>
      </c>
      <c r="C88" s="123" t="inlineStr">
        <is>
          <t>C</t>
        </is>
      </c>
      <c r="D88" s="124" t="inlineStr">
        <is>
          <t>WARE HOUSE INCHARGE</t>
        </is>
      </c>
      <c r="E88" s="359" t="n">
        <v>1</v>
      </c>
      <c r="F88" s="359" t="inlineStr">
        <is>
          <t>-</t>
        </is>
      </c>
      <c r="G88" s="360">
        <f>SUM(E88:F88)</f>
        <v/>
      </c>
      <c r="H88" s="359" t="n"/>
      <c r="I88" s="360">
        <f>SUM(G88:H88)</f>
        <v/>
      </c>
      <c r="K88" s="360" t="n">
        <v>1</v>
      </c>
      <c r="L88" s="360" t="inlineStr">
        <is>
          <t>-</t>
        </is>
      </c>
      <c r="M88" s="360" t="n">
        <v>1</v>
      </c>
      <c r="N88" s="360" t="n">
        <v>0</v>
      </c>
      <c r="O88" s="360">
        <f>SUM(M88:N88)</f>
        <v/>
      </c>
      <c r="Q88" s="360" t="n">
        <v>1</v>
      </c>
      <c r="R88" s="360" t="n">
        <v>0</v>
      </c>
      <c r="S88" s="360" t="n">
        <v>1</v>
      </c>
      <c r="T88" s="360" t="n">
        <v>0</v>
      </c>
      <c r="U88" s="360">
        <f>SUM(S88:T88)</f>
        <v/>
      </c>
      <c r="W88" s="360" t="n"/>
      <c r="X88" s="360" t="n"/>
      <c r="Y88" s="360" t="n"/>
      <c r="Z88" s="360" t="n"/>
      <c r="AA88" s="360" t="n"/>
    </row>
    <row r="89" ht="21" customHeight="1">
      <c r="A89" s="121" t="n">
        <v>11</v>
      </c>
      <c r="B89" s="122" t="inlineStr">
        <is>
          <t>EXPAT'S</t>
        </is>
      </c>
      <c r="C89" s="123" t="inlineStr">
        <is>
          <t>C</t>
        </is>
      </c>
      <c r="D89" s="124" t="inlineStr">
        <is>
          <t>CAFM/HELP DESK OPERATOR</t>
        </is>
      </c>
      <c r="E89" s="359" t="n">
        <v>3</v>
      </c>
      <c r="F89" s="359" t="inlineStr">
        <is>
          <t>-</t>
        </is>
      </c>
      <c r="G89" s="360" t="n">
        <v>3</v>
      </c>
      <c r="H89" s="359" t="n">
        <v>4</v>
      </c>
      <c r="I89" s="360">
        <f>SUM(G89:H89)</f>
        <v/>
      </c>
      <c r="K89" s="360" t="n">
        <v>3</v>
      </c>
      <c r="L89" s="360" t="inlineStr">
        <is>
          <t>-</t>
        </is>
      </c>
      <c r="M89" s="360" t="n">
        <v>3</v>
      </c>
      <c r="N89" s="360" t="n">
        <v>1</v>
      </c>
      <c r="O89" s="360">
        <f>SUM(M89:N89)</f>
        <v/>
      </c>
      <c r="Q89" s="360" t="n">
        <v>1</v>
      </c>
      <c r="R89" s="360" t="n">
        <v>0</v>
      </c>
      <c r="S89" s="360" t="n">
        <v>1</v>
      </c>
      <c r="T89" s="360" t="n">
        <v>0</v>
      </c>
      <c r="U89" s="360">
        <f>SUM(S89:T89)</f>
        <v/>
      </c>
      <c r="W89" s="360" t="n"/>
      <c r="X89" s="360" t="n"/>
      <c r="Y89" s="360" t="n"/>
      <c r="Z89" s="360" t="n"/>
      <c r="AA89" s="360" t="n"/>
    </row>
    <row r="90" ht="21" customHeight="1">
      <c r="A90" s="121" t="n">
        <v>12</v>
      </c>
      <c r="B90" s="122" t="inlineStr">
        <is>
          <t>EXPAT'S</t>
        </is>
      </c>
      <c r="C90" s="123" t="inlineStr">
        <is>
          <t>B</t>
        </is>
      </c>
      <c r="D90" s="124" t="inlineStr">
        <is>
          <t>ACCOMODATION INCHARGE</t>
        </is>
      </c>
      <c r="E90" s="359" t="n">
        <v>1</v>
      </c>
      <c r="F90" s="359" t="inlineStr">
        <is>
          <t>-</t>
        </is>
      </c>
      <c r="G90" s="360">
        <f>SUM(E90:F90)</f>
        <v/>
      </c>
      <c r="H90" s="359" t="n"/>
      <c r="I90" s="360">
        <f>SUM(G90:H90)</f>
        <v/>
      </c>
      <c r="K90" s="360" t="n">
        <v>1</v>
      </c>
      <c r="L90" s="360" t="inlineStr">
        <is>
          <t>-</t>
        </is>
      </c>
      <c r="M90" s="360" t="n">
        <v>1</v>
      </c>
      <c r="N90" s="360" t="n">
        <v>0</v>
      </c>
      <c r="O90" s="360">
        <f>SUM(M90:N90)</f>
        <v/>
      </c>
      <c r="Q90" s="360" t="n"/>
      <c r="R90" s="360" t="n"/>
      <c r="S90" s="360" t="n"/>
      <c r="T90" s="360" t="n"/>
      <c r="U90" s="360">
        <f>SUM(S90:T90)</f>
        <v/>
      </c>
      <c r="W90" s="360" t="n"/>
      <c r="X90" s="360" t="n"/>
      <c r="Y90" s="360" t="n"/>
      <c r="Z90" s="360" t="n"/>
      <c r="AA90" s="360" t="n"/>
    </row>
    <row r="91" ht="21" customHeight="1">
      <c r="A91" s="121" t="n">
        <v>13</v>
      </c>
      <c r="B91" s="122" t="inlineStr">
        <is>
          <t>EXPAT'S</t>
        </is>
      </c>
      <c r="C91" s="123" t="inlineStr">
        <is>
          <t>B</t>
        </is>
      </c>
      <c r="D91" s="124" t="inlineStr">
        <is>
          <t xml:space="preserve">ID ISSUING INCHARGE </t>
        </is>
      </c>
      <c r="E91" s="359" t="n">
        <v>2</v>
      </c>
      <c r="F91" s="359" t="inlineStr">
        <is>
          <t>-</t>
        </is>
      </c>
      <c r="G91" s="360">
        <f>SUM(E91:F91)</f>
        <v/>
      </c>
      <c r="H91" s="359" t="n"/>
      <c r="I91" s="360">
        <f>SUM(G91:H91)</f>
        <v/>
      </c>
      <c r="K91" s="360" t="n">
        <v>2</v>
      </c>
      <c r="L91" s="360" t="inlineStr">
        <is>
          <t>-</t>
        </is>
      </c>
      <c r="M91" s="360" t="n">
        <v>0</v>
      </c>
      <c r="N91" s="360" t="n">
        <v>1</v>
      </c>
      <c r="O91" s="360">
        <f>SUM(M91:N91)</f>
        <v/>
      </c>
      <c r="Q91" s="360" t="n"/>
      <c r="R91" s="360" t="n"/>
      <c r="S91" s="360" t="n"/>
      <c r="T91" s="360" t="n"/>
      <c r="U91" s="360">
        <f>SUM(S91:T91)</f>
        <v/>
      </c>
      <c r="W91" s="360" t="n"/>
      <c r="X91" s="360" t="n"/>
      <c r="Y91" s="360" t="n"/>
      <c r="Z91" s="360" t="n"/>
      <c r="AA91" s="360" t="n"/>
    </row>
    <row r="92" ht="21" customHeight="1">
      <c r="A92" s="121" t="n">
        <v>14</v>
      </c>
      <c r="B92" s="122" t="inlineStr">
        <is>
          <t>EXPAT'S</t>
        </is>
      </c>
      <c r="C92" s="123" t="inlineStr">
        <is>
          <t>B</t>
        </is>
      </c>
      <c r="D92" s="124" t="inlineStr">
        <is>
          <t xml:space="preserve">ACCOMODATION ADMIN </t>
        </is>
      </c>
      <c r="E92" s="359" t="n">
        <v>4</v>
      </c>
      <c r="F92" s="359" t="inlineStr">
        <is>
          <t>-</t>
        </is>
      </c>
      <c r="G92" s="360" t="n">
        <v>3</v>
      </c>
      <c r="H92" s="359" t="n"/>
      <c r="I92" s="360">
        <f>SUM(G92:H92)</f>
        <v/>
      </c>
      <c r="K92" s="360" t="n">
        <v>4</v>
      </c>
      <c r="L92" s="360" t="inlineStr">
        <is>
          <t>-</t>
        </is>
      </c>
      <c r="M92" s="360" t="n">
        <v>4</v>
      </c>
      <c r="N92" s="360" t="n">
        <v>0</v>
      </c>
      <c r="O92" s="360">
        <f>SUM(M92:N92)</f>
        <v/>
      </c>
      <c r="Q92" s="360" t="n">
        <v>1</v>
      </c>
      <c r="R92" s="360" t="n"/>
      <c r="S92" s="360" t="n">
        <v>0</v>
      </c>
      <c r="T92" s="360" t="n">
        <v>0</v>
      </c>
      <c r="U92" s="360">
        <f>SUM(S92:T92)</f>
        <v/>
      </c>
      <c r="W92" s="360" t="n"/>
      <c r="X92" s="360" t="n"/>
      <c r="Y92" s="360" t="n"/>
      <c r="Z92" s="360" t="n"/>
      <c r="AA92" s="360" t="n"/>
    </row>
    <row r="93" ht="21" customHeight="1">
      <c r="A93" s="121" t="n">
        <v>15</v>
      </c>
      <c r="B93" s="122" t="inlineStr">
        <is>
          <t>EXPAT'S</t>
        </is>
      </c>
      <c r="C93" s="123" t="inlineStr">
        <is>
          <t>C</t>
        </is>
      </c>
      <c r="D93" s="124" t="inlineStr">
        <is>
          <t xml:space="preserve">KEY CUSTODIAN </t>
        </is>
      </c>
      <c r="E93" s="359" t="n">
        <v>2</v>
      </c>
      <c r="F93" s="359" t="inlineStr">
        <is>
          <t>-</t>
        </is>
      </c>
      <c r="G93" s="360">
        <f>SUM(E93:F93)</f>
        <v/>
      </c>
      <c r="H93" s="359" t="n"/>
      <c r="I93" s="360">
        <f>SUM(G93:H93)</f>
        <v/>
      </c>
      <c r="K93" s="360" t="n">
        <v>2</v>
      </c>
      <c r="L93" s="360" t="inlineStr">
        <is>
          <t>-</t>
        </is>
      </c>
      <c r="M93" s="360" t="n">
        <v>1</v>
      </c>
      <c r="N93" s="360" t="n">
        <v>0</v>
      </c>
      <c r="O93" s="360">
        <f>SUM(M93:N93)</f>
        <v/>
      </c>
      <c r="Q93" s="360" t="n"/>
      <c r="R93" s="360" t="n"/>
      <c r="S93" s="360" t="n"/>
      <c r="T93" s="360" t="n">
        <v>1</v>
      </c>
      <c r="U93" s="360">
        <f>SUM(S93:T93)</f>
        <v/>
      </c>
      <c r="W93" s="360" t="n"/>
      <c r="X93" s="360" t="n"/>
      <c r="Y93" s="360" t="n"/>
      <c r="Z93" s="360" t="n"/>
      <c r="AA93" s="360" t="n"/>
    </row>
    <row r="94" ht="21" customHeight="1">
      <c r="A94" s="121" t="n">
        <v>16</v>
      </c>
      <c r="B94" s="122" t="inlineStr">
        <is>
          <t>EXPAT'S</t>
        </is>
      </c>
      <c r="C94" s="123" t="inlineStr">
        <is>
          <t>C</t>
        </is>
      </c>
      <c r="D94" s="124" t="inlineStr">
        <is>
          <t>DOCUMENT CONTROLLER</t>
        </is>
      </c>
      <c r="E94" s="359" t="n">
        <v>2</v>
      </c>
      <c r="F94" s="359" t="inlineStr">
        <is>
          <t>-</t>
        </is>
      </c>
      <c r="G94" s="360" t="n">
        <v>2</v>
      </c>
      <c r="H94" s="359" t="n"/>
      <c r="I94" s="360">
        <f>SUM(G94:H94)</f>
        <v/>
      </c>
      <c r="K94" s="360" t="n">
        <v>2</v>
      </c>
      <c r="L94" s="360" t="inlineStr">
        <is>
          <t>-</t>
        </is>
      </c>
      <c r="M94" s="360" t="n">
        <v>2</v>
      </c>
      <c r="N94" s="360" t="n">
        <v>0</v>
      </c>
      <c r="O94" s="360">
        <f>SUM(M94:N94)</f>
        <v/>
      </c>
      <c r="Q94" s="360" t="n">
        <v>1</v>
      </c>
      <c r="R94" s="360" t="n">
        <v>0</v>
      </c>
      <c r="S94" s="360" t="n">
        <v>1</v>
      </c>
      <c r="T94" s="360" t="n">
        <v>0</v>
      </c>
      <c r="U94" s="360">
        <f>SUM(S94:T94)</f>
        <v/>
      </c>
      <c r="W94" s="360" t="n"/>
      <c r="X94" s="360" t="n"/>
      <c r="Y94" s="360" t="n"/>
      <c r="Z94" s="360" t="n"/>
      <c r="AA94" s="360" t="n"/>
    </row>
    <row r="95" ht="21" customHeight="1">
      <c r="A95" s="121" t="n">
        <v>17</v>
      </c>
      <c r="B95" s="122" t="inlineStr">
        <is>
          <t>EXPAT'S</t>
        </is>
      </c>
      <c r="C95" s="123" t="inlineStr">
        <is>
          <t>B</t>
        </is>
      </c>
      <c r="D95" s="124" t="inlineStr">
        <is>
          <t>PROCUREMENT OFFICER</t>
        </is>
      </c>
      <c r="E95" s="359" t="n">
        <v>1</v>
      </c>
      <c r="F95" s="359" t="inlineStr">
        <is>
          <t>-</t>
        </is>
      </c>
      <c r="G95" s="360">
        <f>SUM(E95:F95)</f>
        <v/>
      </c>
      <c r="H95" s="359" t="n"/>
      <c r="I95" s="360">
        <f>SUM(G95:H95)</f>
        <v/>
      </c>
      <c r="K95" s="360" t="n">
        <v>1</v>
      </c>
      <c r="L95" s="360" t="inlineStr">
        <is>
          <t>-</t>
        </is>
      </c>
      <c r="M95" s="360" t="n">
        <v>0</v>
      </c>
      <c r="N95" s="360" t="n">
        <v>0</v>
      </c>
      <c r="O95" s="360">
        <f>SUM(M95:N95)</f>
        <v/>
      </c>
      <c r="Q95" s="360" t="n"/>
      <c r="R95" s="360" t="n"/>
      <c r="S95" s="360" t="n"/>
      <c r="T95" s="360" t="n"/>
      <c r="U95" s="360">
        <f>SUM(S95:T95)</f>
        <v/>
      </c>
      <c r="W95" s="360" t="n"/>
      <c r="X95" s="360" t="n"/>
      <c r="Y95" s="360" t="n"/>
      <c r="Z95" s="360" t="n"/>
      <c r="AA95" s="360" t="n"/>
    </row>
    <row r="96" ht="21" customHeight="1">
      <c r="A96" s="121" t="n">
        <v>18</v>
      </c>
      <c r="B96" s="122" t="inlineStr">
        <is>
          <t>EXPAT'S</t>
        </is>
      </c>
      <c r="C96" s="280" t="inlineStr">
        <is>
          <t>C</t>
        </is>
      </c>
      <c r="D96" s="124" t="inlineStr">
        <is>
          <t>DRIVER</t>
        </is>
      </c>
      <c r="E96" s="359" t="n">
        <v>0</v>
      </c>
      <c r="F96" s="359" t="inlineStr">
        <is>
          <t>-</t>
        </is>
      </c>
      <c r="G96" s="360" t="n"/>
      <c r="H96" s="359" t="n">
        <v>14</v>
      </c>
      <c r="I96" s="360">
        <f>SUM(G96:H96)</f>
        <v/>
      </c>
      <c r="K96" s="360" t="n">
        <v>0</v>
      </c>
      <c r="L96" s="360" t="inlineStr">
        <is>
          <t>-</t>
        </is>
      </c>
      <c r="M96" s="360" t="n">
        <v>0</v>
      </c>
      <c r="N96" s="360" t="n">
        <v>6</v>
      </c>
      <c r="O96" s="360">
        <f>SUM(M96:N96)</f>
        <v/>
      </c>
      <c r="Q96" s="360" t="n"/>
      <c r="R96" s="360" t="n"/>
      <c r="S96" s="360" t="n"/>
      <c r="T96" s="360" t="n"/>
      <c r="U96" s="360">
        <f>SUM(S96:T96)</f>
        <v/>
      </c>
      <c r="W96" s="360" t="n">
        <v>1</v>
      </c>
      <c r="X96" s="360" t="n"/>
      <c r="Y96" s="360" t="n">
        <v>0</v>
      </c>
      <c r="Z96" s="360" t="n">
        <v>0</v>
      </c>
      <c r="AA96" s="360" t="n">
        <v>1</v>
      </c>
    </row>
    <row r="97" ht="21" customHeight="1">
      <c r="A97" s="121" t="n">
        <v>19</v>
      </c>
      <c r="B97" s="122" t="inlineStr">
        <is>
          <t>EXPAT'S</t>
        </is>
      </c>
      <c r="C97" s="123" t="inlineStr">
        <is>
          <t>B</t>
        </is>
      </c>
      <c r="D97" s="124" t="inlineStr">
        <is>
          <t>PURCHASER</t>
        </is>
      </c>
      <c r="E97" s="359" t="n"/>
      <c r="F97" s="359" t="n"/>
      <c r="G97" s="360" t="n"/>
      <c r="H97" s="359" t="n">
        <v>1</v>
      </c>
      <c r="I97" s="360">
        <f>SUM(G97:H97)</f>
        <v/>
      </c>
      <c r="K97" s="360" t="n"/>
      <c r="L97" s="360" t="n"/>
      <c r="M97" s="360" t="n"/>
      <c r="N97" s="360" t="n">
        <v>0</v>
      </c>
      <c r="O97" s="360">
        <f>SUM(M97:N97)</f>
        <v/>
      </c>
      <c r="Q97" s="360" t="n"/>
      <c r="R97" s="360" t="n"/>
      <c r="S97" s="360" t="n"/>
      <c r="T97" s="360" t="n"/>
      <c r="U97" s="360">
        <f>SUM(S97:T97)</f>
        <v/>
      </c>
      <c r="W97" s="360" t="n"/>
      <c r="X97" s="360" t="n"/>
      <c r="Y97" s="360" t="n"/>
      <c r="Z97" s="360" t="n"/>
      <c r="AA97" s="360" t="n"/>
    </row>
    <row r="98" ht="21" customHeight="1">
      <c r="A98" s="121" t="n">
        <v>20</v>
      </c>
      <c r="B98" s="122" t="inlineStr">
        <is>
          <t>EXPAT'S</t>
        </is>
      </c>
      <c r="C98" s="123" t="inlineStr">
        <is>
          <t>B</t>
        </is>
      </c>
      <c r="D98" s="124" t="inlineStr">
        <is>
          <t>IVF COORDINATOR</t>
        </is>
      </c>
      <c r="E98" s="359" t="n"/>
      <c r="F98" s="359" t="n"/>
      <c r="G98" s="360" t="n"/>
      <c r="H98" s="359" t="n">
        <v>1</v>
      </c>
      <c r="I98" s="360">
        <f>SUM(G98:H98)</f>
        <v/>
      </c>
      <c r="K98" s="360" t="n"/>
      <c r="L98" s="360" t="n"/>
      <c r="M98" s="360" t="n"/>
      <c r="N98" s="360" t="n">
        <v>0</v>
      </c>
      <c r="O98" s="360">
        <f>SUM(M98:N98)</f>
        <v/>
      </c>
      <c r="Q98" s="360" t="n"/>
      <c r="R98" s="360" t="n"/>
      <c r="S98" s="360" t="n"/>
      <c r="T98" s="360" t="n"/>
      <c r="U98" s="360">
        <f>SUM(S98:T98)</f>
        <v/>
      </c>
      <c r="W98" s="360" t="n"/>
      <c r="X98" s="360" t="n"/>
      <c r="Y98" s="360" t="n"/>
      <c r="Z98" s="360" t="n"/>
      <c r="AA98" s="360" t="n"/>
    </row>
    <row r="99" ht="21" customHeight="1">
      <c r="A99" s="121" t="n">
        <v>21</v>
      </c>
      <c r="B99" s="122" t="inlineStr">
        <is>
          <t>EXPAT'S</t>
        </is>
      </c>
      <c r="C99" s="123" t="inlineStr">
        <is>
          <t>B</t>
        </is>
      </c>
      <c r="D99" s="124" t="inlineStr">
        <is>
          <t>FLEET AND HOUSING COORDINATOR</t>
        </is>
      </c>
      <c r="E99" s="359" t="n">
        <v>0</v>
      </c>
      <c r="F99" s="359" t="inlineStr">
        <is>
          <t>-</t>
        </is>
      </c>
      <c r="G99" s="360" t="n"/>
      <c r="H99" s="359" t="n">
        <v>1</v>
      </c>
      <c r="I99" s="360">
        <f>SUM(G99:H99)</f>
        <v/>
      </c>
      <c r="K99" s="360" t="n">
        <v>0</v>
      </c>
      <c r="L99" s="360" t="inlineStr">
        <is>
          <t>-</t>
        </is>
      </c>
      <c r="M99" s="360" t="n">
        <v>0</v>
      </c>
      <c r="N99" s="360" t="n">
        <v>0</v>
      </c>
      <c r="O99" s="360">
        <f>SUM(M99:N99)</f>
        <v/>
      </c>
      <c r="Q99" s="360" t="n"/>
      <c r="R99" s="360" t="n"/>
      <c r="S99" s="360" t="n"/>
      <c r="T99" s="360" t="n"/>
      <c r="U99" s="360">
        <f>SUM(S99:T99)</f>
        <v/>
      </c>
      <c r="W99" s="360" t="n"/>
      <c r="X99" s="360" t="n"/>
      <c r="Y99" s="360" t="n">
        <v>0</v>
      </c>
      <c r="Z99" s="360" t="n">
        <v>0</v>
      </c>
      <c r="AA99" s="360" t="n">
        <v>0</v>
      </c>
    </row>
    <row r="100" ht="18.75" customFormat="1" customHeight="1" s="120">
      <c r="A100" s="352" t="inlineStr">
        <is>
          <t>GOVERNMENT LIAISON SERVICES</t>
        </is>
      </c>
      <c r="B100" s="353" t="n"/>
      <c r="C100" s="354" t="n"/>
      <c r="D100" s="354" t="n"/>
      <c r="E100" s="355">
        <f>+SUM(E101)</f>
        <v/>
      </c>
      <c r="F100" s="355">
        <f>+SUM(F101)</f>
        <v/>
      </c>
      <c r="G100" s="356">
        <f>+SUM(G101)</f>
        <v/>
      </c>
      <c r="H100" s="355" t="n"/>
      <c r="I100" s="356">
        <f>+SUM(I101)</f>
        <v/>
      </c>
      <c r="K100" s="358">
        <f>SUM(K101)</f>
        <v/>
      </c>
      <c r="L100" s="358">
        <f>SUM(L101)</f>
        <v/>
      </c>
      <c r="M100" s="358">
        <f>SUM(M101)</f>
        <v/>
      </c>
      <c r="N100" s="358">
        <f>SUM(N101)</f>
        <v/>
      </c>
      <c r="O100" s="358">
        <f>SUM(M100:N100)</f>
        <v/>
      </c>
      <c r="Q100" s="358">
        <f>SUM(Q101)</f>
        <v/>
      </c>
      <c r="R100" s="358">
        <f>SUM(R101)</f>
        <v/>
      </c>
      <c r="S100" s="358">
        <f>SUM(S101)</f>
        <v/>
      </c>
      <c r="T100" s="358">
        <f>SUM(T101)</f>
        <v/>
      </c>
      <c r="U100" s="358">
        <f>SUM(S100:T100)</f>
        <v/>
      </c>
      <c r="W100" s="358" t="n"/>
      <c r="X100" s="358" t="n"/>
      <c r="Y100" s="358" t="n"/>
      <c r="Z100" s="358" t="n"/>
      <c r="AA100" s="358" t="n"/>
    </row>
    <row r="101" ht="21" customHeight="1">
      <c r="A101" s="121" t="n">
        <v>1</v>
      </c>
      <c r="B101" s="122" t="inlineStr">
        <is>
          <t>SAUDI'S</t>
        </is>
      </c>
      <c r="C101" s="123" t="inlineStr">
        <is>
          <t>B</t>
        </is>
      </c>
      <c r="D101" s="124" t="inlineStr">
        <is>
          <t>RELATIONSHIP OFFICER</t>
        </is>
      </c>
      <c r="E101" s="359" t="inlineStr">
        <is>
          <t>-</t>
        </is>
      </c>
      <c r="F101" s="359" t="n">
        <v>1</v>
      </c>
      <c r="G101" s="360">
        <f>SUM(E101:F101)</f>
        <v/>
      </c>
      <c r="H101" s="359" t="n"/>
      <c r="I101" s="360">
        <f>SUM(G101:H101)</f>
        <v/>
      </c>
      <c r="K101" s="360" t="inlineStr">
        <is>
          <t>-</t>
        </is>
      </c>
      <c r="L101" s="360" t="n">
        <v>1</v>
      </c>
      <c r="M101" s="360" t="n">
        <v>0</v>
      </c>
      <c r="N101" s="360" t="n">
        <v>0</v>
      </c>
      <c r="O101" s="360">
        <f>SUM(M101:N101)</f>
        <v/>
      </c>
      <c r="Q101" s="360" t="n"/>
      <c r="R101" s="360" t="n"/>
      <c r="S101" s="360" t="n"/>
      <c r="T101" s="360" t="n"/>
      <c r="U101" s="360">
        <f>SUM(S101:T101)</f>
        <v/>
      </c>
      <c r="W101" s="360" t="n"/>
      <c r="X101" s="360" t="n"/>
      <c r="Y101" s="360" t="n"/>
      <c r="Z101" s="360" t="n"/>
      <c r="AA101" s="360" t="n"/>
    </row>
    <row r="102" ht="18.75" customFormat="1" customHeight="1" s="120">
      <c r="A102" s="352" t="inlineStr">
        <is>
          <t>HOUSEKEEPING &amp; JANITORIAL SERVICES</t>
        </is>
      </c>
      <c r="B102" s="353" t="n"/>
      <c r="C102" s="354" t="n"/>
      <c r="D102" s="354" t="n"/>
      <c r="E102" s="355">
        <f>+SUM(E103:E112)</f>
        <v/>
      </c>
      <c r="F102" s="355">
        <f>+SUM(F103:F112)</f>
        <v/>
      </c>
      <c r="G102" s="356">
        <f>+SUM(G103:G112)</f>
        <v/>
      </c>
      <c r="H102" s="355">
        <f>SUM(H103:H112)</f>
        <v/>
      </c>
      <c r="I102" s="356">
        <f>+SUM(I103:I112)</f>
        <v/>
      </c>
      <c r="K102" s="358">
        <f>SUM(K103:K112)</f>
        <v/>
      </c>
      <c r="L102" s="358">
        <f>SUM(L103:L112)</f>
        <v/>
      </c>
      <c r="M102" s="358">
        <f>SUM(M103:M112)</f>
        <v/>
      </c>
      <c r="N102" s="358">
        <f>SUM(N103:N112)</f>
        <v/>
      </c>
      <c r="O102" s="358">
        <f>SUM(M102:N102)</f>
        <v/>
      </c>
      <c r="Q102" s="358">
        <f>SUM(Q103:Q112)</f>
        <v/>
      </c>
      <c r="R102" s="358">
        <f>SUM(R103:R112)</f>
        <v/>
      </c>
      <c r="S102" s="358">
        <f>SUM(S103:S112)</f>
        <v/>
      </c>
      <c r="T102" s="358">
        <f>SUM(T103:T112)</f>
        <v/>
      </c>
      <c r="U102" s="358">
        <f>SUM(S102:T102)</f>
        <v/>
      </c>
      <c r="W102" s="358" t="n">
        <v>10</v>
      </c>
      <c r="X102" s="358" t="n"/>
      <c r="Y102" s="358" t="n">
        <v>5</v>
      </c>
      <c r="Z102" s="358" t="n"/>
      <c r="AA102" s="358" t="n">
        <v>5</v>
      </c>
    </row>
    <row r="103" ht="21" customHeight="1">
      <c r="A103" s="121" t="n">
        <v>1</v>
      </c>
      <c r="B103" s="122" t="inlineStr">
        <is>
          <t>EXPAT'S</t>
        </is>
      </c>
      <c r="C103" s="123" t="inlineStr">
        <is>
          <t>C</t>
        </is>
      </c>
      <c r="D103" s="122" t="inlineStr">
        <is>
          <t>CLEANING SUPERVISOR</t>
        </is>
      </c>
      <c r="E103" s="359" t="n">
        <v>12</v>
      </c>
      <c r="F103" s="359" t="inlineStr">
        <is>
          <t>-</t>
        </is>
      </c>
      <c r="G103" s="360" t="n">
        <v>10</v>
      </c>
      <c r="H103" s="359" t="n"/>
      <c r="I103" s="360">
        <f>SUM(G103:H103)</f>
        <v/>
      </c>
      <c r="K103" s="360" t="n">
        <v>12</v>
      </c>
      <c r="L103" s="360" t="inlineStr">
        <is>
          <t>-</t>
        </is>
      </c>
      <c r="M103" s="360" t="n">
        <v>12</v>
      </c>
      <c r="N103" s="360" t="n">
        <v>0</v>
      </c>
      <c r="O103" s="360">
        <f>SUM(M103:N103)</f>
        <v/>
      </c>
      <c r="Q103" s="360" t="n">
        <v>2</v>
      </c>
      <c r="R103" s="360" t="n"/>
      <c r="S103" s="360" t="n">
        <v>2</v>
      </c>
      <c r="T103" s="360" t="n">
        <v>1</v>
      </c>
      <c r="U103" s="360">
        <f>SUM(S103:T103)</f>
        <v/>
      </c>
      <c r="W103" s="360" t="n">
        <v>2</v>
      </c>
      <c r="X103" s="360" t="n"/>
      <c r="Y103" s="360" t="n">
        <v>2</v>
      </c>
      <c r="Z103" s="360" t="n"/>
      <c r="AA103" s="360" t="n">
        <v>2</v>
      </c>
    </row>
    <row r="104" ht="21" customHeight="1">
      <c r="A104" s="121" t="n">
        <v>2</v>
      </c>
      <c r="B104" s="122" t="inlineStr">
        <is>
          <t>EXPAT'S</t>
        </is>
      </c>
      <c r="C104" s="123" t="inlineStr">
        <is>
          <t>C</t>
        </is>
      </c>
      <c r="D104" s="122" t="inlineStr">
        <is>
          <t xml:space="preserve">HOUSEKEEPRS -MALE </t>
        </is>
      </c>
      <c r="E104" s="359" t="n">
        <v>92</v>
      </c>
      <c r="F104" s="359" t="inlineStr">
        <is>
          <t>-</t>
        </is>
      </c>
      <c r="G104" s="360" t="n">
        <v>92</v>
      </c>
      <c r="H104" s="359" t="n">
        <v>1</v>
      </c>
      <c r="I104" s="360">
        <f>SUM(G104:H104)</f>
        <v/>
      </c>
      <c r="K104" s="360" t="n">
        <v>92</v>
      </c>
      <c r="L104" s="360" t="inlineStr">
        <is>
          <t>-</t>
        </is>
      </c>
      <c r="M104" s="360" t="n">
        <v>90</v>
      </c>
      <c r="N104" s="360" t="n">
        <v>0</v>
      </c>
      <c r="O104" s="360">
        <f>SUM(M104:N104)</f>
        <v/>
      </c>
      <c r="Q104" s="360" t="n">
        <v>9</v>
      </c>
      <c r="R104" s="360" t="n"/>
      <c r="S104" s="360" t="n">
        <v>9</v>
      </c>
      <c r="T104" s="360" t="n">
        <v>1</v>
      </c>
      <c r="U104" s="360">
        <f>SUM(S104:T104)</f>
        <v/>
      </c>
      <c r="W104" s="360" t="n"/>
      <c r="X104" s="360" t="n"/>
      <c r="Y104" s="360" t="n"/>
      <c r="Z104" s="360" t="n"/>
      <c r="AA104" s="360" t="n">
        <v>0</v>
      </c>
    </row>
    <row r="105" ht="21" customHeight="1">
      <c r="A105" s="121" t="n">
        <v>3</v>
      </c>
      <c r="B105" s="122" t="inlineStr">
        <is>
          <t>EXPAT'S</t>
        </is>
      </c>
      <c r="C105" s="123" t="inlineStr">
        <is>
          <t>C</t>
        </is>
      </c>
      <c r="D105" s="122" t="inlineStr">
        <is>
          <t xml:space="preserve">CLEANERS-MALE </t>
        </is>
      </c>
      <c r="E105" s="359" t="n">
        <v>16</v>
      </c>
      <c r="F105" s="359" t="inlineStr">
        <is>
          <t>-</t>
        </is>
      </c>
      <c r="G105" s="360" t="n">
        <v>16</v>
      </c>
      <c r="H105" s="359" t="n">
        <v>18</v>
      </c>
      <c r="I105" s="360">
        <f>SUM(G105:H105)</f>
        <v/>
      </c>
      <c r="K105" s="360" t="n">
        <v>16</v>
      </c>
      <c r="L105" s="360" t="inlineStr">
        <is>
          <t>-</t>
        </is>
      </c>
      <c r="M105" s="360" t="n">
        <v>16</v>
      </c>
      <c r="N105" s="360" t="n">
        <v>11</v>
      </c>
      <c r="O105" s="360">
        <f>SUM(M105:N105)</f>
        <v/>
      </c>
      <c r="Q105" s="360" t="n">
        <v>3</v>
      </c>
      <c r="R105" s="360" t="n"/>
      <c r="S105" s="360" t="n">
        <v>3</v>
      </c>
      <c r="T105" s="360" t="n">
        <v>4</v>
      </c>
      <c r="U105" s="360">
        <f>SUM(S105:T105)</f>
        <v/>
      </c>
      <c r="W105" s="360" t="n">
        <v>4</v>
      </c>
      <c r="X105" s="360" t="n"/>
      <c r="Y105" s="360" t="n">
        <v>3</v>
      </c>
      <c r="Z105" s="360" t="n"/>
      <c r="AA105" s="360" t="n">
        <v>3</v>
      </c>
    </row>
    <row r="106" ht="21" customHeight="1">
      <c r="A106" s="121" t="n">
        <v>4</v>
      </c>
      <c r="B106" s="122" t="inlineStr">
        <is>
          <t>EXPAT'S</t>
        </is>
      </c>
      <c r="C106" s="123" t="inlineStr">
        <is>
          <t>C</t>
        </is>
      </c>
      <c r="D106" s="122" t="inlineStr">
        <is>
          <t xml:space="preserve">CLEANERS-FEMALE </t>
        </is>
      </c>
      <c r="E106" s="359" t="n">
        <v>0</v>
      </c>
      <c r="F106" s="359" t="inlineStr">
        <is>
          <t>-</t>
        </is>
      </c>
      <c r="G106" s="360" t="n"/>
      <c r="H106" s="359" t="n">
        <v>2</v>
      </c>
      <c r="I106" s="360">
        <f>SUM(G106:H106)</f>
        <v/>
      </c>
      <c r="K106" s="360" t="n">
        <v>0</v>
      </c>
      <c r="L106" s="360" t="inlineStr">
        <is>
          <t>-</t>
        </is>
      </c>
      <c r="M106" s="360" t="n">
        <v>0</v>
      </c>
      <c r="N106" s="360" t="n">
        <v>0</v>
      </c>
      <c r="O106" s="360">
        <f>SUM(M106:N106)</f>
        <v/>
      </c>
      <c r="Q106" s="360" t="n">
        <v>0</v>
      </c>
      <c r="R106" s="360" t="n"/>
      <c r="S106" s="360" t="n">
        <v>0</v>
      </c>
      <c r="T106" s="360" t="n"/>
      <c r="U106" s="360">
        <f>SUM(S106:T106)</f>
        <v/>
      </c>
      <c r="W106" s="360" t="n">
        <v>4</v>
      </c>
      <c r="X106" s="360" t="n"/>
      <c r="Y106" s="360" t="n">
        <v>2</v>
      </c>
      <c r="Z106" s="360" t="n"/>
      <c r="AA106" s="360" t="n">
        <v>2</v>
      </c>
    </row>
    <row r="107" ht="21" customHeight="1">
      <c r="A107" s="121" t="n">
        <v>5</v>
      </c>
      <c r="B107" s="122" t="inlineStr">
        <is>
          <t>EXPAT'S</t>
        </is>
      </c>
      <c r="C107" s="123" t="inlineStr">
        <is>
          <t>C</t>
        </is>
      </c>
      <c r="D107" s="122" t="inlineStr">
        <is>
          <t>TEA BOY FM OPERATION OFFICE</t>
        </is>
      </c>
      <c r="E107" s="359" t="n">
        <v>2</v>
      </c>
      <c r="F107" s="359" t="inlineStr">
        <is>
          <t>-</t>
        </is>
      </c>
      <c r="G107" s="360">
        <f>SUM(E107:F107)</f>
        <v/>
      </c>
      <c r="H107" s="359" t="n"/>
      <c r="I107" s="360">
        <f>SUM(G107:H107)</f>
        <v/>
      </c>
      <c r="K107" s="360" t="n">
        <v>2</v>
      </c>
      <c r="L107" s="360" t="inlineStr">
        <is>
          <t>-</t>
        </is>
      </c>
      <c r="M107" s="360" t="n">
        <v>1</v>
      </c>
      <c r="N107" s="360" t="n">
        <v>0</v>
      </c>
      <c r="O107" s="360">
        <f>SUM(M107:N107)</f>
        <v/>
      </c>
      <c r="Q107" s="360" t="n"/>
      <c r="R107" s="360" t="n"/>
      <c r="S107" s="360" t="n"/>
      <c r="T107" s="360" t="n"/>
      <c r="U107" s="360">
        <f>SUM(S107:T107)</f>
        <v/>
      </c>
      <c r="W107" s="360" t="n"/>
      <c r="X107" s="360" t="n"/>
      <c r="Y107" s="360" t="n"/>
      <c r="Z107" s="360" t="n"/>
      <c r="AA107" s="360" t="n"/>
    </row>
    <row r="108" ht="21" customHeight="1">
      <c r="A108" s="121" t="n">
        <v>6</v>
      </c>
      <c r="B108" s="122" t="inlineStr">
        <is>
          <t>EXPAT'S</t>
        </is>
      </c>
      <c r="C108" s="123" t="inlineStr">
        <is>
          <t>C</t>
        </is>
      </c>
      <c r="D108" s="122" t="inlineStr">
        <is>
          <t xml:space="preserve">TEAM LEADER MESS HALL </t>
        </is>
      </c>
      <c r="E108" s="359" t="n">
        <v>2</v>
      </c>
      <c r="F108" s="359" t="inlineStr">
        <is>
          <t>-</t>
        </is>
      </c>
      <c r="G108" s="360" t="n">
        <v>0</v>
      </c>
      <c r="H108" s="359" t="n"/>
      <c r="I108" s="360">
        <f>SUM(G108:H108)</f>
        <v/>
      </c>
      <c r="K108" s="360" t="n">
        <v>2</v>
      </c>
      <c r="L108" s="360" t="inlineStr">
        <is>
          <t>-</t>
        </is>
      </c>
      <c r="M108" s="360" t="n">
        <v>0</v>
      </c>
      <c r="N108" s="360" t="n">
        <v>0</v>
      </c>
      <c r="O108" s="360">
        <f>SUM(M108:N108)</f>
        <v/>
      </c>
      <c r="Q108" s="360" t="n"/>
      <c r="R108" s="360" t="n"/>
      <c r="S108" s="360" t="n"/>
      <c r="T108" s="360" t="n"/>
      <c r="U108" s="360">
        <f>SUM(S108:T108)</f>
        <v/>
      </c>
      <c r="W108" s="360" t="n"/>
      <c r="X108" s="360" t="n"/>
      <c r="Y108" s="360" t="n"/>
      <c r="Z108" s="360" t="n"/>
      <c r="AA108" s="360" t="n"/>
    </row>
    <row r="109" ht="21" customHeight="1">
      <c r="A109" s="121" t="n">
        <v>7</v>
      </c>
      <c r="B109" s="122" t="inlineStr">
        <is>
          <t>EXPAT'S</t>
        </is>
      </c>
      <c r="C109" s="123" t="inlineStr">
        <is>
          <t>C</t>
        </is>
      </c>
      <c r="D109" s="122" t="inlineStr">
        <is>
          <t>LITTER PICKER SUPERVISOR</t>
        </is>
      </c>
      <c r="E109" s="359" t="n">
        <v>2</v>
      </c>
      <c r="F109" s="359" t="inlineStr">
        <is>
          <t>-</t>
        </is>
      </c>
      <c r="G109" s="360" t="n">
        <v>0</v>
      </c>
      <c r="H109" s="359" t="n"/>
      <c r="I109" s="360">
        <f>SUM(G109:H109)</f>
        <v/>
      </c>
      <c r="K109" s="360" t="n">
        <v>2</v>
      </c>
      <c r="L109" s="360" t="inlineStr">
        <is>
          <t>-</t>
        </is>
      </c>
      <c r="M109" s="360" t="n">
        <v>0</v>
      </c>
      <c r="N109" s="360" t="n">
        <v>0</v>
      </c>
      <c r="O109" s="360">
        <f>SUM(M109:N109)</f>
        <v/>
      </c>
      <c r="Q109" s="360" t="n"/>
      <c r="R109" s="360" t="n"/>
      <c r="S109" s="360" t="n"/>
      <c r="T109" s="360" t="n"/>
      <c r="U109" s="360">
        <f>SUM(S109:T109)</f>
        <v/>
      </c>
      <c r="W109" s="360" t="n"/>
      <c r="X109" s="360" t="n"/>
      <c r="Y109" s="360" t="n"/>
      <c r="Z109" s="360" t="n"/>
      <c r="AA109" s="360" t="n"/>
    </row>
    <row r="110" ht="21" customHeight="1">
      <c r="A110" s="121" t="n">
        <v>8</v>
      </c>
      <c r="B110" s="122" t="inlineStr">
        <is>
          <t>EXPAT'S</t>
        </is>
      </c>
      <c r="C110" s="123" t="inlineStr">
        <is>
          <t>C</t>
        </is>
      </c>
      <c r="D110" s="122" t="inlineStr">
        <is>
          <t xml:space="preserve">LITTER PICKER </t>
        </is>
      </c>
      <c r="E110" s="359" t="n">
        <v>10</v>
      </c>
      <c r="F110" s="359" t="inlineStr">
        <is>
          <t>-</t>
        </is>
      </c>
      <c r="G110" s="360" t="n">
        <v>10</v>
      </c>
      <c r="H110" s="359" t="n"/>
      <c r="I110" s="360">
        <f>SUM(G110:H110)</f>
        <v/>
      </c>
      <c r="K110" s="360" t="n">
        <v>10</v>
      </c>
      <c r="L110" s="360" t="inlineStr">
        <is>
          <t>-</t>
        </is>
      </c>
      <c r="M110" s="360" t="n">
        <v>10</v>
      </c>
      <c r="N110" s="360" t="n">
        <v>0</v>
      </c>
      <c r="O110" s="360">
        <f>SUM(M110:N110)</f>
        <v/>
      </c>
      <c r="Q110" s="360" t="n">
        <v>2</v>
      </c>
      <c r="R110" s="360" t="n"/>
      <c r="S110" s="360" t="n">
        <v>2</v>
      </c>
      <c r="T110" s="360" t="n"/>
      <c r="U110" s="360">
        <f>SUM(S110:T110)</f>
        <v/>
      </c>
      <c r="W110" s="360" t="n"/>
      <c r="X110" s="360" t="n"/>
      <c r="Y110" s="360" t="n"/>
      <c r="Z110" s="360" t="n"/>
      <c r="AA110" s="360" t="n"/>
    </row>
    <row r="111" ht="21" customHeight="1">
      <c r="A111" s="121" t="n">
        <v>9</v>
      </c>
      <c r="B111" s="122" t="inlineStr">
        <is>
          <t>EXPAT'S</t>
        </is>
      </c>
      <c r="C111" s="123" t="inlineStr">
        <is>
          <t>C</t>
        </is>
      </c>
      <c r="D111" s="122" t="inlineStr">
        <is>
          <t>ROAD SWEEPER DRIVER</t>
        </is>
      </c>
      <c r="E111" s="359" t="n">
        <v>1</v>
      </c>
      <c r="F111" s="359" t="inlineStr">
        <is>
          <t>-</t>
        </is>
      </c>
      <c r="G111" s="360">
        <f>SUM(E111:F111)</f>
        <v/>
      </c>
      <c r="H111" s="359" t="n"/>
      <c r="I111" s="360">
        <f>SUM(G111:H111)</f>
        <v/>
      </c>
      <c r="K111" s="360" t="n">
        <v>1</v>
      </c>
      <c r="L111" s="360" t="inlineStr">
        <is>
          <t>-</t>
        </is>
      </c>
      <c r="M111" s="360" t="n">
        <v>1</v>
      </c>
      <c r="N111" s="360" t="n">
        <v>0</v>
      </c>
      <c r="O111" s="360">
        <f>SUM(M111:N111)</f>
        <v/>
      </c>
      <c r="Q111" s="360" t="n"/>
      <c r="R111" s="360" t="n"/>
      <c r="S111" s="360" t="n"/>
      <c r="T111" s="360" t="n"/>
      <c r="U111" s="360">
        <f>SUM(S111:T111)</f>
        <v/>
      </c>
      <c r="W111" s="360" t="n"/>
      <c r="X111" s="360" t="n"/>
      <c r="Y111" s="360" t="n"/>
      <c r="Z111" s="360" t="n"/>
      <c r="AA111" s="360" t="n"/>
    </row>
    <row r="112" ht="21" customHeight="1">
      <c r="A112" s="121" t="n">
        <v>10</v>
      </c>
      <c r="B112" s="122" t="inlineStr">
        <is>
          <t>EXPAT'S</t>
        </is>
      </c>
      <c r="C112" s="123" t="inlineStr">
        <is>
          <t>C</t>
        </is>
      </c>
      <c r="D112" s="122" t="inlineStr">
        <is>
          <t>BARBER</t>
        </is>
      </c>
      <c r="E112" s="359" t="n">
        <v>4</v>
      </c>
      <c r="F112" s="359" t="inlineStr">
        <is>
          <t>-</t>
        </is>
      </c>
      <c r="G112" s="360">
        <f>SUM(E112:F112)</f>
        <v/>
      </c>
      <c r="H112" s="359" t="n">
        <v>2</v>
      </c>
      <c r="I112" s="360">
        <f>SUM(G112:H112)</f>
        <v/>
      </c>
      <c r="K112" s="360" t="n">
        <v>4</v>
      </c>
      <c r="L112" s="360" t="inlineStr">
        <is>
          <t>-</t>
        </is>
      </c>
      <c r="M112" s="360" t="n">
        <v>3</v>
      </c>
      <c r="N112" s="360" t="n">
        <v>0</v>
      </c>
      <c r="O112" s="360">
        <f>SUM(M112:N112)</f>
        <v/>
      </c>
      <c r="Q112" s="360" t="n"/>
      <c r="R112" s="360" t="n"/>
      <c r="S112" s="360" t="n"/>
      <c r="T112" s="360" t="n"/>
      <c r="U112" s="360">
        <f>SUM(S112:T112)</f>
        <v/>
      </c>
      <c r="W112" s="360" t="n"/>
      <c r="X112" s="360" t="n"/>
      <c r="Y112" s="360" t="n"/>
      <c r="Z112" s="360" t="n"/>
      <c r="AA112" s="360" t="n"/>
    </row>
    <row r="113" ht="18.75" customFormat="1" customHeight="1" s="120">
      <c r="A113" s="352" t="inlineStr">
        <is>
          <t>LAUNDRY SERVICES</t>
        </is>
      </c>
      <c r="B113" s="353" t="n"/>
      <c r="C113" s="354" t="n"/>
      <c r="D113" s="354" t="n"/>
      <c r="E113" s="355">
        <f>+SUM(E115:E118)</f>
        <v/>
      </c>
      <c r="F113" s="355">
        <f>+SUM(F115:F118)</f>
        <v/>
      </c>
      <c r="G113" s="356">
        <f>+SUM(G115:G118)</f>
        <v/>
      </c>
      <c r="H113" s="355">
        <f>SUM(H114:H118)</f>
        <v/>
      </c>
      <c r="I113" s="356">
        <f>SUM(I114:I118)</f>
        <v/>
      </c>
      <c r="K113" s="358">
        <f>SUM(K114:K118)</f>
        <v/>
      </c>
      <c r="L113" s="358">
        <f>SUM(L114:L118)</f>
        <v/>
      </c>
      <c r="M113" s="358">
        <f>SUM(M114:M118)</f>
        <v/>
      </c>
      <c r="N113" s="358">
        <f>SUM(N114:N118)</f>
        <v/>
      </c>
      <c r="O113" s="358">
        <f>SUM(M113:N113)</f>
        <v/>
      </c>
      <c r="Q113" s="358">
        <f>SUM(Q114:Q118)</f>
        <v/>
      </c>
      <c r="R113" s="358">
        <f>SUM(R114:R118)</f>
        <v/>
      </c>
      <c r="S113" s="358">
        <f>SUM(S114:S118)</f>
        <v/>
      </c>
      <c r="T113" s="358">
        <f>SUM(T114:T118)</f>
        <v/>
      </c>
      <c r="U113" s="358">
        <f>SUM(S113:T113)</f>
        <v/>
      </c>
      <c r="W113" s="358" t="n"/>
      <c r="X113" s="358" t="n"/>
      <c r="Y113" s="358" t="n"/>
      <c r="Z113" s="358" t="n"/>
      <c r="AA113" s="358" t="n"/>
    </row>
    <row r="114" ht="21" customHeight="1">
      <c r="A114" s="121" t="n">
        <v>1</v>
      </c>
      <c r="B114" s="122" t="inlineStr">
        <is>
          <t>EXPAT'S</t>
        </is>
      </c>
      <c r="C114" s="123" t="inlineStr">
        <is>
          <t>A</t>
        </is>
      </c>
      <c r="D114" s="122" t="inlineStr">
        <is>
          <t>LAUNDRY MANAGER</t>
        </is>
      </c>
      <c r="E114" s="359" t="n">
        <v>0</v>
      </c>
      <c r="F114" s="359" t="inlineStr">
        <is>
          <t>-</t>
        </is>
      </c>
      <c r="G114" s="360" t="n"/>
      <c r="H114" s="359" t="n">
        <v>1</v>
      </c>
      <c r="I114" s="360">
        <f>SUM(G114:H114)</f>
        <v/>
      </c>
      <c r="K114" s="360" t="n">
        <v>0</v>
      </c>
      <c r="L114" s="360" t="inlineStr">
        <is>
          <t>-</t>
        </is>
      </c>
      <c r="M114" s="360" t="n">
        <v>0</v>
      </c>
      <c r="N114" s="360" t="n">
        <v>0</v>
      </c>
      <c r="O114" s="360">
        <f>SUM(M114:N114)</f>
        <v/>
      </c>
      <c r="Q114" s="360" t="n"/>
      <c r="R114" s="360" t="n"/>
      <c r="S114" s="360" t="n"/>
      <c r="T114" s="360" t="n"/>
      <c r="U114" s="360">
        <f>SUM(S114:T114)</f>
        <v/>
      </c>
      <c r="W114" s="360" t="n"/>
      <c r="X114" s="360" t="n"/>
      <c r="Y114" s="360" t="n"/>
      <c r="Z114" s="360" t="n"/>
      <c r="AA114" s="360" t="n"/>
    </row>
    <row r="115" ht="21" customHeight="1">
      <c r="A115" s="121" t="n">
        <v>2</v>
      </c>
      <c r="B115" s="122" t="inlineStr">
        <is>
          <t>EXPAT'S</t>
        </is>
      </c>
      <c r="C115" s="123" t="inlineStr">
        <is>
          <t>A</t>
        </is>
      </c>
      <c r="D115" s="122" t="inlineStr">
        <is>
          <t>LAUNDRY SUPERVISOR</t>
        </is>
      </c>
      <c r="E115" s="359" t="n">
        <v>2</v>
      </c>
      <c r="F115" s="359" t="inlineStr">
        <is>
          <t>-</t>
        </is>
      </c>
      <c r="G115" s="360">
        <f>SUM(E115:F115)</f>
        <v/>
      </c>
      <c r="H115" s="359" t="n"/>
      <c r="I115" s="360">
        <f>SUM(G115:H115)</f>
        <v/>
      </c>
      <c r="K115" s="360" t="n">
        <v>2</v>
      </c>
      <c r="L115" s="360" t="inlineStr">
        <is>
          <t>-</t>
        </is>
      </c>
      <c r="M115" s="360" t="n">
        <v>2</v>
      </c>
      <c r="N115" s="360" t="n">
        <v>0</v>
      </c>
      <c r="O115" s="360">
        <f>SUM(M115:N115)</f>
        <v/>
      </c>
      <c r="Q115" s="360" t="n"/>
      <c r="R115" s="360" t="n"/>
      <c r="S115" s="360" t="n"/>
      <c r="T115" s="360" t="n"/>
      <c r="U115" s="360">
        <f>SUM(S115:T115)</f>
        <v/>
      </c>
      <c r="W115" s="360" t="n"/>
      <c r="X115" s="360" t="n"/>
      <c r="Y115" s="360" t="n"/>
      <c r="Z115" s="360" t="n"/>
      <c r="AA115" s="360" t="n"/>
    </row>
    <row r="116" ht="21" customHeight="1">
      <c r="A116" s="121">
        <f>+A115+1</f>
        <v/>
      </c>
      <c r="B116" s="122" t="inlineStr">
        <is>
          <t>EXPAT'S</t>
        </is>
      </c>
      <c r="C116" s="123" t="inlineStr">
        <is>
          <t>C</t>
        </is>
      </c>
      <c r="D116" s="122" t="inlineStr">
        <is>
          <t>LAUNDRY TEAM LEADER</t>
        </is>
      </c>
      <c r="E116" s="359" t="n">
        <v>2</v>
      </c>
      <c r="F116" s="359" t="inlineStr">
        <is>
          <t>-</t>
        </is>
      </c>
      <c r="G116" s="360">
        <f>SUM(E116:F116)</f>
        <v/>
      </c>
      <c r="H116" s="359" t="n">
        <v>1</v>
      </c>
      <c r="I116" s="360">
        <f>SUM(G116:H116)</f>
        <v/>
      </c>
      <c r="K116" s="360" t="n">
        <v>2</v>
      </c>
      <c r="L116" s="360" t="inlineStr">
        <is>
          <t>-</t>
        </is>
      </c>
      <c r="M116" s="360" t="n">
        <v>2</v>
      </c>
      <c r="N116" s="360" t="n">
        <v>0</v>
      </c>
      <c r="O116" s="360">
        <f>SUM(M116:N116)</f>
        <v/>
      </c>
      <c r="Q116" s="360" t="n"/>
      <c r="R116" s="360" t="n"/>
      <c r="S116" s="360" t="n"/>
      <c r="T116" s="360" t="n"/>
      <c r="U116" s="360">
        <f>SUM(S116:T116)</f>
        <v/>
      </c>
      <c r="W116" s="360" t="n"/>
      <c r="X116" s="360" t="n"/>
      <c r="Y116" s="360" t="n"/>
      <c r="Z116" s="360" t="n"/>
      <c r="AA116" s="360" t="n"/>
    </row>
    <row r="117" ht="21" customHeight="1">
      <c r="A117" s="121">
        <f>+A116+1</f>
        <v/>
      </c>
      <c r="B117" s="122" t="inlineStr">
        <is>
          <t>EXPAT'S</t>
        </is>
      </c>
      <c r="C117" s="123" t="inlineStr">
        <is>
          <t>C</t>
        </is>
      </c>
      <c r="D117" s="122" t="inlineStr">
        <is>
          <t>LAUNDRY OPERATIVES</t>
        </is>
      </c>
      <c r="E117" s="359" t="n">
        <v>36</v>
      </c>
      <c r="F117" s="359" t="inlineStr">
        <is>
          <t>-</t>
        </is>
      </c>
      <c r="G117" s="360" t="n">
        <v>36</v>
      </c>
      <c r="H117" s="359" t="n">
        <v>3</v>
      </c>
      <c r="I117" s="360">
        <f>SUM(G117:H117)</f>
        <v/>
      </c>
      <c r="K117" s="360" t="n">
        <v>36</v>
      </c>
      <c r="L117" s="360" t="inlineStr">
        <is>
          <t>-</t>
        </is>
      </c>
      <c r="M117" s="360" t="n">
        <v>32</v>
      </c>
      <c r="N117" s="360" t="n">
        <v>0</v>
      </c>
      <c r="O117" s="360">
        <f>SUM(M117:N117)</f>
        <v/>
      </c>
      <c r="Q117" s="360" t="n">
        <v>3</v>
      </c>
      <c r="R117" s="360" t="n"/>
      <c r="S117" s="360" t="n">
        <v>0</v>
      </c>
      <c r="T117" s="360" t="n"/>
      <c r="U117" s="360">
        <f>SUM(S117:T117)</f>
        <v/>
      </c>
      <c r="W117" s="360" t="n"/>
      <c r="X117" s="360" t="n"/>
      <c r="Y117" s="360" t="n"/>
      <c r="Z117" s="360" t="n"/>
      <c r="AA117" s="360" t="n"/>
    </row>
    <row r="118" ht="21" customHeight="1">
      <c r="A118" s="121" t="n">
        <v>3</v>
      </c>
      <c r="B118" s="122" t="inlineStr">
        <is>
          <t>EXPAT'S</t>
        </is>
      </c>
      <c r="C118" s="123" t="inlineStr">
        <is>
          <t>C</t>
        </is>
      </c>
      <c r="D118" s="122" t="inlineStr">
        <is>
          <t xml:space="preserve">LAUNDRY VEHCILE DRIVER </t>
        </is>
      </c>
      <c r="E118" s="359" t="n">
        <v>2</v>
      </c>
      <c r="F118" s="359" t="inlineStr">
        <is>
          <t>-</t>
        </is>
      </c>
      <c r="G118" s="360" t="n">
        <v>0</v>
      </c>
      <c r="H118" s="359" t="n"/>
      <c r="I118" s="360">
        <f>SUM(G118:H118)</f>
        <v/>
      </c>
      <c r="K118" s="360" t="n">
        <v>2</v>
      </c>
      <c r="L118" s="360" t="inlineStr">
        <is>
          <t>-</t>
        </is>
      </c>
      <c r="M118" s="360" t="n">
        <v>0</v>
      </c>
      <c r="N118" s="360" t="n">
        <v>0</v>
      </c>
      <c r="O118" s="360">
        <f>SUM(M118:N118)</f>
        <v/>
      </c>
      <c r="Q118" s="360" t="n"/>
      <c r="R118" s="360" t="n"/>
      <c r="S118" s="360" t="n"/>
      <c r="T118" s="360" t="n"/>
      <c r="U118" s="360">
        <f>SUM(S118:T118)</f>
        <v/>
      </c>
      <c r="W118" s="360" t="n"/>
      <c r="X118" s="360" t="n"/>
      <c r="Y118" s="360" t="n"/>
      <c r="Z118" s="360" t="n"/>
      <c r="AA118" s="360" t="n"/>
    </row>
    <row r="119" ht="18.75" customFormat="1" customHeight="1" s="120">
      <c r="A119" s="418" t="n"/>
      <c r="B119" s="419" t="n"/>
      <c r="C119" s="419" t="n"/>
      <c r="D119" s="420" t="n"/>
      <c r="E119" s="355" t="n"/>
      <c r="F119" s="355" t="n"/>
      <c r="G119" s="356" t="n"/>
      <c r="H119" s="355">
        <f>SUM(H120:H146)</f>
        <v/>
      </c>
      <c r="I119" s="356">
        <f>SUM(I120:I146)</f>
        <v/>
      </c>
      <c r="K119" s="358">
        <f>SUM(K120:K146)</f>
        <v/>
      </c>
      <c r="L119" s="358">
        <f>SUM(L120:L146)</f>
        <v/>
      </c>
      <c r="M119" s="358">
        <f>SUM(M120:M146)</f>
        <v/>
      </c>
      <c r="N119" s="358">
        <f>SUM(N120:N146)</f>
        <v/>
      </c>
      <c r="O119" s="358">
        <f>SUM(M119:N119)</f>
        <v/>
      </c>
      <c r="Q119" s="358">
        <f>SUM(Q120:Q146)</f>
        <v/>
      </c>
      <c r="R119" s="358">
        <f>SUM(R120:R146)</f>
        <v/>
      </c>
      <c r="S119" s="358">
        <f>SUM(S120:S146)</f>
        <v/>
      </c>
      <c r="T119" s="358">
        <f>SUM(T120:T146)</f>
        <v/>
      </c>
      <c r="U119" s="358">
        <f>SUM(S119:T119)</f>
        <v/>
      </c>
      <c r="W119" s="358" t="n"/>
      <c r="X119" s="358" t="n"/>
      <c r="Y119" s="358" t="n"/>
      <c r="Z119" s="358" t="n"/>
      <c r="AA119" s="358" t="n"/>
    </row>
    <row r="120" ht="21" customHeight="1">
      <c r="A120" s="121" t="n">
        <v>1</v>
      </c>
      <c r="B120" s="122" t="inlineStr">
        <is>
          <t>EXPAT'S</t>
        </is>
      </c>
      <c r="C120" s="123" t="inlineStr">
        <is>
          <t>C</t>
        </is>
      </c>
      <c r="D120" s="122" t="inlineStr">
        <is>
          <t>SYSTEM ADMIN</t>
        </is>
      </c>
      <c r="E120" s="359" t="n">
        <v>0</v>
      </c>
      <c r="F120" s="359" t="inlineStr">
        <is>
          <t>-</t>
        </is>
      </c>
      <c r="G120" s="360">
        <f>SUM(E120:F120)</f>
        <v/>
      </c>
      <c r="H120" s="360" t="n">
        <v>1</v>
      </c>
      <c r="I120" s="360">
        <f>SUM(G120:H120)</f>
        <v/>
      </c>
      <c r="K120" s="360" t="n">
        <v>0</v>
      </c>
      <c r="L120" s="360" t="inlineStr">
        <is>
          <t>-</t>
        </is>
      </c>
      <c r="M120" s="360" t="n">
        <v>0</v>
      </c>
      <c r="N120" s="360" t="n">
        <v>0</v>
      </c>
      <c r="O120" s="360">
        <f>SUM(M120:N120)</f>
        <v/>
      </c>
      <c r="Q120" s="360" t="n">
        <v>0</v>
      </c>
      <c r="R120" s="360" t="n">
        <v>0</v>
      </c>
      <c r="S120" s="360" t="n">
        <v>0</v>
      </c>
      <c r="T120" s="360" t="n">
        <v>0</v>
      </c>
      <c r="U120" s="360">
        <f>SUM(S120:T120)</f>
        <v/>
      </c>
      <c r="W120" s="360" t="n"/>
      <c r="X120" s="360" t="n"/>
      <c r="Y120" s="360" t="n"/>
      <c r="Z120" s="360" t="n"/>
      <c r="AA120" s="360" t="n"/>
    </row>
    <row r="121" ht="21" customHeight="1">
      <c r="A121" s="121" t="n">
        <v>2</v>
      </c>
      <c r="B121" s="122" t="inlineStr">
        <is>
          <t>EXPAT'S</t>
        </is>
      </c>
      <c r="C121" s="123" t="inlineStr">
        <is>
          <t>B</t>
        </is>
      </c>
      <c r="D121" s="122" t="inlineStr">
        <is>
          <t>LANDSCAPE ENGINEER</t>
        </is>
      </c>
      <c r="E121" s="359" t="n">
        <v>0</v>
      </c>
      <c r="F121" s="359" t="inlineStr">
        <is>
          <t>-</t>
        </is>
      </c>
      <c r="G121" s="360">
        <f>SUM(E121:F121)</f>
        <v/>
      </c>
      <c r="H121" s="360" t="n">
        <v>1</v>
      </c>
      <c r="I121" s="360">
        <f>SUM(G121:H121)</f>
        <v/>
      </c>
      <c r="K121" s="360" t="n">
        <v>0</v>
      </c>
      <c r="L121" s="360" t="inlineStr">
        <is>
          <t>-</t>
        </is>
      </c>
      <c r="M121" s="360" t="n">
        <v>0</v>
      </c>
      <c r="N121" s="360" t="n">
        <v>1</v>
      </c>
      <c r="O121" s="360">
        <f>SUM(M121:N121)</f>
        <v/>
      </c>
      <c r="Q121" s="360" t="n">
        <v>0</v>
      </c>
      <c r="R121" s="360" t="n">
        <v>0</v>
      </c>
      <c r="S121" s="360" t="n">
        <v>0</v>
      </c>
      <c r="T121" s="360" t="n">
        <v>0</v>
      </c>
      <c r="U121" s="360">
        <f>SUM(S121:T121)</f>
        <v/>
      </c>
      <c r="W121" s="360" t="n"/>
      <c r="X121" s="360" t="n"/>
      <c r="Y121" s="360" t="n"/>
      <c r="Z121" s="360" t="n"/>
      <c r="AA121" s="360" t="n"/>
    </row>
    <row r="122" ht="21" customHeight="1">
      <c r="A122" s="121" t="n">
        <v>3</v>
      </c>
      <c r="B122" s="122" t="inlineStr">
        <is>
          <t>EXPAT'S</t>
        </is>
      </c>
      <c r="C122" s="123" t="inlineStr">
        <is>
          <t>C</t>
        </is>
      </c>
      <c r="D122" s="122" t="inlineStr">
        <is>
          <t>IRRIGATION SUPERVISOR</t>
        </is>
      </c>
      <c r="E122" s="359" t="n">
        <v>0</v>
      </c>
      <c r="F122" s="359" t="inlineStr">
        <is>
          <t>-</t>
        </is>
      </c>
      <c r="G122" s="360">
        <f>SUM(E122:F122)</f>
        <v/>
      </c>
      <c r="H122" s="360" t="n">
        <v>1</v>
      </c>
      <c r="I122" s="360">
        <f>SUM(G122:H122)</f>
        <v/>
      </c>
      <c r="K122" s="360" t="n">
        <v>0</v>
      </c>
      <c r="L122" s="360" t="inlineStr">
        <is>
          <t>-</t>
        </is>
      </c>
      <c r="M122" s="360" t="n">
        <v>0</v>
      </c>
      <c r="N122" s="360" t="n">
        <v>0</v>
      </c>
      <c r="O122" s="360">
        <f>SUM(M122:N122)</f>
        <v/>
      </c>
      <c r="Q122" s="360" t="n">
        <v>0</v>
      </c>
      <c r="R122" s="360" t="n">
        <v>0</v>
      </c>
      <c r="S122" s="360" t="n">
        <v>0</v>
      </c>
      <c r="T122" s="360" t="n">
        <v>0</v>
      </c>
      <c r="U122" s="360">
        <f>SUM(S122:T122)</f>
        <v/>
      </c>
      <c r="W122" s="360" t="n"/>
      <c r="X122" s="360" t="n"/>
      <c r="Y122" s="360" t="n"/>
      <c r="Z122" s="360" t="n"/>
      <c r="AA122" s="360" t="n"/>
    </row>
    <row r="123" ht="21" customHeight="1">
      <c r="A123" s="121" t="n">
        <v>4</v>
      </c>
      <c r="B123" s="122" t="inlineStr">
        <is>
          <t>EXPAT'S</t>
        </is>
      </c>
      <c r="C123" s="123" t="inlineStr">
        <is>
          <t>C</t>
        </is>
      </c>
      <c r="D123" s="122" t="inlineStr">
        <is>
          <t>SWIMMING POOL SUPERVISOR</t>
        </is>
      </c>
      <c r="E123" s="361" t="n">
        <v>0</v>
      </c>
      <c r="F123" s="361" t="inlineStr">
        <is>
          <t>-</t>
        </is>
      </c>
      <c r="G123" s="360" t="n"/>
      <c r="H123" s="360" t="n">
        <v>2</v>
      </c>
      <c r="I123" s="360">
        <f>SUM(G123:H123)</f>
        <v/>
      </c>
      <c r="K123" s="362" t="n">
        <v>0</v>
      </c>
      <c r="L123" s="362" t="inlineStr">
        <is>
          <t>-</t>
        </is>
      </c>
      <c r="M123" s="360" t="n">
        <v>0</v>
      </c>
      <c r="N123" s="362" t="n">
        <v>0</v>
      </c>
      <c r="O123" s="360">
        <f>SUM(M123:N123)</f>
        <v/>
      </c>
      <c r="Q123" s="360" t="n">
        <v>0</v>
      </c>
      <c r="R123" s="360" t="n">
        <v>0</v>
      </c>
      <c r="S123" s="360" t="n">
        <v>0</v>
      </c>
      <c r="T123" s="360" t="n">
        <v>0</v>
      </c>
      <c r="U123" s="360">
        <f>SUM(S123:T123)</f>
        <v/>
      </c>
      <c r="W123" s="362" t="n"/>
      <c r="X123" s="362" t="n"/>
      <c r="Y123" s="362" t="n"/>
      <c r="Z123" s="362" t="n"/>
      <c r="AA123" s="360" t="n"/>
    </row>
    <row r="124" ht="21" customHeight="1">
      <c r="A124" s="121" t="n">
        <v>5</v>
      </c>
      <c r="B124" s="122" t="inlineStr">
        <is>
          <t>EXPAT'S</t>
        </is>
      </c>
      <c r="C124" s="123" t="inlineStr">
        <is>
          <t>C</t>
        </is>
      </c>
      <c r="D124" s="122" t="inlineStr">
        <is>
          <t>LIFE GUARD</t>
        </is>
      </c>
      <c r="E124" s="361" t="n">
        <v>0</v>
      </c>
      <c r="F124" s="361" t="inlineStr">
        <is>
          <t>-</t>
        </is>
      </c>
      <c r="G124" s="360" t="n"/>
      <c r="H124" s="360" t="n">
        <v>7</v>
      </c>
      <c r="I124" s="360">
        <f>SUM(G124:H124)</f>
        <v/>
      </c>
      <c r="K124" s="362" t="n">
        <v>0</v>
      </c>
      <c r="L124" s="362" t="inlineStr">
        <is>
          <t>-</t>
        </is>
      </c>
      <c r="M124" s="360" t="n">
        <v>0</v>
      </c>
      <c r="N124" s="362" t="n">
        <v>6</v>
      </c>
      <c r="O124" s="360">
        <f>SUM(M124:N124)</f>
        <v/>
      </c>
      <c r="Q124" s="360" t="n">
        <v>0</v>
      </c>
      <c r="R124" s="360" t="n">
        <v>0</v>
      </c>
      <c r="S124" s="360" t="n">
        <v>0</v>
      </c>
      <c r="T124" s="360" t="n">
        <v>0</v>
      </c>
      <c r="U124" s="360">
        <f>SUM(S124:T124)</f>
        <v/>
      </c>
      <c r="W124" s="362" t="n"/>
      <c r="X124" s="362" t="n"/>
      <c r="Y124" s="362" t="n"/>
      <c r="Z124" s="362" t="n"/>
      <c r="AA124" s="360" t="n"/>
    </row>
    <row r="125" ht="21" customHeight="1">
      <c r="A125" s="121" t="n">
        <v>6</v>
      </c>
      <c r="B125" s="122" t="inlineStr">
        <is>
          <t>EXPAT'S</t>
        </is>
      </c>
      <c r="C125" s="123" t="inlineStr">
        <is>
          <t>C</t>
        </is>
      </c>
      <c r="D125" s="122" t="inlineStr">
        <is>
          <t>STORE KEEPER</t>
        </is>
      </c>
      <c r="E125" s="359" t="n">
        <v>0</v>
      </c>
      <c r="F125" s="359" t="inlineStr">
        <is>
          <t>-</t>
        </is>
      </c>
      <c r="G125" s="360">
        <f>SUM(E125:F125)</f>
        <v/>
      </c>
      <c r="H125" s="360" t="n">
        <v>1</v>
      </c>
      <c r="I125" s="360">
        <f>SUM(G125:H125)</f>
        <v/>
      </c>
      <c r="K125" s="362" t="n">
        <v>0</v>
      </c>
      <c r="L125" s="362" t="inlineStr">
        <is>
          <t>-</t>
        </is>
      </c>
      <c r="M125" s="360" t="n">
        <v>0</v>
      </c>
      <c r="N125" s="360" t="n">
        <v>0</v>
      </c>
      <c r="O125" s="360">
        <f>SUM(M125:N125)</f>
        <v/>
      </c>
      <c r="Q125" s="360" t="n">
        <v>0</v>
      </c>
      <c r="R125" s="360" t="n">
        <v>0</v>
      </c>
      <c r="S125" s="360" t="n">
        <v>0</v>
      </c>
      <c r="T125" s="360" t="n">
        <v>0</v>
      </c>
      <c r="U125" s="360">
        <f>SUM(S125:T125)</f>
        <v/>
      </c>
      <c r="W125" s="360" t="n"/>
      <c r="X125" s="360" t="n"/>
      <c r="Y125" s="360" t="n"/>
      <c r="Z125" s="360" t="n"/>
      <c r="AA125" s="360" t="n"/>
    </row>
    <row r="126" ht="21" customHeight="1">
      <c r="A126" s="121" t="n">
        <v>7</v>
      </c>
      <c r="B126" s="122" t="inlineStr">
        <is>
          <t>EXPAT'S</t>
        </is>
      </c>
      <c r="C126" s="123" t="inlineStr">
        <is>
          <t>D</t>
        </is>
      </c>
      <c r="D126" s="122" t="inlineStr">
        <is>
          <t>KITCHEN / LAUNDRY TECHNICIAN</t>
        </is>
      </c>
      <c r="E126" s="359" t="n">
        <v>0</v>
      </c>
      <c r="F126" s="359" t="inlineStr">
        <is>
          <t>-</t>
        </is>
      </c>
      <c r="G126" s="360">
        <f>SUM(E126:F126)</f>
        <v/>
      </c>
      <c r="H126" s="360" t="n">
        <v>2</v>
      </c>
      <c r="I126" s="360">
        <f>SUM(G126:H126)</f>
        <v/>
      </c>
      <c r="K126" s="362" t="n">
        <v>0</v>
      </c>
      <c r="L126" s="362" t="inlineStr">
        <is>
          <t>-</t>
        </is>
      </c>
      <c r="M126" s="360" t="n">
        <v>0</v>
      </c>
      <c r="N126" s="360" t="n">
        <v>0</v>
      </c>
      <c r="O126" s="360">
        <f>SUM(M126:N126)</f>
        <v/>
      </c>
      <c r="Q126" s="360" t="n">
        <v>0</v>
      </c>
      <c r="R126" s="360" t="n">
        <v>0</v>
      </c>
      <c r="S126" s="360" t="n">
        <v>0</v>
      </c>
      <c r="T126" s="360" t="n">
        <v>0</v>
      </c>
      <c r="U126" s="360">
        <f>SUM(S126:T126)</f>
        <v/>
      </c>
      <c r="W126" s="360" t="n"/>
      <c r="X126" s="360" t="n"/>
      <c r="Y126" s="360" t="n"/>
      <c r="Z126" s="360" t="n"/>
      <c r="AA126" s="360" t="n"/>
    </row>
    <row r="127" ht="21" customHeight="1">
      <c r="A127" s="121" t="n">
        <v>8</v>
      </c>
      <c r="B127" s="122" t="inlineStr">
        <is>
          <t>EXPAT'S</t>
        </is>
      </c>
      <c r="C127" s="123" t="inlineStr">
        <is>
          <t>D</t>
        </is>
      </c>
      <c r="D127" s="122" t="inlineStr">
        <is>
          <t>TAILOR</t>
        </is>
      </c>
      <c r="E127" s="359" t="n">
        <v>0</v>
      </c>
      <c r="F127" s="359" t="inlineStr">
        <is>
          <t>-</t>
        </is>
      </c>
      <c r="G127" s="360">
        <f>SUM(E127:F127)</f>
        <v/>
      </c>
      <c r="H127" s="360" t="n">
        <v>1</v>
      </c>
      <c r="I127" s="360">
        <f>SUM(G127:H127)</f>
        <v/>
      </c>
      <c r="K127" s="362" t="n">
        <v>0</v>
      </c>
      <c r="L127" s="362" t="inlineStr">
        <is>
          <t>-</t>
        </is>
      </c>
      <c r="M127" s="360" t="n">
        <v>0</v>
      </c>
      <c r="N127" s="360" t="n">
        <v>1</v>
      </c>
      <c r="O127" s="360">
        <f>SUM(M127:N127)</f>
        <v/>
      </c>
      <c r="Q127" s="360" t="n">
        <v>0</v>
      </c>
      <c r="R127" s="360" t="n">
        <v>0</v>
      </c>
      <c r="S127" s="360" t="n">
        <v>0</v>
      </c>
      <c r="T127" s="360" t="n">
        <v>0</v>
      </c>
      <c r="U127" s="360">
        <f>SUM(S127:T127)</f>
        <v/>
      </c>
      <c r="W127" s="360" t="n"/>
      <c r="X127" s="360" t="n"/>
      <c r="Y127" s="360" t="n"/>
      <c r="Z127" s="360" t="n"/>
      <c r="AA127" s="360" t="n"/>
    </row>
    <row r="128" ht="21" customHeight="1">
      <c r="A128" s="121" t="n">
        <v>9</v>
      </c>
      <c r="B128" s="122" t="inlineStr">
        <is>
          <t>EXPAT'S</t>
        </is>
      </c>
      <c r="C128" s="123" t="inlineStr">
        <is>
          <t>C</t>
        </is>
      </c>
      <c r="D128" s="122" t="inlineStr">
        <is>
          <t>SUPERVISOR / DRIVER</t>
        </is>
      </c>
      <c r="E128" s="359" t="n">
        <v>0</v>
      </c>
      <c r="F128" s="359" t="inlineStr">
        <is>
          <t>-</t>
        </is>
      </c>
      <c r="G128" s="360">
        <f>SUM(E128:F128)</f>
        <v/>
      </c>
      <c r="H128" s="360" t="n">
        <v>1</v>
      </c>
      <c r="I128" s="360">
        <f>SUM(G128:H128)</f>
        <v/>
      </c>
      <c r="K128" s="362" t="n">
        <v>0</v>
      </c>
      <c r="L128" s="362" t="inlineStr">
        <is>
          <t>-</t>
        </is>
      </c>
      <c r="M128" s="360" t="n">
        <v>0</v>
      </c>
      <c r="N128" s="360" t="n">
        <v>0</v>
      </c>
      <c r="O128" s="360">
        <f>SUM(M128:N128)</f>
        <v/>
      </c>
      <c r="Q128" s="360" t="n">
        <v>0</v>
      </c>
      <c r="R128" s="360" t="n">
        <v>0</v>
      </c>
      <c r="S128" s="360" t="n">
        <v>0</v>
      </c>
      <c r="T128" s="360" t="n">
        <v>0</v>
      </c>
      <c r="U128" s="360">
        <f>SUM(S128:T128)</f>
        <v/>
      </c>
      <c r="W128" s="360" t="n"/>
      <c r="X128" s="360" t="n"/>
      <c r="Y128" s="360" t="n"/>
      <c r="Z128" s="360" t="n"/>
      <c r="AA128" s="360" t="n"/>
    </row>
    <row r="129" ht="21" customHeight="1">
      <c r="A129" s="121" t="n">
        <v>10</v>
      </c>
      <c r="B129" s="122" t="inlineStr">
        <is>
          <t>EXPAT'S</t>
        </is>
      </c>
      <c r="C129" s="123" t="inlineStr">
        <is>
          <t>D</t>
        </is>
      </c>
      <c r="D129" s="122" t="inlineStr">
        <is>
          <t>ADMINISTRATOR/ RECERATION</t>
        </is>
      </c>
      <c r="E129" s="359" t="n">
        <v>0</v>
      </c>
      <c r="F129" s="359" t="inlineStr">
        <is>
          <t>-</t>
        </is>
      </c>
      <c r="G129" s="360">
        <f>SUM(E129:F129)</f>
        <v/>
      </c>
      <c r="H129" s="360" t="n">
        <v>1</v>
      </c>
      <c r="I129" s="360">
        <f>SUM(G129:H129)</f>
        <v/>
      </c>
      <c r="K129" s="362" t="n">
        <v>0</v>
      </c>
      <c r="L129" s="362" t="inlineStr">
        <is>
          <t>-</t>
        </is>
      </c>
      <c r="M129" s="360" t="n">
        <v>0</v>
      </c>
      <c r="N129" s="360" t="n">
        <v>1</v>
      </c>
      <c r="O129" s="360">
        <f>SUM(M129:N129)</f>
        <v/>
      </c>
      <c r="Q129" s="360" t="n">
        <v>0</v>
      </c>
      <c r="R129" s="360" t="n">
        <v>0</v>
      </c>
      <c r="S129" s="360" t="n">
        <v>0</v>
      </c>
      <c r="T129" s="360" t="n">
        <v>0</v>
      </c>
      <c r="U129" s="360">
        <f>SUM(S129:T129)</f>
        <v/>
      </c>
      <c r="W129" s="360" t="n"/>
      <c r="X129" s="360" t="n"/>
      <c r="Y129" s="360" t="n"/>
      <c r="Z129" s="360" t="n"/>
      <c r="AA129" s="360" t="n"/>
    </row>
    <row r="130" ht="21" customHeight="1">
      <c r="A130" s="121" t="n">
        <v>11</v>
      </c>
      <c r="B130" s="122" t="inlineStr">
        <is>
          <t>EXPAT'S</t>
        </is>
      </c>
      <c r="C130" s="123" t="inlineStr">
        <is>
          <t>D</t>
        </is>
      </c>
      <c r="D130" s="122" t="inlineStr">
        <is>
          <t>GENERATOR OPERATOR</t>
        </is>
      </c>
      <c r="E130" s="359" t="n">
        <v>0</v>
      </c>
      <c r="F130" s="359" t="inlineStr">
        <is>
          <t>-</t>
        </is>
      </c>
      <c r="G130" s="360">
        <f>SUM(E130:F130)</f>
        <v/>
      </c>
      <c r="H130" s="360" t="n">
        <v>1</v>
      </c>
      <c r="I130" s="360">
        <f>SUM(G130:H130)</f>
        <v/>
      </c>
      <c r="K130" s="362" t="n">
        <v>0</v>
      </c>
      <c r="L130" s="362" t="inlineStr">
        <is>
          <t>-</t>
        </is>
      </c>
      <c r="M130" s="360" t="n">
        <v>0</v>
      </c>
      <c r="N130" s="360" t="n">
        <v>0</v>
      </c>
      <c r="O130" s="360">
        <f>SUM(M130:N130)</f>
        <v/>
      </c>
      <c r="Q130" s="360" t="n">
        <v>0</v>
      </c>
      <c r="R130" s="360" t="n">
        <v>0</v>
      </c>
      <c r="S130" s="360" t="n">
        <v>0</v>
      </c>
      <c r="T130" s="360" t="n">
        <v>0</v>
      </c>
      <c r="U130" s="360">
        <f>SUM(S130:T130)</f>
        <v/>
      </c>
      <c r="W130" s="360" t="n"/>
      <c r="X130" s="360" t="n"/>
      <c r="Y130" s="360" t="n"/>
      <c r="Z130" s="360" t="n"/>
      <c r="AA130" s="360" t="n"/>
    </row>
    <row r="131" ht="21" customHeight="1">
      <c r="A131" s="121" t="n">
        <v>12</v>
      </c>
      <c r="B131" s="122" t="inlineStr">
        <is>
          <t>EXPAT'S</t>
        </is>
      </c>
      <c r="C131" s="123" t="inlineStr">
        <is>
          <t>D</t>
        </is>
      </c>
      <c r="D131" s="122" t="inlineStr">
        <is>
          <t>DIESEL GENERATOR TECHNICIAN</t>
        </is>
      </c>
      <c r="E131" s="359" t="n">
        <v>0</v>
      </c>
      <c r="F131" s="359" t="inlineStr">
        <is>
          <t>-</t>
        </is>
      </c>
      <c r="G131" s="360">
        <f>SUM(E131:F131)</f>
        <v/>
      </c>
      <c r="H131" s="360" t="n">
        <v>1</v>
      </c>
      <c r="I131" s="360">
        <f>SUM(G131:H131)</f>
        <v/>
      </c>
      <c r="K131" s="362" t="n">
        <v>0</v>
      </c>
      <c r="L131" s="362" t="inlineStr">
        <is>
          <t>-</t>
        </is>
      </c>
      <c r="M131" s="360" t="n">
        <v>0</v>
      </c>
      <c r="N131" s="360" t="n">
        <v>0</v>
      </c>
      <c r="O131" s="360">
        <f>SUM(M131:N131)</f>
        <v/>
      </c>
      <c r="Q131" s="360" t="n">
        <v>0</v>
      </c>
      <c r="R131" s="360" t="n">
        <v>0</v>
      </c>
      <c r="S131" s="360" t="n">
        <v>0</v>
      </c>
      <c r="T131" s="360" t="n">
        <v>0</v>
      </c>
      <c r="U131" s="360">
        <f>SUM(S131:T131)</f>
        <v/>
      </c>
      <c r="W131" s="360" t="n"/>
      <c r="X131" s="360" t="n"/>
      <c r="Y131" s="360" t="n"/>
      <c r="Z131" s="360" t="n"/>
      <c r="AA131" s="360" t="n"/>
    </row>
    <row r="132" ht="21" customHeight="1">
      <c r="A132" s="121" t="n">
        <v>13</v>
      </c>
      <c r="B132" s="122" t="inlineStr">
        <is>
          <t>EXPAT'S</t>
        </is>
      </c>
      <c r="C132" s="123" t="inlineStr">
        <is>
          <t>C</t>
        </is>
      </c>
      <c r="D132" s="122" t="inlineStr">
        <is>
          <t>SUPERVISOR HVAC</t>
        </is>
      </c>
      <c r="E132" s="359" t="n">
        <v>0</v>
      </c>
      <c r="F132" s="359" t="inlineStr">
        <is>
          <t>-</t>
        </is>
      </c>
      <c r="G132" s="360">
        <f>SUM(E132:F132)</f>
        <v/>
      </c>
      <c r="H132" s="360" t="n">
        <v>1</v>
      </c>
      <c r="I132" s="360">
        <f>SUM(G132:H132)</f>
        <v/>
      </c>
      <c r="K132" s="362" t="n">
        <v>0</v>
      </c>
      <c r="L132" s="362" t="inlineStr">
        <is>
          <t>-</t>
        </is>
      </c>
      <c r="M132" s="360" t="n">
        <v>0</v>
      </c>
      <c r="N132" s="360" t="n">
        <v>0</v>
      </c>
      <c r="O132" s="360">
        <f>SUM(M132:N132)</f>
        <v/>
      </c>
      <c r="Q132" s="360" t="n">
        <v>0</v>
      </c>
      <c r="R132" s="360" t="n">
        <v>0</v>
      </c>
      <c r="S132" s="360" t="n">
        <v>0</v>
      </c>
      <c r="T132" s="360" t="n">
        <v>0</v>
      </c>
      <c r="U132" s="360">
        <f>SUM(S132:T132)</f>
        <v/>
      </c>
      <c r="W132" s="360" t="n"/>
      <c r="X132" s="360" t="n"/>
      <c r="Y132" s="360" t="n"/>
      <c r="Z132" s="360" t="n"/>
      <c r="AA132" s="360" t="n"/>
    </row>
    <row r="133" ht="22.5" customFormat="1" customHeight="1" s="348">
      <c r="A133" s="121" t="n">
        <v>14</v>
      </c>
      <c r="B133" s="122" t="inlineStr">
        <is>
          <t>EXPAT'S</t>
        </is>
      </c>
      <c r="C133" s="123" t="inlineStr">
        <is>
          <t>C</t>
        </is>
      </c>
      <c r="D133" s="122" t="inlineStr">
        <is>
          <t>LOGISTIC COORDINATOR</t>
        </is>
      </c>
      <c r="E133" s="359" t="n">
        <v>0</v>
      </c>
      <c r="F133" s="359" t="inlineStr">
        <is>
          <t>-</t>
        </is>
      </c>
      <c r="G133" s="360">
        <f>SUM(E133:F133)</f>
        <v/>
      </c>
      <c r="H133" s="360" t="n">
        <v>0</v>
      </c>
      <c r="I133" s="360">
        <f>SUM(G133:H133)</f>
        <v/>
      </c>
      <c r="K133" s="362" t="n">
        <v>0</v>
      </c>
      <c r="L133" s="362" t="inlineStr">
        <is>
          <t>-</t>
        </is>
      </c>
      <c r="M133" s="360" t="n">
        <v>0</v>
      </c>
      <c r="N133" s="360" t="n">
        <v>1</v>
      </c>
      <c r="O133" s="360">
        <f>SUM(M133:N133)</f>
        <v/>
      </c>
      <c r="Q133" s="360" t="n">
        <v>0</v>
      </c>
      <c r="R133" s="360" t="n">
        <v>0</v>
      </c>
      <c r="S133" s="360" t="n">
        <v>0</v>
      </c>
      <c r="T133" s="360" t="n">
        <v>0</v>
      </c>
      <c r="U133" s="360">
        <f>SUM(S133:T133)</f>
        <v/>
      </c>
      <c r="W133" s="360" t="n"/>
      <c r="X133" s="360" t="n"/>
      <c r="Y133" s="360" t="n"/>
      <c r="Z133" s="360" t="n"/>
      <c r="AA133" s="360" t="n"/>
    </row>
    <row r="134" ht="22.5" customFormat="1" customHeight="1" s="348">
      <c r="A134" s="121" t="n">
        <v>15</v>
      </c>
      <c r="B134" s="122" t="inlineStr">
        <is>
          <t>EXPAT'S</t>
        </is>
      </c>
      <c r="C134" s="123" t="inlineStr">
        <is>
          <t>B</t>
        </is>
      </c>
      <c r="D134" s="122" t="inlineStr">
        <is>
          <t>CIVIL ENGINEER</t>
        </is>
      </c>
      <c r="E134" s="359" t="n">
        <v>0</v>
      </c>
      <c r="F134" s="359" t="inlineStr">
        <is>
          <t>-</t>
        </is>
      </c>
      <c r="G134" s="360">
        <f>SUM(E134:F134)</f>
        <v/>
      </c>
      <c r="H134" s="360" t="n">
        <v>0</v>
      </c>
      <c r="I134" s="360">
        <f>SUM(G134:H134)</f>
        <v/>
      </c>
      <c r="K134" s="362" t="n">
        <v>0</v>
      </c>
      <c r="L134" s="362" t="inlineStr">
        <is>
          <t>-</t>
        </is>
      </c>
      <c r="M134" s="360" t="n">
        <v>0</v>
      </c>
      <c r="N134" s="360" t="n">
        <v>1</v>
      </c>
      <c r="O134" s="360">
        <f>SUM(M134:N134)</f>
        <v/>
      </c>
      <c r="Q134" s="360" t="n">
        <v>0</v>
      </c>
      <c r="R134" s="360" t="n">
        <v>0</v>
      </c>
      <c r="S134" s="360" t="n">
        <v>0</v>
      </c>
      <c r="T134" s="360" t="n">
        <v>0</v>
      </c>
      <c r="U134" s="360">
        <f>SUM(S134:T134)</f>
        <v/>
      </c>
      <c r="W134" s="360" t="n"/>
      <c r="X134" s="360" t="n"/>
      <c r="Y134" s="360" t="n"/>
      <c r="Z134" s="360" t="n"/>
      <c r="AA134" s="360" t="n"/>
    </row>
    <row r="135" ht="22.5" customFormat="1" customHeight="1" s="348">
      <c r="A135" s="121" t="n">
        <v>16</v>
      </c>
      <c r="B135" s="122" t="inlineStr">
        <is>
          <t>EXPAT'S</t>
        </is>
      </c>
      <c r="C135" s="123" t="inlineStr">
        <is>
          <t>D</t>
        </is>
      </c>
      <c r="D135" s="122" t="inlineStr">
        <is>
          <t>DG TECHINICIAN</t>
        </is>
      </c>
      <c r="E135" s="359" t="n">
        <v>0</v>
      </c>
      <c r="F135" s="359" t="inlineStr">
        <is>
          <t>-</t>
        </is>
      </c>
      <c r="G135" s="360">
        <f>SUM(E135:F135)</f>
        <v/>
      </c>
      <c r="H135" s="360" t="n">
        <v>0</v>
      </c>
      <c r="I135" s="360">
        <f>SUM(G135:H135)</f>
        <v/>
      </c>
      <c r="K135" s="362" t="n">
        <v>0</v>
      </c>
      <c r="L135" s="362" t="inlineStr">
        <is>
          <t>-</t>
        </is>
      </c>
      <c r="M135" s="360" t="n">
        <v>0</v>
      </c>
      <c r="N135" s="360" t="n">
        <v>1</v>
      </c>
      <c r="O135" s="360">
        <f>SUM(M135:N135)</f>
        <v/>
      </c>
      <c r="Q135" s="360" t="n">
        <v>0</v>
      </c>
      <c r="R135" s="360" t="n">
        <v>0</v>
      </c>
      <c r="S135" s="360" t="n">
        <v>0</v>
      </c>
      <c r="T135" s="360" t="n">
        <v>0</v>
      </c>
      <c r="U135" s="360">
        <f>SUM(S135:T135)</f>
        <v/>
      </c>
      <c r="W135" s="360" t="n"/>
      <c r="X135" s="360" t="n"/>
      <c r="Y135" s="360" t="n"/>
      <c r="Z135" s="360" t="n"/>
      <c r="AA135" s="360" t="n"/>
    </row>
    <row r="136" ht="22.5" customFormat="1" customHeight="1" s="348">
      <c r="A136" s="121" t="n">
        <v>17</v>
      </c>
      <c r="B136" s="122" t="inlineStr">
        <is>
          <t>EXPAT'S</t>
        </is>
      </c>
      <c r="C136" s="123" t="inlineStr">
        <is>
          <t>C</t>
        </is>
      </c>
      <c r="D136" s="122" t="inlineStr">
        <is>
          <t>LV SUPERVISOR</t>
        </is>
      </c>
      <c r="E136" s="359" t="n">
        <v>0</v>
      </c>
      <c r="F136" s="359" t="inlineStr">
        <is>
          <t>-</t>
        </is>
      </c>
      <c r="G136" s="360">
        <f>SUM(E136:F136)</f>
        <v/>
      </c>
      <c r="H136" s="360" t="n">
        <v>0</v>
      </c>
      <c r="I136" s="360">
        <f>SUM(G136:H136)</f>
        <v/>
      </c>
      <c r="K136" s="362" t="n">
        <v>0</v>
      </c>
      <c r="L136" s="362" t="inlineStr">
        <is>
          <t>-</t>
        </is>
      </c>
      <c r="M136" s="360" t="n">
        <v>0</v>
      </c>
      <c r="N136" s="360" t="n">
        <v>1</v>
      </c>
      <c r="O136" s="360">
        <f>SUM(M136:N136)</f>
        <v/>
      </c>
      <c r="Q136" s="360" t="n">
        <v>0</v>
      </c>
      <c r="R136" s="360" t="n">
        <v>0</v>
      </c>
      <c r="S136" s="360" t="n">
        <v>0</v>
      </c>
      <c r="T136" s="360" t="n">
        <v>0</v>
      </c>
      <c r="U136" s="360">
        <f>SUM(S136:T136)</f>
        <v/>
      </c>
      <c r="W136" s="360" t="n"/>
      <c r="X136" s="360" t="n"/>
      <c r="Y136" s="360" t="n"/>
      <c r="Z136" s="360" t="n"/>
      <c r="AA136" s="360" t="n"/>
    </row>
    <row r="137" ht="22.5" customFormat="1" customHeight="1" s="348">
      <c r="A137" s="121" t="n">
        <v>18</v>
      </c>
      <c r="B137" s="122" t="inlineStr">
        <is>
          <t>EXPAT'S</t>
        </is>
      </c>
      <c r="C137" s="123" t="inlineStr">
        <is>
          <t>D</t>
        </is>
      </c>
      <c r="D137" s="122" t="inlineStr">
        <is>
          <t>ICT TECHNICIAN</t>
        </is>
      </c>
      <c r="E137" s="359" t="n">
        <v>0</v>
      </c>
      <c r="F137" s="359" t="inlineStr">
        <is>
          <t>-</t>
        </is>
      </c>
      <c r="G137" s="360">
        <f>SUM(E137:F137)</f>
        <v/>
      </c>
      <c r="H137" s="360" t="n">
        <v>0</v>
      </c>
      <c r="I137" s="360">
        <f>SUM(G137:H137)</f>
        <v/>
      </c>
      <c r="K137" s="362" t="n">
        <v>0</v>
      </c>
      <c r="L137" s="362" t="inlineStr">
        <is>
          <t>-</t>
        </is>
      </c>
      <c r="M137" s="360" t="n">
        <v>0</v>
      </c>
      <c r="N137" s="360" t="n">
        <v>2</v>
      </c>
      <c r="O137" s="360">
        <f>SUM(M137:N137)</f>
        <v/>
      </c>
      <c r="Q137" s="360" t="n">
        <v>0</v>
      </c>
      <c r="R137" s="360" t="n">
        <v>0</v>
      </c>
      <c r="S137" s="360" t="n">
        <v>0</v>
      </c>
      <c r="T137" s="360" t="n">
        <v>0</v>
      </c>
      <c r="U137" s="360">
        <f>SUM(S137:T137)</f>
        <v/>
      </c>
      <c r="W137" s="360" t="n"/>
      <c r="X137" s="360" t="n"/>
      <c r="Y137" s="360" t="n"/>
      <c r="Z137" s="360" t="n"/>
      <c r="AA137" s="360" t="n"/>
    </row>
    <row r="138" ht="22.5" customFormat="1" customHeight="1" s="348">
      <c r="A138" s="121" t="n">
        <v>19</v>
      </c>
      <c r="B138" s="122" t="inlineStr">
        <is>
          <t>EXPAT'S</t>
        </is>
      </c>
      <c r="C138" s="123" t="inlineStr">
        <is>
          <t>D</t>
        </is>
      </c>
      <c r="D138" s="122" t="inlineStr">
        <is>
          <t>MANLIFT OPEARTOR</t>
        </is>
      </c>
      <c r="E138" s="359" t="n">
        <v>0</v>
      </c>
      <c r="F138" s="359" t="inlineStr">
        <is>
          <t>-</t>
        </is>
      </c>
      <c r="G138" s="360">
        <f>SUM(E138:F138)</f>
        <v/>
      </c>
      <c r="H138" s="360" t="n">
        <v>0</v>
      </c>
      <c r="I138" s="360">
        <f>SUM(G138:H138)</f>
        <v/>
      </c>
      <c r="K138" s="362" t="n">
        <v>0</v>
      </c>
      <c r="L138" s="362" t="inlineStr">
        <is>
          <t>-</t>
        </is>
      </c>
      <c r="M138" s="360" t="n">
        <v>0</v>
      </c>
      <c r="N138" s="360" t="n">
        <v>1</v>
      </c>
      <c r="O138" s="360">
        <f>SUM(M138:N138)</f>
        <v/>
      </c>
      <c r="Q138" s="360" t="n">
        <v>0</v>
      </c>
      <c r="R138" s="360" t="n">
        <v>0</v>
      </c>
      <c r="S138" s="360" t="n">
        <v>0</v>
      </c>
      <c r="T138" s="360" t="n">
        <v>0</v>
      </c>
      <c r="U138" s="360">
        <f>SUM(S138:T138)</f>
        <v/>
      </c>
      <c r="W138" s="360" t="n"/>
      <c r="X138" s="360" t="n"/>
      <c r="Y138" s="360" t="n"/>
      <c r="Z138" s="360" t="n"/>
      <c r="AA138" s="360" t="n"/>
    </row>
    <row r="139" ht="22.5" customFormat="1" customHeight="1" s="348">
      <c r="A139" s="121" t="n">
        <v>20</v>
      </c>
      <c r="B139" s="122" t="inlineStr">
        <is>
          <t>EXPAT'S</t>
        </is>
      </c>
      <c r="C139" s="123" t="inlineStr">
        <is>
          <t>C</t>
        </is>
      </c>
      <c r="D139" s="122" t="inlineStr">
        <is>
          <t>PLUMBING SUPERVISOR</t>
        </is>
      </c>
      <c r="E139" s="359" t="n">
        <v>0</v>
      </c>
      <c r="F139" s="359" t="inlineStr">
        <is>
          <t>-</t>
        </is>
      </c>
      <c r="G139" s="360">
        <f>SUM(E139:F139)</f>
        <v/>
      </c>
      <c r="H139" s="360" t="n">
        <v>0</v>
      </c>
      <c r="I139" s="360">
        <f>SUM(G139:H139)</f>
        <v/>
      </c>
      <c r="K139" s="362" t="n">
        <v>0</v>
      </c>
      <c r="L139" s="362" t="inlineStr">
        <is>
          <t>-</t>
        </is>
      </c>
      <c r="M139" s="360" t="n">
        <v>0</v>
      </c>
      <c r="N139" s="360" t="n">
        <v>2</v>
      </c>
      <c r="O139" s="360">
        <f>SUM(M139:N139)</f>
        <v/>
      </c>
      <c r="Q139" s="360" t="n">
        <v>0</v>
      </c>
      <c r="R139" s="360" t="n">
        <v>0</v>
      </c>
      <c r="S139" s="360" t="n">
        <v>0</v>
      </c>
      <c r="T139" s="360" t="n">
        <v>0</v>
      </c>
      <c r="U139" s="360">
        <f>SUM(S139:T139)</f>
        <v/>
      </c>
      <c r="W139" s="360" t="n"/>
      <c r="X139" s="360" t="n"/>
      <c r="Y139" s="360" t="n"/>
      <c r="Z139" s="360" t="n"/>
      <c r="AA139" s="360" t="n"/>
    </row>
    <row r="140" ht="22.5" customFormat="1" customHeight="1" s="348">
      <c r="A140" s="121" t="n">
        <v>21</v>
      </c>
      <c r="B140" s="122" t="inlineStr">
        <is>
          <t>EXPAT'S</t>
        </is>
      </c>
      <c r="C140" s="123" t="inlineStr">
        <is>
          <t>B</t>
        </is>
      </c>
      <c r="D140" s="122" t="inlineStr">
        <is>
          <t>FACILITY INSPECTOR</t>
        </is>
      </c>
      <c r="E140" s="359" t="n">
        <v>0</v>
      </c>
      <c r="F140" s="359" t="inlineStr">
        <is>
          <t>-</t>
        </is>
      </c>
      <c r="G140" s="360">
        <f>SUM(E140:F140)</f>
        <v/>
      </c>
      <c r="H140" s="360" t="n">
        <v>0</v>
      </c>
      <c r="I140" s="360">
        <f>SUM(G140:H140)</f>
        <v/>
      </c>
      <c r="K140" s="362" t="n">
        <v>0</v>
      </c>
      <c r="L140" s="362" t="inlineStr">
        <is>
          <t>-</t>
        </is>
      </c>
      <c r="M140" s="360" t="n">
        <v>0</v>
      </c>
      <c r="N140" s="360" t="n">
        <v>1</v>
      </c>
      <c r="O140" s="360">
        <f>SUM(M140:N140)</f>
        <v/>
      </c>
      <c r="Q140" s="360" t="n">
        <v>0</v>
      </c>
      <c r="R140" s="360" t="n">
        <v>0</v>
      </c>
      <c r="S140" s="360" t="n">
        <v>0</v>
      </c>
      <c r="T140" s="360" t="n">
        <v>0</v>
      </c>
      <c r="U140" s="360">
        <f>SUM(S140:T140)</f>
        <v/>
      </c>
      <c r="W140" s="360" t="n"/>
      <c r="X140" s="360" t="n"/>
      <c r="Y140" s="360" t="n"/>
      <c r="Z140" s="360" t="n"/>
      <c r="AA140" s="360" t="n"/>
    </row>
    <row r="141" ht="22.5" customFormat="1" customHeight="1" s="348">
      <c r="A141" s="121" t="n">
        <v>22</v>
      </c>
      <c r="B141" s="122" t="inlineStr">
        <is>
          <t>EXPAT'S</t>
        </is>
      </c>
      <c r="C141" s="123" t="inlineStr">
        <is>
          <t>C</t>
        </is>
      </c>
      <c r="D141" s="122" t="inlineStr">
        <is>
          <t>HOUSEKEEPING TEAM LEADER</t>
        </is>
      </c>
      <c r="E141" s="359" t="n">
        <v>0</v>
      </c>
      <c r="F141" s="359" t="inlineStr">
        <is>
          <t>-</t>
        </is>
      </c>
      <c r="G141" s="360">
        <f>SUM(E141:F141)</f>
        <v/>
      </c>
      <c r="H141" s="360" t="n">
        <v>0</v>
      </c>
      <c r="I141" s="360">
        <f>SUM(G141:H141)</f>
        <v/>
      </c>
      <c r="K141" s="362" t="n">
        <v>0</v>
      </c>
      <c r="L141" s="362" t="inlineStr">
        <is>
          <t>-</t>
        </is>
      </c>
      <c r="M141" s="360" t="n">
        <v>0</v>
      </c>
      <c r="N141" s="360" t="n">
        <v>0</v>
      </c>
      <c r="O141" s="360">
        <f>SUM(M141:N141)</f>
        <v/>
      </c>
      <c r="Q141" s="360" t="n">
        <v>0</v>
      </c>
      <c r="R141" s="360" t="n">
        <v>0</v>
      </c>
      <c r="S141" s="360" t="n">
        <v>0</v>
      </c>
      <c r="T141" s="360" t="n">
        <v>1</v>
      </c>
      <c r="U141" s="360">
        <f>SUM(S141:T141)</f>
        <v/>
      </c>
      <c r="W141" s="360" t="n"/>
      <c r="X141" s="360" t="n"/>
      <c r="Y141" s="360" t="n"/>
      <c r="Z141" s="360" t="n"/>
      <c r="AA141" s="360" t="n"/>
    </row>
    <row r="142" ht="22.5" customFormat="1" customHeight="1" s="348">
      <c r="A142" s="121" t="n">
        <v>23</v>
      </c>
      <c r="B142" s="122" t="inlineStr">
        <is>
          <t>EXPAT'S</t>
        </is>
      </c>
      <c r="C142" s="123" t="inlineStr">
        <is>
          <t>B</t>
        </is>
      </c>
      <c r="D142" s="122" t="inlineStr">
        <is>
          <t>LOGISTIC ADMIN INCHARGE</t>
        </is>
      </c>
      <c r="E142" s="359" t="n">
        <v>0</v>
      </c>
      <c r="F142" s="359" t="n">
        <v>0</v>
      </c>
      <c r="G142" s="360" t="n">
        <v>0</v>
      </c>
      <c r="H142" s="360" t="n">
        <v>0</v>
      </c>
      <c r="I142" s="360">
        <f>SUM(G142:H142)</f>
        <v/>
      </c>
      <c r="K142" s="362" t="n">
        <v>0</v>
      </c>
      <c r="L142" s="362" t="n">
        <v>0</v>
      </c>
      <c r="M142" s="360" t="n">
        <v>0</v>
      </c>
      <c r="N142" s="360" t="n">
        <v>1</v>
      </c>
      <c r="O142" s="360">
        <f>SUM(M142:N142)</f>
        <v/>
      </c>
      <c r="Q142" s="360" t="n">
        <v>0</v>
      </c>
      <c r="R142" s="360" t="n">
        <v>0</v>
      </c>
      <c r="S142" s="360" t="n">
        <v>0</v>
      </c>
      <c r="T142" s="360" t="n">
        <v>0</v>
      </c>
      <c r="U142" s="360">
        <f>SUM(S142:T142)</f>
        <v/>
      </c>
      <c r="W142" s="360" t="n">
        <v>0</v>
      </c>
      <c r="X142" s="360" t="n">
        <v>0</v>
      </c>
      <c r="Y142" s="360" t="n">
        <v>0</v>
      </c>
      <c r="Z142" s="360" t="n">
        <v>0</v>
      </c>
      <c r="AA142" s="360" t="n">
        <v>0</v>
      </c>
    </row>
    <row r="143" ht="22.5" customFormat="1" customHeight="1" s="348">
      <c r="A143" s="121" t="n">
        <v>24</v>
      </c>
      <c r="B143" s="122" t="inlineStr">
        <is>
          <t>EXPAT'S</t>
        </is>
      </c>
      <c r="C143" s="123" t="inlineStr">
        <is>
          <t>C</t>
        </is>
      </c>
      <c r="D143" s="122" t="inlineStr">
        <is>
          <t>OFFICE BOY</t>
        </is>
      </c>
      <c r="E143" s="359" t="n">
        <v>0</v>
      </c>
      <c r="F143" s="359" t="n">
        <v>0</v>
      </c>
      <c r="G143" s="360" t="n">
        <v>0</v>
      </c>
      <c r="H143" s="360" t="n">
        <v>0</v>
      </c>
      <c r="I143" s="360">
        <f>SUM(G143:H143)</f>
        <v/>
      </c>
      <c r="K143" s="362" t="n">
        <v>0</v>
      </c>
      <c r="L143" s="362" t="n">
        <v>0</v>
      </c>
      <c r="M143" s="360" t="n">
        <v>0</v>
      </c>
      <c r="N143" s="360" t="n">
        <v>1</v>
      </c>
      <c r="O143" s="360">
        <f>SUM(M143:N143)</f>
        <v/>
      </c>
      <c r="Q143" s="360" t="n">
        <v>0</v>
      </c>
      <c r="R143" s="360" t="n">
        <v>0</v>
      </c>
      <c r="S143" s="360" t="n">
        <v>0</v>
      </c>
      <c r="T143" s="360" t="n">
        <v>0</v>
      </c>
      <c r="U143" s="360">
        <f>SUM(S143:T143)</f>
        <v/>
      </c>
      <c r="W143" s="360" t="n">
        <v>0</v>
      </c>
      <c r="X143" s="360" t="n">
        <v>0</v>
      </c>
      <c r="Y143" s="360" t="n">
        <v>0</v>
      </c>
      <c r="Z143" s="360" t="n">
        <v>0</v>
      </c>
      <c r="AA143" s="360" t="n">
        <v>0</v>
      </c>
    </row>
    <row r="144" ht="22.5" customFormat="1" customHeight="1" s="348">
      <c r="A144" s="121" t="n">
        <v>25</v>
      </c>
      <c r="B144" s="122" t="inlineStr">
        <is>
          <t>EXPAT'S</t>
        </is>
      </c>
      <c r="C144" s="123" t="inlineStr">
        <is>
          <t>C</t>
        </is>
      </c>
      <c r="D144" s="122" t="inlineStr">
        <is>
          <t>UTILITY SUPERVISOR</t>
        </is>
      </c>
      <c r="E144" s="359" t="n">
        <v>0</v>
      </c>
      <c r="F144" s="359" t="n">
        <v>0</v>
      </c>
      <c r="G144" s="360" t="n">
        <v>0</v>
      </c>
      <c r="H144" s="360" t="n">
        <v>1</v>
      </c>
      <c r="I144" s="360">
        <f>SUM(G144:H144)</f>
        <v/>
      </c>
      <c r="K144" s="362" t="n">
        <v>0</v>
      </c>
      <c r="L144" s="362" t="n">
        <v>0</v>
      </c>
      <c r="M144" s="360" t="n">
        <v>0</v>
      </c>
      <c r="N144" s="360" t="n">
        <v>0</v>
      </c>
      <c r="O144" s="360">
        <f>SUM(M144:N144)</f>
        <v/>
      </c>
      <c r="Q144" s="360" t="n">
        <v>0</v>
      </c>
      <c r="R144" s="360" t="n">
        <v>0</v>
      </c>
      <c r="S144" s="360" t="n">
        <v>0</v>
      </c>
      <c r="T144" s="360" t="n">
        <v>0</v>
      </c>
      <c r="U144" s="360">
        <f>SUM(S144:T144)</f>
        <v/>
      </c>
      <c r="W144" s="360" t="n">
        <v>0</v>
      </c>
      <c r="X144" s="360" t="n">
        <v>0</v>
      </c>
      <c r="Y144" s="360" t="n">
        <v>0</v>
      </c>
      <c r="Z144" s="360" t="n">
        <v>0</v>
      </c>
      <c r="AA144" s="360" t="n">
        <v>0</v>
      </c>
    </row>
    <row r="145" ht="22.5" customFormat="1" customHeight="1" s="348">
      <c r="A145" s="121" t="n">
        <v>26</v>
      </c>
      <c r="B145" s="122" t="inlineStr">
        <is>
          <t>EXPAT'S</t>
        </is>
      </c>
      <c r="C145" s="123" t="inlineStr">
        <is>
          <t>D</t>
        </is>
      </c>
      <c r="D145" s="122" t="inlineStr">
        <is>
          <t>JANITOR</t>
        </is>
      </c>
      <c r="E145" s="359" t="n">
        <v>0</v>
      </c>
      <c r="F145" s="359" t="n">
        <v>0</v>
      </c>
      <c r="G145" s="360" t="n">
        <v>0</v>
      </c>
      <c r="H145" s="360" t="n">
        <v>1</v>
      </c>
      <c r="I145" s="360">
        <f>SUM(G145:H145)</f>
        <v/>
      </c>
      <c r="K145" s="362" t="n">
        <v>0</v>
      </c>
      <c r="L145" s="362" t="n">
        <v>0</v>
      </c>
      <c r="M145" s="360" t="n">
        <v>0</v>
      </c>
      <c r="N145" s="360" t="n">
        <v>0</v>
      </c>
      <c r="O145" s="360">
        <f>SUM(M145:N145)</f>
        <v/>
      </c>
      <c r="Q145" s="360" t="n">
        <v>0</v>
      </c>
      <c r="R145" s="360" t="n">
        <v>0</v>
      </c>
      <c r="S145" s="360" t="n">
        <v>0</v>
      </c>
      <c r="T145" s="360" t="n">
        <v>0</v>
      </c>
      <c r="U145" s="360">
        <f>SUM(S145:T145)</f>
        <v/>
      </c>
      <c r="W145" s="360" t="n">
        <v>0</v>
      </c>
      <c r="X145" s="360" t="n">
        <v>0</v>
      </c>
      <c r="Y145" s="360" t="n">
        <v>0</v>
      </c>
      <c r="Z145" s="360" t="n">
        <v>0</v>
      </c>
      <c r="AA145" s="360" t="n">
        <v>0</v>
      </c>
    </row>
    <row r="146" ht="22.5" customHeight="1">
      <c r="A146" s="121" t="n">
        <v>27</v>
      </c>
      <c r="B146" s="122" t="inlineStr">
        <is>
          <t>EXPAT'S</t>
        </is>
      </c>
      <c r="C146" s="123" t="inlineStr">
        <is>
          <t>B</t>
        </is>
      </c>
      <c r="D146" s="122" t="inlineStr">
        <is>
          <t>PEST CONTROLL SPECILIST</t>
        </is>
      </c>
      <c r="E146" s="359" t="n">
        <v>0</v>
      </c>
      <c r="F146" s="359" t="inlineStr">
        <is>
          <t>-</t>
        </is>
      </c>
      <c r="G146" s="360">
        <f>SUM(E146:F146)</f>
        <v/>
      </c>
      <c r="H146" s="360" t="n">
        <v>0</v>
      </c>
      <c r="I146" s="360">
        <f>SUM(G146:H146)</f>
        <v/>
      </c>
      <c r="K146" s="362" t="n">
        <v>0</v>
      </c>
      <c r="L146" s="362" t="inlineStr">
        <is>
          <t>-</t>
        </is>
      </c>
      <c r="M146" s="360" t="n">
        <v>0</v>
      </c>
      <c r="N146" s="360" t="n">
        <v>1</v>
      </c>
      <c r="O146" s="360">
        <f>SUM(M146:N146)</f>
        <v/>
      </c>
      <c r="Q146" s="360" t="n"/>
      <c r="R146" s="360" t="n"/>
      <c r="S146" s="360" t="n"/>
      <c r="T146" s="360" t="n"/>
      <c r="U146" s="360">
        <f>SUM(S146:T146)</f>
        <v/>
      </c>
      <c r="W146" s="360" t="n"/>
      <c r="X146" s="360" t="n"/>
      <c r="Y146" s="360" t="n"/>
      <c r="Z146" s="360" t="n"/>
      <c r="AA146" s="360" t="n"/>
    </row>
    <row r="147" ht="22.5" customHeight="1">
      <c r="A147" s="125" t="n"/>
      <c r="B147" s="125" t="n"/>
      <c r="C147" s="126" t="n"/>
      <c r="D147" s="125" t="n"/>
      <c r="E147" s="363">
        <f>+E4+E12+E17+E20+E25+E27+E31+E49+E53+E56+E59+E61+E67+E74+E78+E100+E102+E113</f>
        <v/>
      </c>
      <c r="F147" s="363">
        <f>+F4+F12+F17+F20+F25+F27+F31+F49+F53+F56+F59+F61+F67+F74+F78+F100+F102+F113</f>
        <v/>
      </c>
      <c r="G147" s="363">
        <f>SUM(G113,G102,G100,G78,G74,G67,G61,G59,G56,G53,G49,G31,G27,G25,G20,G17,G12,G4)</f>
        <v/>
      </c>
      <c r="H147" s="363">
        <f>SUM(H119,H113,H102,H100,H78,H74,H67,H61,H59,H56,H53,H49,H31,H27,H25,H20,H17,H12,H4)</f>
        <v/>
      </c>
      <c r="I147" s="363">
        <f>SUM(G147:H147)</f>
        <v/>
      </c>
      <c r="K147" s="364" t="n">
        <v>402</v>
      </c>
      <c r="L147" s="364" t="n">
        <v>90</v>
      </c>
      <c r="M147" s="364">
        <f>SUM(M113,M102,M100,M78,M74,M67,M61,M59,M56,M53,M49,M31,M27,M25,M20,M17,M12,M4)</f>
        <v/>
      </c>
      <c r="N147" s="364">
        <f>SUM(N119,N113,N102,N100,N78,N74,N67,N61,N59,N56,N53,N49,N31,N27,N25,N20,N17,N12,N4)</f>
        <v/>
      </c>
      <c r="O147" s="364">
        <f>SUM(M147:N147)</f>
        <v/>
      </c>
      <c r="Q147" s="364">
        <f>SUM(Q113,Q102,Q100,Q78,Q74,Q67,Q61,Q56,Q59,Q53,Q49,Q31,Q27,Q25,Q20,Q17,Q12,Q4)</f>
        <v/>
      </c>
      <c r="R147" s="364">
        <f>SUM(R113,R102,R100,R78,R74,R67,R61,R59,R56,R53,R49,R31,R27,R25,R20,R17,R12,R4)</f>
        <v/>
      </c>
      <c r="S147" s="364">
        <f>SUM(S113,S102,S100,S78,S74,S67,S61,S56,S53,S49,S31,S27,S25,S20,S17,S12,S4)</f>
        <v/>
      </c>
      <c r="T147" s="364">
        <f>SUM(T113,T102,T100,T78,T74,T67,T61,T59,T56,T53,T49,T31,T27,T25,T20,T17,T12,T4)</f>
        <v/>
      </c>
      <c r="U147" s="364">
        <f>SUM(U4,U12,U17,U20,U25,U27,U31,U49,U53,U56,U59,U61,U67,U74,U78,U100,U102,U113)</f>
        <v/>
      </c>
      <c r="W147" s="364">
        <f>SUM(W113,W102,W100,W78,W74,W67,W61,W59,W56,W53,W49,W31,W27,W25,W20,W17,W12)</f>
        <v/>
      </c>
      <c r="X147" s="364">
        <f>SUM(X113,X102,X100,X78,X74,X67,X61,X59,X56,X53,X49,X31,X27,X25,X20,X17,X12,X4)</f>
        <v/>
      </c>
      <c r="Y147" s="364">
        <f>SUM(Y113,Y102,Y100,Y78,Y74,Y67,Y61,Y59,Y56,Y53,Y49,Y31,Y27,Y25,Y20,Y17,Y12,Y4)</f>
        <v/>
      </c>
      <c r="Z147" s="364">
        <f>SUM(Z113,Z102,Z100,Z78,Z74,Z67,Z61,Z59,Z56,Z53,Z49,Z31,Z27,Z25,Z20,Z17,Z12,Z4)</f>
        <v/>
      </c>
      <c r="AA147" s="364">
        <f>SUM(AA113,AA102,AA100,AA78,AA74,AA67,AA61,AA59,AA56,AA53,AA49,AA31,AA27,AA25,AA20,AA17,AA12,AA4)</f>
        <v/>
      </c>
    </row>
    <row r="148" ht="15" customFormat="1" customHeight="1" s="348">
      <c r="C148" s="365" t="n"/>
      <c r="K148" s="366" t="n"/>
      <c r="Q148" s="366" t="n"/>
      <c r="W148" s="366" t="n"/>
    </row>
    <row r="149" ht="15" customFormat="1" customHeight="1" s="348">
      <c r="C149" s="365" t="n"/>
      <c r="K149" s="366" t="n"/>
      <c r="Q149" s="366" t="n"/>
      <c r="W149" s="366" t="n"/>
    </row>
    <row r="150" ht="15" customFormat="1" customHeight="1" s="348">
      <c r="C150" s="365" t="n"/>
      <c r="K150" s="366" t="n"/>
      <c r="Q150" s="366" t="n"/>
      <c r="W150" s="366" t="n"/>
    </row>
    <row r="151" ht="15" customFormat="1" customHeight="1" s="348">
      <c r="C151" s="365" t="n"/>
      <c r="K151" s="366" t="n"/>
      <c r="Q151" s="366" t="n"/>
      <c r="W151" s="366" t="n"/>
    </row>
    <row r="152" ht="15" customFormat="1" customHeight="1" s="348">
      <c r="C152" s="365" t="n"/>
      <c r="K152" s="366" t="n"/>
      <c r="Q152" s="366" t="n"/>
      <c r="W152" s="366" t="n"/>
    </row>
    <row r="153" ht="15" customFormat="1" customHeight="1" s="348">
      <c r="C153" s="365" t="n"/>
      <c r="K153" s="366" t="n"/>
      <c r="Q153" s="366" t="n"/>
      <c r="W153" s="366" t="n"/>
    </row>
    <row r="154" ht="15" customFormat="1" customHeight="1" s="348">
      <c r="C154" s="365" t="n"/>
      <c r="K154" s="366" t="n"/>
      <c r="Q154" s="366" t="n"/>
      <c r="W154" s="366" t="n"/>
    </row>
    <row r="155" ht="15" customFormat="1" customHeight="1" s="348">
      <c r="C155" s="365" t="n"/>
      <c r="K155" s="366" t="n"/>
      <c r="Q155" s="366" t="n"/>
      <c r="W155" s="366" t="n"/>
    </row>
    <row r="156" ht="15" customFormat="1" customHeight="1" s="348">
      <c r="C156" s="365" t="n"/>
      <c r="K156" s="366" t="n"/>
      <c r="Q156" s="366" t="n"/>
      <c r="W156" s="366" t="n"/>
    </row>
    <row r="157" ht="15" customFormat="1" customHeight="1" s="348">
      <c r="C157" s="365" t="n"/>
      <c r="K157" s="366" t="n"/>
      <c r="Q157" s="366" t="n"/>
      <c r="W157" s="366" t="n"/>
    </row>
    <row r="158" ht="15" customFormat="1" customHeight="1" s="348">
      <c r="C158" s="365" t="n"/>
      <c r="K158" s="366" t="n"/>
      <c r="Q158" s="366" t="n"/>
      <c r="W158" s="366" t="n"/>
    </row>
    <row r="160" ht="15" customFormat="1" customHeight="1" s="348">
      <c r="C160" s="365" t="n"/>
      <c r="K160" s="366" t="n"/>
      <c r="Q160" s="366" t="n"/>
      <c r="W160" s="366" t="n"/>
    </row>
    <row r="161" ht="15" customFormat="1" customHeight="1" s="348">
      <c r="C161" s="365" t="n"/>
      <c r="K161" s="366" t="n"/>
      <c r="Q161" s="366" t="n"/>
      <c r="W161" s="366" t="n"/>
    </row>
    <row r="162" ht="15" customFormat="1" customHeight="1" s="348">
      <c r="C162" s="365" t="n"/>
      <c r="K162" s="366" t="n"/>
      <c r="Q162" s="366" t="n"/>
      <c r="W162" s="366" t="n"/>
    </row>
    <row r="163" ht="15" customFormat="1" customHeight="1" s="348">
      <c r="C163" s="365" t="n"/>
      <c r="K163" s="366" t="n"/>
      <c r="Q163" s="366" t="n"/>
      <c r="W163" s="366" t="n"/>
    </row>
    <row r="164" ht="15" customFormat="1" customHeight="1" s="348">
      <c r="C164" s="365" t="n"/>
      <c r="K164" s="366" t="n"/>
      <c r="Q164" s="366" t="n"/>
      <c r="W164" s="366" t="n"/>
    </row>
    <row r="165" ht="15" customFormat="1" customHeight="1" s="348">
      <c r="C165" s="365" t="n"/>
      <c r="K165" s="366" t="n"/>
      <c r="Q165" s="366" t="n"/>
      <c r="W165" s="366" t="n"/>
    </row>
    <row r="166" ht="15" customFormat="1" customHeight="1" s="348">
      <c r="C166" s="365" t="n"/>
      <c r="K166" s="366" t="n"/>
      <c r="Q166" s="366" t="n"/>
      <c r="W166" s="366" t="n"/>
    </row>
    <row r="167" ht="15" customFormat="1" customHeight="1" s="348">
      <c r="C167" s="365" t="n"/>
      <c r="K167" s="366" t="n"/>
      <c r="Q167" s="366" t="n"/>
      <c r="W167" s="366" t="n"/>
    </row>
    <row r="168" ht="15" customFormat="1" customHeight="1" s="348">
      <c r="C168" s="365" t="n"/>
      <c r="K168" s="366" t="n"/>
      <c r="Q168" s="366" t="n"/>
      <c r="W168" s="366" t="n"/>
    </row>
    <row r="169" ht="15" customFormat="1" customHeight="1" s="348">
      <c r="C169" s="365" t="n"/>
      <c r="K169" s="366" t="n"/>
      <c r="Q169" s="366" t="n"/>
      <c r="W169" s="366" t="n"/>
    </row>
    <row r="170" ht="15" customFormat="1" customHeight="1" s="348">
      <c r="C170" s="365" t="n"/>
      <c r="K170" s="366" t="n"/>
      <c r="Q170" s="366" t="n"/>
      <c r="W170" s="366" t="n"/>
    </row>
  </sheetData>
  <mergeCells count="5">
    <mergeCell ref="A119:D119"/>
    <mergeCell ref="Q2:U2"/>
    <mergeCell ref="W2:AA2"/>
    <mergeCell ref="E2:I2"/>
    <mergeCell ref="K2:O2"/>
  </mergeCells>
  <conditionalFormatting sqref="B4 B5:C11 B12 B13:C16 B17 B18:C19 B20 B21:C24 B25 B26:C26 B27 B28:C30 B31 B32:C48 B49 B50:C52 B53 B54:C55 B56 B57:C58 B59 B60:C60 B61 B62:C66 B67 B68:C73 B74 B75:C77 B78 B79:C99 B100 B101:C101 B102 B103:C112 B113 B114:C118">
    <cfRule type="containsText" priority="32" operator="containsText" dxfId="6" text="SAUDI'S">
      <formula>NOT(ISERROR(SEARCH("SAUDI'S",B4)))</formula>
    </cfRule>
  </conditionalFormatting>
  <conditionalFormatting sqref="B120:C146">
    <cfRule type="containsText" priority="2" operator="containsText" dxfId="6" text="SAUDI'S">
      <formula>NOT(ISERROR(SEARCH("SAUDI'S",B120)))</formula>
    </cfRule>
  </conditionalFormatting>
  <conditionalFormatting sqref="D114:D118">
    <cfRule type="expression" priority="33" dxfId="3">
      <formula>IF(#REF!="CLOSED",1)</formula>
    </cfRule>
    <cfRule type="expression" priority="34" dxfId="2">
      <formula>IF(#REF!="OPEN",1)</formula>
    </cfRule>
    <cfRule type="expression" priority="35" dxfId="3">
      <formula>IF(#REF!="CLOSED",1)</formula>
    </cfRule>
    <cfRule type="expression" priority="36" dxfId="2">
      <formula>IF(#REF!="OPEN",1)</formula>
    </cfRule>
  </conditionalFormatting>
  <conditionalFormatting sqref="D120:D121">
    <cfRule type="expression" priority="13" dxfId="3">
      <formula>IF(#REF!="CLOSED",1)</formula>
    </cfRule>
    <cfRule type="expression" priority="14" dxfId="2">
      <formula>IF(#REF!="OPEN",1)</formula>
    </cfRule>
    <cfRule type="expression" priority="15" dxfId="3">
      <formula>IF(#REF!="CLOSED",1)</formula>
    </cfRule>
    <cfRule type="expression" priority="16" dxfId="2">
      <formula>IF(#REF!="OPEN",1)</formula>
    </cfRule>
  </conditionalFormatting>
  <dataValidations count="1">
    <dataValidation sqref="B5:B26 B28:B30 B32:B48 B50:B52 B54:B101 B103:B112 B114:B118 B120:B146 HN5:HN26 HN28:HN30 HN32:HN48 HN50:HN52 HN54:HN101 HN103:HN112 HN114:HN130 RJ5:RJ26 RJ28:RJ30 RJ32:RJ48 RJ50:RJ52 RJ54:RJ101 RJ103:RJ112 RJ114:RJ130 ABF5:ABF26 ABF28:ABF30 ABF32:ABF48 ABF50:ABF52 ABF54:ABF101 ABF103:ABF112 ABF114:ABF130 ALB5:ALB26 ALB28:ALB30 ALB32:ALB48 ALB50:ALB52 ALB54:ALB101 ALB103:ALB112 ALB114:ALB130 AUX5:AUX26 AUX28:AUX30 AUX32:AUX48 AUX50:AUX52 AUX54:AUX101 AUX103:AUX112 AUX114:AUX130 BET5:BET26 BET28:BET30 BET32:BET48 BET50:BET52 BET54:BET101 BET103:BET112 BET114:BET130 BOP5:BOP26 BOP28:BOP30 BOP32:BOP48 BOP50:BOP52 BOP54:BOP101 BOP103:BOP112 BOP114:BOP130 BYL5:BYL26 BYL28:BYL30 BYL32:BYL48 BYL50:BYL52 BYL54:BYL101 BYL103:BYL112 BYL114:BYL130 CIH5:CIH26 CIH28:CIH30 CIH32:CIH48 CIH50:CIH52 CIH54:CIH101 CIH103:CIH112 CIH114:CIH130 CSD5:CSD26 CSD28:CSD30 CSD32:CSD48 CSD50:CSD52 CSD54:CSD101 CSD103:CSD112 CSD114:CSD130 DBZ5:DBZ26 DBZ28:DBZ30 DBZ32:DBZ48 DBZ50:DBZ52 DBZ54:DBZ101 DBZ103:DBZ112 DBZ114:DBZ130 DLV5:DLV26 DLV28:DLV30 DLV32:DLV48 DLV50:DLV52 DLV54:DLV101 DLV103:DLV112 DLV114:DLV130 DVR5:DVR26 DVR28:DVR30 DVR32:DVR48 DVR50:DVR52 DVR54:DVR101 DVR103:DVR112 DVR114:DVR130 EFN5:EFN26 EFN28:EFN30 EFN32:EFN48 EFN50:EFN52 EFN54:EFN101 EFN103:EFN112 EFN114:EFN130 EPJ5:EPJ26 EPJ28:EPJ30 EPJ32:EPJ48 EPJ50:EPJ52 EPJ54:EPJ101 EPJ103:EPJ112 EPJ114:EPJ130 EZF5:EZF26 EZF28:EZF30 EZF32:EZF48 EZF50:EZF52 EZF54:EZF101 EZF103:EZF112 EZF114:EZF130 FJB5:FJB26 FJB28:FJB30 FJB32:FJB48 FJB50:FJB52 FJB54:FJB101 FJB103:FJB112 FJB114:FJB130 FSX5:FSX26 FSX28:FSX30 FSX32:FSX48 FSX50:FSX52 FSX54:FSX101 FSX103:FSX112 FSX114:FSX130 GCT5:GCT26 GCT28:GCT30 GCT32:GCT48 GCT50:GCT52 GCT54:GCT101 GCT103:GCT112 GCT114:GCT130 GMP5:GMP26 GMP28:GMP30 GMP32:GMP48 GMP50:GMP52 GMP54:GMP101 GMP103:GMP112 GMP114:GMP130 GWL5:GWL26 GWL28:GWL30 GWL32:GWL48 GWL50:GWL52 GWL54:GWL101 GWL103:GWL112 GWL114:GWL130 HGH5:HGH26 HGH28:HGH30 HGH32:HGH48 HGH50:HGH52 HGH54:HGH101 HGH103:HGH112 HGH114:HGH130 HQD5:HQD26 HQD28:HQD30 HQD32:HQD48 HQD50:HQD52 HQD54:HQD101 HQD103:HQD112 HQD114:HQD130 HZZ5:HZZ26 HZZ28:HZZ30 HZZ32:HZZ48 HZZ50:HZZ52 HZZ54:HZZ101 HZZ103:HZZ112 HZZ114:HZZ130 IJV5:IJV26 IJV28:IJV30 IJV32:IJV48 IJV50:IJV52 IJV54:IJV101 IJV103:IJV112 IJV114:IJV130 ITR5:ITR26 ITR28:ITR30 ITR32:ITR48 ITR50:ITR52 ITR54:ITR101 ITR103:ITR112 ITR114:ITR130 JDN5:JDN26 JDN28:JDN30 JDN32:JDN48 JDN50:JDN52 JDN54:JDN101 JDN103:JDN112 JDN114:JDN130 JNJ5:JNJ26 JNJ28:JNJ30 JNJ32:JNJ48 JNJ50:JNJ52 JNJ54:JNJ101 JNJ103:JNJ112 JNJ114:JNJ130 JXF5:JXF26 JXF28:JXF30 JXF32:JXF48 JXF50:JXF52 JXF54:JXF101 JXF103:JXF112 JXF114:JXF130 KHB5:KHB26 KHB28:KHB30 KHB32:KHB48 KHB50:KHB52 KHB54:KHB101 KHB103:KHB112 KHB114:KHB130 KQX5:KQX26 KQX28:KQX30 KQX32:KQX48 KQX50:KQX52 KQX54:KQX101 KQX103:KQX112 KQX114:KQX130 LAT5:LAT26 LAT28:LAT30 LAT32:LAT48 LAT50:LAT52 LAT54:LAT101 LAT103:LAT112 LAT114:LAT130 LKP5:LKP26 LKP28:LKP30 LKP32:LKP48 LKP50:LKP52 LKP54:LKP101 LKP103:LKP112 LKP114:LKP130 LUL5:LUL26 LUL28:LUL30 LUL32:LUL48 LUL50:LUL52 LUL54:LUL101 LUL103:LUL112 LUL114:LUL130 MEH5:MEH26 MEH28:MEH30 MEH32:MEH48 MEH50:MEH52 MEH54:MEH101 MEH103:MEH112 MEH114:MEH130 MOD5:MOD26 MOD28:MOD30 MOD32:MOD48 MOD50:MOD52 MOD54:MOD101 MOD103:MOD112 MOD114:MOD130 MXZ5:MXZ26 MXZ28:MXZ30 MXZ32:MXZ48 MXZ50:MXZ52 MXZ54:MXZ101 MXZ103:MXZ112 MXZ114:MXZ130 NHV5:NHV26 NHV28:NHV30 NHV32:NHV48 NHV50:NHV52 NHV54:NHV101 NHV103:NHV112 NHV114:NHV130 NRR5:NRR26 NRR28:NRR30 NRR32:NRR48 NRR50:NRR52 NRR54:NRR101 NRR103:NRR112 NRR114:NRR130 OBN5:OBN26 OBN28:OBN30 OBN32:OBN48 OBN50:OBN52 OBN54:OBN101 OBN103:OBN112 OBN114:OBN130 OLJ5:OLJ26 OLJ28:OLJ30 OLJ32:OLJ48 OLJ50:OLJ52 OLJ54:OLJ101 OLJ103:OLJ112 OLJ114:OLJ130 OVF5:OVF26 OVF28:OVF30 OVF32:OVF48 OVF50:OVF52 OVF54:OVF101 OVF103:OVF112 OVF114:OVF130 PFB5:PFB26 PFB28:PFB30 PFB32:PFB48 PFB50:PFB52 PFB54:PFB101 PFB103:PFB112 PFB114:PFB130 POX5:POX26 POX28:POX30 POX32:POX48 POX50:POX52 POX54:POX101 POX103:POX112 POX114:POX130 PYT5:PYT26 PYT28:PYT30 PYT32:PYT48 PYT50:PYT52 PYT54:PYT101 PYT103:PYT112 PYT114:PYT130 QIP5:QIP26 QIP28:QIP30 QIP32:QIP48 QIP50:QIP52 QIP54:QIP101 QIP103:QIP112 QIP114:QIP130 QSL5:QSL26 QSL28:QSL30 QSL32:QSL48 QSL50:QSL52 QSL54:QSL101 QSL103:QSL112 QSL114:QSL130 RCH5:RCH26 RCH28:RCH30 RCH32:RCH48 RCH50:RCH52 RCH54:RCH101 RCH103:RCH112 RCH114:RCH130 RMD5:RMD26 RMD28:RMD30 RMD32:RMD48 RMD50:RMD52 RMD54:RMD101 RMD103:RMD112 RMD114:RMD130 RVZ5:RVZ26 RVZ28:RVZ30 RVZ32:RVZ48 RVZ50:RVZ52 RVZ54:RVZ101 RVZ103:RVZ112 RVZ114:RVZ130 SFV5:SFV26 SFV28:SFV30 SFV32:SFV48 SFV50:SFV52 SFV54:SFV101 SFV103:SFV112 SFV114:SFV130 SPR5:SPR26 SPR28:SPR30 SPR32:SPR48 SPR50:SPR52 SPR54:SPR101 SPR103:SPR112 SPR114:SPR130 SZN5:SZN26 SZN28:SZN30 SZN32:SZN48 SZN50:SZN52 SZN54:SZN101 SZN103:SZN112 SZN114:SZN130 TJJ5:TJJ26 TJJ28:TJJ30 TJJ32:TJJ48 TJJ50:TJJ52 TJJ54:TJJ101 TJJ103:TJJ112 TJJ114:TJJ130 TTF5:TTF26 TTF28:TTF30 TTF32:TTF48 TTF50:TTF52 TTF54:TTF101 TTF103:TTF112 TTF114:TTF130 UDB5:UDB26 UDB28:UDB30 UDB32:UDB48 UDB50:UDB52 UDB54:UDB101 UDB103:UDB112 UDB114:UDB130 UMX5:UMX26 UMX28:UMX30 UMX32:UMX48 UMX50:UMX52 UMX54:UMX101 UMX103:UMX112 UMX114:UMX130 UWT5:UWT26 UWT28:UWT30 UWT32:UWT48 UWT50:UWT52 UWT54:UWT101 UWT103:UWT112 UWT114:UWT130 VGP5:VGP26 VGP28:VGP30 VGP32:VGP48 VGP50:VGP52 VGP54:VGP101 VGP103:VGP112 VGP114:VGP130 VQL5:VQL26 VQL28:VQL30 VQL32:VQL48 VQL50:VQL52 VQL54:VQL101 VQL103:VQL112 VQL114:VQL130 WAH5:WAH26 WAH28:WAH30 WAH32:WAH48 WAH50:WAH52 WAH54:WAH101 WAH103:WAH112 WAH114:WAH130 WKD5:WKD26 WKD28:WKD30 WKD32:WKD48 WKD50:WKD52 WKD54:WKD101 WKD103:WKD112 WKD114:WKD130 WTZ5:WTZ26 WTZ28:WTZ30 WTZ32:WTZ48 WTZ50:WTZ52 WTZ54:WTZ101 WTZ103:WTZ112 WTZ114:WTZ130" showDropDown="0" showInputMessage="1" showErrorMessage="1" allowBlank="1" type="list">
      <formula1>#REF!</formula1>
      <formula2>0</formula2>
    </dataValidation>
  </dataValidations>
  <pageMargins left="0.7" right="0.7" top="0.75" bottom="0.75" header="0.511811023622047" footer="0.511811023622047"/>
  <pageSetup orientation="portrait" paperSize="9" scale="20" fitToHeight="0" horizontalDpi="300" verticalDpi="300"/>
</worksheet>
</file>

<file path=xl/worksheets/sheet2.xml><?xml version="1.0" encoding="utf-8"?>
<worksheet xmlns="http://schemas.openxmlformats.org/spreadsheetml/2006/main">
  <sheetPr>
    <tabColor rgb="FFF6C6AD"/>
    <outlinePr summaryBelow="1" summaryRight="1"/>
    <pageSetUpPr fitToPage="1"/>
  </sheetPr>
  <dimension ref="A1:AJ1083"/>
  <sheetViews>
    <sheetView zoomScale="80" zoomScaleNormal="80" workbookViewId="0">
      <pane ySplit="3" topLeftCell="A576" activePane="bottomLeft" state="frozen"/>
      <selection pane="bottomLeft" activeCell="H2" sqref="H1:H1048576"/>
    </sheetView>
  </sheetViews>
  <sheetFormatPr baseColWidth="8" defaultColWidth="9.375" defaultRowHeight="12.75"/>
  <cols>
    <col width="36.875" customWidth="1" style="1" min="1" max="1"/>
    <col width="14.75" customWidth="1" style="2" min="2" max="3"/>
    <col width="14.75" customWidth="1" style="3" min="4" max="4"/>
    <col width="41" customWidth="1" style="4" min="5" max="5"/>
    <col width="25.875" customWidth="1" style="1" min="6" max="6"/>
    <col width="14.75" customWidth="1" style="1" min="7" max="8"/>
    <col width="14.75" customWidth="1" style="2" min="9" max="9"/>
    <col width="14.625" customWidth="1" style="492" min="10" max="10"/>
    <col width="29.625" customWidth="1" style="5" min="11" max="11"/>
    <col width="35.375" customWidth="1" style="6" min="12" max="12"/>
    <col width="1" customWidth="1" style="1" min="13" max="13"/>
    <col width="31.75" customWidth="1" style="7" min="14" max="14"/>
    <col width="10.75" customWidth="1" style="7" min="15" max="16"/>
    <col width="1.875" customWidth="1" style="7" min="17" max="17"/>
    <col width="9.375" customWidth="1" style="7" min="18" max="18"/>
    <col width="9.375" customWidth="1" style="7" min="19" max="16384"/>
  </cols>
  <sheetData>
    <row r="1" ht="74.25" customHeight="1">
      <c r="A1" s="426" t="inlineStr">
        <is>
          <t>ON-SITE WORKFORCE- LOWER PLATEU- QIDDIYA CITY</t>
        </is>
      </c>
      <c r="B1" s="427" t="n"/>
      <c r="C1" s="427" t="n"/>
      <c r="D1" s="427" t="n"/>
      <c r="E1" s="427" t="n"/>
      <c r="F1" s="427" t="n"/>
      <c r="G1" s="427" t="n"/>
      <c r="H1" s="427" t="n"/>
      <c r="I1" s="427" t="n"/>
      <c r="J1" s="427" t="n"/>
      <c r="K1" s="427" t="n"/>
      <c r="L1" s="427" t="n"/>
      <c r="N1" s="454" t="inlineStr">
        <is>
          <t xml:space="preserve">PROJECT WORKFORCE SUMMARY </t>
        </is>
      </c>
      <c r="O1" s="455" t="n"/>
      <c r="P1" s="444" t="n"/>
      <c r="Q1" s="1" t="n"/>
      <c r="R1" s="1" t="n"/>
      <c r="S1" s="1" t="n"/>
      <c r="T1" s="1" t="n"/>
      <c r="U1" s="1" t="n"/>
      <c r="V1" s="1" t="n"/>
      <c r="W1" s="1" t="n"/>
      <c r="X1" s="1" t="n"/>
      <c r="Y1" s="1" t="n"/>
      <c r="Z1" s="1" t="n"/>
      <c r="AA1" s="1" t="n"/>
      <c r="AB1" s="1" t="n"/>
      <c r="AC1" s="1" t="n"/>
      <c r="AD1" s="1" t="n"/>
      <c r="AE1" s="1" t="n"/>
      <c r="AF1" s="1" t="n"/>
      <c r="AG1" s="1" t="n"/>
      <c r="AH1" s="1" t="n"/>
      <c r="AI1" s="1" t="n"/>
      <c r="AJ1" s="1" t="n"/>
    </row>
    <row r="2" ht="0.75" customHeight="1">
      <c r="B2" s="1" t="n"/>
      <c r="C2" s="1" t="n"/>
      <c r="D2" s="1" t="n"/>
      <c r="I2" s="1" t="n"/>
      <c r="J2" s="493" t="n"/>
      <c r="K2" s="4" t="n"/>
      <c r="L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row>
    <row r="3" ht="33" customHeight="1">
      <c r="A3" s="8" t="inlineStr">
        <is>
          <t>Position</t>
        </is>
      </c>
      <c r="B3" s="9" t="inlineStr">
        <is>
          <t>Contractual Requirement</t>
        </is>
      </c>
      <c r="C3" s="9" t="inlineStr">
        <is>
          <t>On-Site Availability</t>
        </is>
      </c>
      <c r="D3" s="9" t="inlineStr">
        <is>
          <t>Vacant Position</t>
        </is>
      </c>
      <c r="E3" s="10" t="inlineStr">
        <is>
          <t>Emaployee Name</t>
        </is>
      </c>
      <c r="F3" s="11" t="inlineStr">
        <is>
          <t>Decipline</t>
        </is>
      </c>
      <c r="G3" s="12" t="inlineStr">
        <is>
          <t>ID</t>
        </is>
      </c>
      <c r="H3" s="11" t="inlineStr">
        <is>
          <t>Iqama</t>
        </is>
      </c>
      <c r="I3" s="12" t="inlineStr">
        <is>
          <t>Status</t>
        </is>
      </c>
      <c r="J3" s="494" t="inlineStr">
        <is>
          <t xml:space="preserve"> Deployement Date</t>
        </is>
      </c>
      <c r="K3" s="13" t="inlineStr">
        <is>
          <t>Sponsor</t>
        </is>
      </c>
      <c r="L3" s="13" t="inlineStr">
        <is>
          <t>Remarks/Notes</t>
        </is>
      </c>
      <c r="N3" s="14" t="inlineStr">
        <is>
          <t>Date</t>
        </is>
      </c>
      <c r="O3" s="495">
        <f>TODAY()</f>
        <v/>
      </c>
      <c r="P3" s="444" t="n"/>
      <c r="Q3" s="1" t="n"/>
      <c r="R3" s="1" t="n"/>
      <c r="S3" s="1" t="n"/>
      <c r="T3" s="1" t="n"/>
      <c r="U3" s="1" t="n"/>
      <c r="V3" s="1" t="n"/>
      <c r="W3" s="1" t="n"/>
      <c r="X3" s="1" t="n"/>
      <c r="Y3" s="1" t="n"/>
      <c r="Z3" s="1" t="n"/>
      <c r="AA3" s="1" t="n"/>
      <c r="AB3" s="1" t="n"/>
      <c r="AC3" s="1" t="n"/>
      <c r="AD3" s="1" t="n"/>
      <c r="AE3" s="1" t="n"/>
      <c r="AF3" s="1" t="n"/>
      <c r="AG3" s="1" t="n"/>
      <c r="AH3" s="1" t="n"/>
      <c r="AI3" s="1" t="n"/>
      <c r="AJ3" s="1" t="n"/>
    </row>
    <row r="4" ht="15" customHeight="1">
      <c r="A4" s="458" t="inlineStr">
        <is>
          <t>Relationship Officer</t>
        </is>
      </c>
      <c r="B4" s="440" t="n">
        <v>1</v>
      </c>
      <c r="C4" s="449">
        <f>COUNTIF(E4,"&lt;&gt;")</f>
        <v/>
      </c>
      <c r="D4" s="432">
        <f>C4-B4</f>
        <v/>
      </c>
      <c r="E4" s="14" t="inlineStr">
        <is>
          <t>Dhaiallah Turki Alrooqi</t>
        </is>
      </c>
      <c r="F4" s="425" t="inlineStr">
        <is>
          <t>Site Management</t>
        </is>
      </c>
      <c r="G4" s="460" t="n">
        <v>703568</v>
      </c>
      <c r="H4" s="460" t="n">
        <v>1092777745</v>
      </c>
      <c r="I4" s="425" t="inlineStr">
        <is>
          <t>Approved</t>
        </is>
      </c>
      <c r="J4" s="496" t="n">
        <v>45594</v>
      </c>
      <c r="K4" s="14" t="inlineStr">
        <is>
          <t>FMCO</t>
        </is>
      </c>
      <c r="L4" s="14" t="inlineStr">
        <is>
          <t>-</t>
        </is>
      </c>
      <c r="N4" s="15" t="n"/>
      <c r="O4" s="497" t="n"/>
      <c r="P4" s="498" t="n"/>
      <c r="Q4" s="1" t="n"/>
      <c r="R4" s="1" t="n"/>
      <c r="S4" s="1" t="n"/>
      <c r="T4" s="1" t="n"/>
      <c r="U4" s="1" t="n"/>
      <c r="V4" s="1" t="n"/>
      <c r="W4" s="1" t="n"/>
      <c r="X4" s="1" t="n"/>
      <c r="Y4" s="1" t="n"/>
      <c r="Z4" s="1" t="n"/>
      <c r="AA4" s="1" t="n"/>
      <c r="AB4" s="1" t="n"/>
      <c r="AC4" s="1" t="n"/>
      <c r="AD4" s="1" t="n"/>
      <c r="AE4" s="1" t="n"/>
      <c r="AF4" s="1" t="n"/>
      <c r="AG4" s="1" t="n"/>
      <c r="AH4" s="1" t="n"/>
      <c r="AI4" s="1" t="n"/>
      <c r="AJ4" s="1" t="n"/>
    </row>
    <row r="5" ht="15" customHeight="1">
      <c r="A5" s="430" t="inlineStr">
        <is>
          <t>Facility Manager</t>
        </is>
      </c>
      <c r="B5" s="442" t="n">
        <v>1</v>
      </c>
      <c r="C5" s="449">
        <f>COUNTIF(E5,"&lt;&gt;")</f>
        <v/>
      </c>
      <c r="D5" s="432">
        <f>C5-B5</f>
        <v/>
      </c>
      <c r="E5" s="18" t="n"/>
      <c r="F5" s="425" t="inlineStr">
        <is>
          <t>Site Management</t>
        </is>
      </c>
      <c r="G5" s="19" t="inlineStr">
        <is>
          <t>-</t>
        </is>
      </c>
      <c r="H5" s="460" t="inlineStr">
        <is>
          <t>-</t>
        </is>
      </c>
      <c r="I5" s="425" t="inlineStr">
        <is>
          <t>Vacant</t>
        </is>
      </c>
      <c r="J5" s="499" t="n"/>
      <c r="K5" s="14" t="inlineStr">
        <is>
          <t>-</t>
        </is>
      </c>
      <c r="L5" s="20" t="inlineStr">
        <is>
          <t>-</t>
        </is>
      </c>
      <c r="N5" s="21" t="inlineStr">
        <is>
          <t>Approved</t>
        </is>
      </c>
      <c r="O5" s="457">
        <f>COUNTIF(I4:I519,"approved")</f>
        <v/>
      </c>
      <c r="P5" s="444" t="n"/>
      <c r="Q5" s="1" t="n"/>
      <c r="R5" s="1" t="n"/>
      <c r="S5" s="1" t="n"/>
      <c r="T5" s="1" t="n"/>
      <c r="U5" s="1" t="n"/>
      <c r="V5" s="1" t="n"/>
      <c r="W5" s="1" t="n"/>
      <c r="X5" s="1" t="n"/>
      <c r="Y5" s="1" t="n"/>
      <c r="Z5" s="1" t="n"/>
      <c r="AA5" s="1" t="n"/>
      <c r="AB5" s="1" t="n"/>
      <c r="AC5" s="1" t="n"/>
      <c r="AD5" s="1" t="n"/>
      <c r="AE5" s="1" t="n"/>
      <c r="AF5" s="1" t="n"/>
      <c r="AG5" s="1" t="n"/>
      <c r="AH5" s="1" t="n"/>
      <c r="AI5" s="1" t="n"/>
      <c r="AJ5" s="1" t="n"/>
    </row>
    <row r="6" ht="15" customHeight="1">
      <c r="A6" s="430" t="inlineStr">
        <is>
          <t>Hard Service Manager</t>
        </is>
      </c>
      <c r="B6" s="442" t="n">
        <v>1</v>
      </c>
      <c r="C6" s="449">
        <f>COUNTIF(E6,"&lt;&gt;")</f>
        <v/>
      </c>
      <c r="D6" s="432">
        <f>C6-B6</f>
        <v/>
      </c>
      <c r="E6" s="22" t="inlineStr">
        <is>
          <t>Aman Hassan Khan</t>
        </is>
      </c>
      <c r="F6" s="425" t="inlineStr">
        <is>
          <t>Site Management</t>
        </is>
      </c>
      <c r="G6" s="19" t="inlineStr">
        <is>
          <t>-</t>
        </is>
      </c>
      <c r="H6" s="460" t="n">
        <v>2639647003</v>
      </c>
      <c r="I6" s="425" t="inlineStr">
        <is>
          <t>Approved</t>
        </is>
      </c>
      <c r="J6" s="499" t="n"/>
      <c r="K6" s="14" t="inlineStr">
        <is>
          <t>-</t>
        </is>
      </c>
      <c r="L6" s="23" t="inlineStr">
        <is>
          <t>-</t>
        </is>
      </c>
      <c r="N6" s="24" t="inlineStr">
        <is>
          <t>Rejected</t>
        </is>
      </c>
      <c r="O6" s="468">
        <f>COUNTIF(I4:I335,"Rejected")</f>
        <v/>
      </c>
      <c r="P6" s="444" t="n"/>
      <c r="Q6" s="1" t="n"/>
      <c r="R6" s="1" t="n"/>
      <c r="S6" s="1" t="n"/>
      <c r="T6" s="1" t="n"/>
      <c r="U6" s="1" t="n"/>
      <c r="V6" s="1" t="n"/>
      <c r="W6" s="1" t="n"/>
      <c r="X6" s="1" t="n"/>
      <c r="Y6" s="1" t="n"/>
      <c r="Z6" s="1" t="n"/>
      <c r="AA6" s="1" t="n"/>
      <c r="AB6" s="1" t="n"/>
      <c r="AC6" s="1" t="n"/>
      <c r="AD6" s="1" t="n"/>
      <c r="AE6" s="1" t="n"/>
      <c r="AF6" s="1" t="n"/>
      <c r="AG6" s="1" t="n"/>
      <c r="AH6" s="1" t="n"/>
      <c r="AI6" s="1" t="n"/>
      <c r="AJ6" s="1" t="n"/>
    </row>
    <row r="7" ht="15" customHeight="1">
      <c r="A7" s="430" t="inlineStr">
        <is>
          <t>Soft Service Manager</t>
        </is>
      </c>
      <c r="B7" s="442" t="n">
        <v>1</v>
      </c>
      <c r="C7" s="449">
        <f>COUNTIF(E7,"&lt;&gt;")</f>
        <v/>
      </c>
      <c r="D7" s="432">
        <f>C7-B7</f>
        <v/>
      </c>
      <c r="E7" s="22" t="inlineStr">
        <is>
          <t>Mohammad Fawaaz</t>
        </is>
      </c>
      <c r="F7" s="425" t="inlineStr">
        <is>
          <t>Site Management</t>
        </is>
      </c>
      <c r="G7" s="460" t="n">
        <v>700503</v>
      </c>
      <c r="H7" s="460" t="n">
        <v>2509595225</v>
      </c>
      <c r="I7" s="425" t="inlineStr">
        <is>
          <t>Approved</t>
        </is>
      </c>
      <c r="J7" s="496" t="n">
        <v>45936</v>
      </c>
      <c r="K7" s="14" t="inlineStr">
        <is>
          <t>FMCO</t>
        </is>
      </c>
      <c r="L7" s="20" t="n"/>
      <c r="N7" s="25" t="inlineStr">
        <is>
          <t xml:space="preserve">Vacant Positions </t>
        </is>
      </c>
      <c r="O7" s="467">
        <f>COUNTIF(I4:I156,"Vacant")+COUNTIF(I161:I519,"Vacant")</f>
        <v/>
      </c>
      <c r="P7" s="444" t="n"/>
      <c r="Q7" s="1" t="n"/>
      <c r="R7" s="1" t="n"/>
      <c r="S7" s="1" t="n"/>
      <c r="T7" s="1" t="n"/>
      <c r="U7" s="1" t="n"/>
      <c r="V7" s="1" t="n"/>
      <c r="W7" s="1" t="n"/>
      <c r="X7" s="1" t="n"/>
      <c r="Y7" s="1" t="n"/>
      <c r="Z7" s="1" t="n"/>
      <c r="AA7" s="1" t="n"/>
      <c r="AB7" s="1" t="n"/>
      <c r="AC7" s="1" t="n"/>
      <c r="AD7" s="1" t="n"/>
      <c r="AE7" s="1" t="n"/>
      <c r="AF7" s="1" t="n"/>
      <c r="AG7" s="1" t="n"/>
      <c r="AH7" s="1" t="n"/>
      <c r="AI7" s="1" t="n"/>
      <c r="AJ7" s="1" t="n"/>
    </row>
    <row r="8" ht="15" customHeight="1">
      <c r="A8" s="445" t="inlineStr">
        <is>
          <t>Office/HR Manager</t>
        </is>
      </c>
      <c r="B8" s="440" t="n">
        <v>1</v>
      </c>
      <c r="C8" s="440">
        <f>COUNTIF(E8,"&lt;&gt;")</f>
        <v/>
      </c>
      <c r="D8" s="441">
        <f>C8-B8</f>
        <v/>
      </c>
      <c r="E8" s="22" t="inlineStr">
        <is>
          <t>Ibrahim Khalid Alzabari</t>
        </is>
      </c>
      <c r="F8" s="26" t="inlineStr">
        <is>
          <t>Site Management</t>
        </is>
      </c>
      <c r="G8" s="27" t="n">
        <v>704105</v>
      </c>
      <c r="H8" s="19" t="n">
        <v>1090531748</v>
      </c>
      <c r="I8" s="425" t="inlineStr">
        <is>
          <t>Approved</t>
        </is>
      </c>
      <c r="J8" s="496" t="n">
        <v>46054</v>
      </c>
      <c r="K8" s="28" t="inlineStr">
        <is>
          <t>FMCO</t>
        </is>
      </c>
      <c r="L8" s="23" t="n"/>
      <c r="N8" s="21" t="inlineStr">
        <is>
          <t>Total Workforce on Site</t>
        </is>
      </c>
      <c r="O8" s="457">
        <f>COUNTIF(E4:E30,"&lt;&gt;")+COUNTIF(E35:E156,"&lt;&gt;")+COUNTIF(E161:E397,"&lt;&gt;")+COUNTIF(E402:E410,"&lt;&gt;")+COUNTIF(E415:E424,"&lt;&gt;")+COUNTIF(E429:E513,"&lt;&gt;")+COUNTIF(E518:E519,"&lt;&gt;")</f>
        <v/>
      </c>
      <c r="P8" s="444" t="n"/>
      <c r="Q8" s="1" t="n"/>
      <c r="R8" s="1" t="n"/>
      <c r="S8" s="1" t="n"/>
      <c r="T8" s="1" t="n"/>
      <c r="U8" s="1" t="n"/>
      <c r="V8" s="1" t="n"/>
      <c r="W8" s="1" t="n"/>
      <c r="X8" s="1" t="n"/>
      <c r="Y8" s="1" t="n"/>
      <c r="Z8" s="1" t="n"/>
      <c r="AA8" s="1" t="n"/>
      <c r="AB8" s="1" t="n"/>
      <c r="AC8" s="1" t="n"/>
      <c r="AD8" s="1" t="n"/>
      <c r="AE8" s="1" t="n"/>
      <c r="AF8" s="1" t="n"/>
      <c r="AG8" s="1" t="n"/>
      <c r="AH8" s="1" t="n"/>
      <c r="AI8" s="1" t="n"/>
      <c r="AJ8" s="1" t="n"/>
    </row>
    <row r="9" ht="15" customHeight="1">
      <c r="A9" s="445" t="inlineStr">
        <is>
          <t>Hard Service Coordinator</t>
        </is>
      </c>
      <c r="B9" s="440" t="n">
        <v>1</v>
      </c>
      <c r="C9" s="440">
        <f>COUNTIF(E9,"&lt;&gt;")</f>
        <v/>
      </c>
      <c r="D9" s="441">
        <f>C9-B9</f>
        <v/>
      </c>
      <c r="E9" s="14" t="inlineStr">
        <is>
          <t>AFTAB ALAM</t>
        </is>
      </c>
      <c r="F9" s="425" t="inlineStr">
        <is>
          <t>Site Management</t>
        </is>
      </c>
      <c r="G9" s="425" t="n">
        <v>704409</v>
      </c>
      <c r="H9" s="29" t="n">
        <v>2641660333</v>
      </c>
      <c r="I9" s="425" t="inlineStr">
        <is>
          <t>Approved</t>
        </is>
      </c>
      <c r="J9" s="496" t="n">
        <v>46236</v>
      </c>
      <c r="K9" s="14" t="inlineStr">
        <is>
          <t>FMCO</t>
        </is>
      </c>
      <c r="L9" s="23" t="inlineStr">
        <is>
          <t>-</t>
        </is>
      </c>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row>
    <row r="10" ht="15" customHeight="1">
      <c r="A10" s="430" t="inlineStr">
        <is>
          <t>Soft Service Coordinator</t>
        </is>
      </c>
      <c r="B10" s="442" t="n">
        <v>1</v>
      </c>
      <c r="C10" s="449">
        <f>COUNTIF(E10,"&lt;&gt;")</f>
        <v/>
      </c>
      <c r="D10" s="432">
        <f>C10-B10</f>
        <v/>
      </c>
      <c r="E10" s="30" t="inlineStr">
        <is>
          <t>Zahid Mehmood Mukhtar AR Rasool</t>
        </is>
      </c>
      <c r="F10" s="425" t="inlineStr">
        <is>
          <t>Site Management</t>
        </is>
      </c>
      <c r="G10" s="460" t="n">
        <v>701802</v>
      </c>
      <c r="H10" s="460" t="n">
        <v>2537616134</v>
      </c>
      <c r="I10" s="425" t="inlineStr">
        <is>
          <t>Approved</t>
        </is>
      </c>
      <c r="J10" s="496" t="n">
        <v>46148</v>
      </c>
      <c r="K10" s="14" t="inlineStr">
        <is>
          <t>FMCO</t>
        </is>
      </c>
      <c r="L10" s="20" t="n"/>
      <c r="N10" s="31" t="inlineStr">
        <is>
          <t>Back-End/Additional Staff</t>
        </is>
      </c>
      <c r="O10" s="443">
        <f>COUNTIF(E524:E634,"&lt;&gt;")</f>
        <v/>
      </c>
      <c r="P10" s="444" t="n"/>
      <c r="Q10" s="1" t="n"/>
      <c r="R10" s="1" t="n"/>
      <c r="S10" s="1" t="n"/>
      <c r="T10" s="1" t="n"/>
      <c r="U10" s="1" t="n"/>
      <c r="V10" s="1" t="n"/>
      <c r="W10" s="1" t="n"/>
      <c r="X10" s="1" t="n"/>
      <c r="Y10" s="1" t="n"/>
      <c r="Z10" s="1" t="n"/>
      <c r="AA10" s="1" t="n"/>
      <c r="AB10" s="1" t="n"/>
      <c r="AC10" s="1" t="n"/>
      <c r="AD10" s="1" t="n"/>
      <c r="AE10" s="1" t="n"/>
      <c r="AF10" s="1" t="n"/>
      <c r="AG10" s="1" t="n"/>
      <c r="AH10" s="1" t="n"/>
      <c r="AI10" s="1" t="n"/>
      <c r="AJ10" s="1" t="n"/>
    </row>
    <row r="11" ht="15" customHeight="1">
      <c r="A11" s="430" t="inlineStr">
        <is>
          <t>Project Admin</t>
        </is>
      </c>
      <c r="B11" s="442" t="n">
        <v>2</v>
      </c>
      <c r="C11" s="449">
        <f>COUNTIF(E11:E12,"&lt;&gt;")</f>
        <v/>
      </c>
      <c r="D11" s="432">
        <f>C11-B11</f>
        <v/>
      </c>
      <c r="E11" s="30" t="inlineStr">
        <is>
          <t>Hamsappa Kanjiramkunnath</t>
        </is>
      </c>
      <c r="F11" s="425" t="inlineStr">
        <is>
          <t>Site Management</t>
        </is>
      </c>
      <c r="G11" s="460" t="n">
        <v>702232</v>
      </c>
      <c r="H11" s="460" t="n">
        <v>2546258522</v>
      </c>
      <c r="I11" s="425" t="inlineStr">
        <is>
          <t>Approved</t>
        </is>
      </c>
      <c r="J11" s="496" t="n">
        <v>46157</v>
      </c>
      <c r="K11" s="14" t="inlineStr">
        <is>
          <t>FMCO</t>
        </is>
      </c>
      <c r="L11" s="23" t="inlineStr">
        <is>
          <t>ON VACATION</t>
        </is>
      </c>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row>
    <row r="12" ht="15" customHeight="1">
      <c r="A12" s="431" t="n"/>
      <c r="B12" s="431" t="n"/>
      <c r="C12" s="431" t="n"/>
      <c r="D12" s="431" t="n"/>
      <c r="E12" s="32" t="inlineStr">
        <is>
          <t>Md Shadab Khan</t>
        </is>
      </c>
      <c r="F12" s="425" t="inlineStr">
        <is>
          <t>Site Management</t>
        </is>
      </c>
      <c r="G12" s="460" t="inlineStr">
        <is>
          <t>EM-0003026</t>
        </is>
      </c>
      <c r="H12" s="460" t="n">
        <v>2617052853</v>
      </c>
      <c r="I12" s="425" t="inlineStr">
        <is>
          <t>Approved</t>
        </is>
      </c>
      <c r="J12" s="496" t="n">
        <v>45954</v>
      </c>
      <c r="K12" s="14" t="inlineStr">
        <is>
          <t>AL-FALAK VISA</t>
        </is>
      </c>
      <c r="L12" s="23" t="inlineStr">
        <is>
          <t>-</t>
        </is>
      </c>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row>
    <row r="13" ht="15" customHeight="1">
      <c r="A13" s="430" t="inlineStr">
        <is>
          <t>IMAM for Mosque</t>
        </is>
      </c>
      <c r="B13" s="442" t="n">
        <v>2</v>
      </c>
      <c r="C13" s="449">
        <f>COUNTIF(E13:E14,"&lt;&gt;")</f>
        <v/>
      </c>
      <c r="D13" s="432">
        <f>C13-B13</f>
        <v/>
      </c>
      <c r="E13" s="30" t="inlineStr">
        <is>
          <t>Mohammed Wajahatullah Khan</t>
        </is>
      </c>
      <c r="F13" s="425" t="inlineStr">
        <is>
          <t>Site Management</t>
        </is>
      </c>
      <c r="G13" s="460" t="n">
        <v>703211</v>
      </c>
      <c r="H13" s="460" t="n">
        <v>2578280436</v>
      </c>
      <c r="I13" s="425" t="inlineStr">
        <is>
          <t>Approved</t>
        </is>
      </c>
      <c r="J13" s="496" t="n">
        <v>45702</v>
      </c>
      <c r="K13" s="14" t="inlineStr">
        <is>
          <t>FMCO</t>
        </is>
      </c>
      <c r="L13" s="20" t="inlineStr">
        <is>
          <t>-</t>
        </is>
      </c>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row>
    <row r="14" ht="15" customHeight="1">
      <c r="A14" s="431" t="n"/>
      <c r="B14" s="431" t="n"/>
      <c r="C14" s="431" t="n"/>
      <c r="D14" s="431" t="n"/>
      <c r="E14" s="30" t="inlineStr">
        <is>
          <t>Mohsen Fahhad Alqahtani</t>
        </is>
      </c>
      <c r="F14" s="425" t="inlineStr">
        <is>
          <t>Site Management</t>
        </is>
      </c>
      <c r="G14" s="460" t="n">
        <v>703619</v>
      </c>
      <c r="H14" s="460" t="n">
        <v>1003053392</v>
      </c>
      <c r="I14" s="425" t="inlineStr">
        <is>
          <t>Approved</t>
        </is>
      </c>
      <c r="J14" s="496" t="n">
        <v>45620</v>
      </c>
      <c r="K14" s="14" t="inlineStr">
        <is>
          <t>FMCO</t>
        </is>
      </c>
      <c r="L14" s="23" t="inlineStr">
        <is>
          <t>-</t>
        </is>
      </c>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row>
    <row r="15" ht="15" customHeight="1">
      <c r="A15" s="430" t="inlineStr">
        <is>
          <t>Warehouse In-Charge</t>
        </is>
      </c>
      <c r="B15" s="442" t="n">
        <v>1</v>
      </c>
      <c r="C15" s="449">
        <f>COUNTIF(E15,"&lt;&gt;")</f>
        <v/>
      </c>
      <c r="D15" s="432">
        <f>C15-B15</f>
        <v/>
      </c>
      <c r="E15" s="30" t="inlineStr">
        <is>
          <t xml:space="preserve">Imran Shareef </t>
        </is>
      </c>
      <c r="F15" s="425" t="inlineStr">
        <is>
          <t>Site Management</t>
        </is>
      </c>
      <c r="G15" s="460" t="n">
        <v>700730</v>
      </c>
      <c r="H15" s="460" t="n">
        <v>2519688010</v>
      </c>
      <c r="I15" s="425" t="inlineStr">
        <is>
          <t>Approved</t>
        </is>
      </c>
      <c r="J15" s="496" t="n">
        <v>46075</v>
      </c>
      <c r="K15" s="14" t="inlineStr">
        <is>
          <t>FMCO</t>
        </is>
      </c>
      <c r="L15" s="23" t="inlineStr">
        <is>
          <t>-</t>
        </is>
      </c>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c r="AJ15" s="1" t="n"/>
    </row>
    <row r="16" ht="15" customHeight="1">
      <c r="A16" s="430" t="inlineStr">
        <is>
          <t>CAFM/Helpdesk Operator</t>
        </is>
      </c>
      <c r="B16" s="442" t="n">
        <v>3</v>
      </c>
      <c r="C16" s="449">
        <f>COUNTIF(E16:E18,"&lt;&gt;")</f>
        <v/>
      </c>
      <c r="D16" s="432">
        <f>C16-B16</f>
        <v/>
      </c>
      <c r="E16" s="30" t="inlineStr">
        <is>
          <t>Laurence Nino Conoza Caniban</t>
        </is>
      </c>
      <c r="F16" s="425" t="inlineStr">
        <is>
          <t>Site Management</t>
        </is>
      </c>
      <c r="G16" s="460" t="n">
        <v>704182</v>
      </c>
      <c r="H16" s="460" t="n">
        <v>2460720101</v>
      </c>
      <c r="I16" s="425" t="inlineStr">
        <is>
          <t>Approved</t>
        </is>
      </c>
      <c r="J16" s="496" t="n">
        <v>46116</v>
      </c>
      <c r="K16" s="14" t="inlineStr">
        <is>
          <t>FMCO</t>
        </is>
      </c>
      <c r="L16" s="23" t="inlineStr">
        <is>
          <t>-</t>
        </is>
      </c>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row>
    <row r="17" ht="15" customHeight="1">
      <c r="A17" s="429" t="n"/>
      <c r="B17" s="429" t="n"/>
      <c r="C17" s="429" t="n"/>
      <c r="D17" s="429" t="n"/>
      <c r="E17" s="32" t="inlineStr">
        <is>
          <t>Mohammad Wasim Khan</t>
        </is>
      </c>
      <c r="F17" s="425" t="inlineStr">
        <is>
          <t>Site Management</t>
        </is>
      </c>
      <c r="G17" s="460" t="inlineStr">
        <is>
          <t>C00716</t>
        </is>
      </c>
      <c r="H17" s="460" t="n">
        <v>2582388803</v>
      </c>
      <c r="I17" s="425" t="inlineStr">
        <is>
          <t>Approved</t>
        </is>
      </c>
      <c r="J17" s="496" t="n">
        <v>45586</v>
      </c>
      <c r="K17" s="14" t="inlineStr">
        <is>
          <t>MEHAN VISA</t>
        </is>
      </c>
      <c r="L17" s="23" t="inlineStr">
        <is>
          <t>-</t>
        </is>
      </c>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c r="AJ17" s="1" t="n"/>
    </row>
    <row r="18" ht="15" customHeight="1">
      <c r="A18" s="431" t="n"/>
      <c r="B18" s="431" t="n"/>
      <c r="C18" s="431" t="n"/>
      <c r="D18" s="431" t="n"/>
      <c r="E18" s="32" t="inlineStr">
        <is>
          <t>ALMUTAIRI LAYALI AWWADH B</t>
        </is>
      </c>
      <c r="F18" s="425" t="inlineStr">
        <is>
          <t>Site Management</t>
        </is>
      </c>
      <c r="G18" s="460" t="n">
        <v>704424</v>
      </c>
      <c r="H18" s="460" t="inlineStr">
        <is>
          <t>1091247682</t>
        </is>
      </c>
      <c r="I18" s="425" t="inlineStr">
        <is>
          <t>Approved</t>
        </is>
      </c>
      <c r="J18" s="496" t="n">
        <v>46222</v>
      </c>
      <c r="K18" s="14" t="inlineStr">
        <is>
          <t>FMCO</t>
        </is>
      </c>
      <c r="L18" s="20"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row>
    <row r="19" ht="15" customHeight="1">
      <c r="A19" s="430" t="inlineStr">
        <is>
          <t>Accomodation In-Charge</t>
        </is>
      </c>
      <c r="B19" s="442" t="n">
        <v>1</v>
      </c>
      <c r="C19" s="449">
        <f>COUNTIF(E19,"&lt;&gt;")</f>
        <v/>
      </c>
      <c r="D19" s="432">
        <f>C19-B19</f>
        <v/>
      </c>
      <c r="E19" s="32" t="inlineStr">
        <is>
          <t>Faik Fakir</t>
        </is>
      </c>
      <c r="F19" s="425" t="inlineStr">
        <is>
          <t>Site Management</t>
        </is>
      </c>
      <c r="G19" s="460" t="n">
        <v>704070</v>
      </c>
      <c r="H19" s="460" t="n">
        <v>2519913814</v>
      </c>
      <c r="I19" s="425" t="inlineStr">
        <is>
          <t>Approved</t>
        </is>
      </c>
      <c r="J19" s="496" t="n">
        <v>46004</v>
      </c>
      <c r="K19" s="14" t="inlineStr">
        <is>
          <t>FMCO</t>
        </is>
      </c>
      <c r="L19" s="23" t="inlineStr">
        <is>
          <t>-</t>
        </is>
      </c>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row>
    <row r="20" ht="15" customHeight="1">
      <c r="A20" s="430" t="inlineStr">
        <is>
          <t>I'D Issuing In-Charge</t>
        </is>
      </c>
      <c r="B20" s="442" t="n">
        <v>2</v>
      </c>
      <c r="C20" s="449">
        <f>COUNTIF(E20:E21,"&lt;&gt;")</f>
        <v/>
      </c>
      <c r="D20" s="432">
        <f>C20-B20</f>
        <v/>
      </c>
      <c r="E20" s="32" t="inlineStr">
        <is>
          <t>MD. Noor Alam</t>
        </is>
      </c>
      <c r="F20" s="425" t="inlineStr">
        <is>
          <t>Site Management</t>
        </is>
      </c>
      <c r="G20" s="460" t="inlineStr">
        <is>
          <t>EM-0002489</t>
        </is>
      </c>
      <c r="H20" s="460" t="n">
        <v>2582875890</v>
      </c>
      <c r="I20" s="425" t="inlineStr">
        <is>
          <t>Approved</t>
        </is>
      </c>
      <c r="J20" s="496" t="n">
        <v>45586</v>
      </c>
      <c r="K20" s="14" t="inlineStr">
        <is>
          <t>AL-FALAK VISA</t>
        </is>
      </c>
      <c r="L20" s="23" t="inlineStr">
        <is>
          <t>-</t>
        </is>
      </c>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row>
    <row r="21" ht="15" customHeight="1">
      <c r="A21" s="431" t="n"/>
      <c r="B21" s="431" t="n"/>
      <c r="C21" s="431" t="n"/>
      <c r="D21" s="431" t="n"/>
      <c r="E21" s="32" t="inlineStr">
        <is>
          <t>Mohammad Arif Mohammad Haque</t>
        </is>
      </c>
      <c r="F21" s="425" t="inlineStr">
        <is>
          <t>Site Management</t>
        </is>
      </c>
      <c r="G21" s="460" t="n">
        <v>701122</v>
      </c>
      <c r="H21" s="460" t="n">
        <v>2482105208</v>
      </c>
      <c r="I21" s="425" t="inlineStr">
        <is>
          <t>Approved</t>
        </is>
      </c>
      <c r="J21" s="496" t="n">
        <v>45932</v>
      </c>
      <c r="K21" s="14" t="inlineStr">
        <is>
          <t>FMCO</t>
        </is>
      </c>
      <c r="L21" s="23" t="inlineStr">
        <is>
          <t>-</t>
        </is>
      </c>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row>
    <row r="22" ht="15" customHeight="1">
      <c r="A22" s="430" t="inlineStr">
        <is>
          <t>Accomodation Admin</t>
        </is>
      </c>
      <c r="B22" s="442" t="n">
        <v>4</v>
      </c>
      <c r="C22" s="449">
        <f>COUNTIF(E22:E25,"&lt;&gt;")</f>
        <v/>
      </c>
      <c r="D22" s="432">
        <f>C22-B22</f>
        <v/>
      </c>
      <c r="E22" s="32" t="inlineStr">
        <is>
          <t>Mahammadu Imriyas</t>
        </is>
      </c>
      <c r="F22" s="425" t="inlineStr">
        <is>
          <t>Site Management</t>
        </is>
      </c>
      <c r="G22" s="460" t="inlineStr">
        <is>
          <t>-</t>
        </is>
      </c>
      <c r="H22" s="460" t="n">
        <v>2522862370</v>
      </c>
      <c r="I22" s="425" t="inlineStr">
        <is>
          <t>Approved</t>
        </is>
      </c>
      <c r="J22" s="496" t="n">
        <v>46168</v>
      </c>
      <c r="K22" s="14" t="inlineStr">
        <is>
          <t>AL-FALAK VISA</t>
        </is>
      </c>
      <c r="L22" s="23" t="inlineStr">
        <is>
          <t>-</t>
        </is>
      </c>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row>
    <row r="23" ht="15" customHeight="1">
      <c r="A23" s="429" t="n"/>
      <c r="B23" s="429" t="n"/>
      <c r="C23" s="429" t="n"/>
      <c r="D23" s="429" t="n"/>
      <c r="E23" s="32" t="n"/>
      <c r="F23" s="425" t="inlineStr">
        <is>
          <t>Site Management</t>
        </is>
      </c>
      <c r="G23" s="460" t="n"/>
      <c r="H23" s="460" t="n"/>
      <c r="I23" s="425" t="inlineStr">
        <is>
          <t>Vacant</t>
        </is>
      </c>
      <c r="J23" s="496" t="n"/>
      <c r="K23" s="14" t="n"/>
      <c r="L23" s="23" t="inlineStr">
        <is>
          <t>-</t>
        </is>
      </c>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row>
    <row r="24" ht="15" customHeight="1">
      <c r="A24" s="429" t="n"/>
      <c r="B24" s="429" t="n"/>
      <c r="C24" s="429" t="n"/>
      <c r="D24" s="429" t="n"/>
      <c r="E24" s="30" t="inlineStr">
        <is>
          <t>Sheik Najbudeen</t>
        </is>
      </c>
      <c r="F24" s="425" t="inlineStr">
        <is>
          <t>Site Management</t>
        </is>
      </c>
      <c r="G24" s="460" t="inlineStr">
        <is>
          <t>-</t>
        </is>
      </c>
      <c r="H24" s="460" t="n">
        <v>2582156854</v>
      </c>
      <c r="I24" s="425" t="inlineStr">
        <is>
          <t>Additional</t>
        </is>
      </c>
      <c r="J24" s="496" t="n">
        <v>46220</v>
      </c>
      <c r="K24" s="14" t="inlineStr">
        <is>
          <t>-</t>
        </is>
      </c>
      <c r="L24" s="23" t="inlineStr">
        <is>
          <t>-</t>
        </is>
      </c>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row>
    <row r="25" ht="15" customHeight="1">
      <c r="A25" s="431" t="n"/>
      <c r="B25" s="431" t="n"/>
      <c r="C25" s="431" t="n"/>
      <c r="D25" s="431" t="n"/>
      <c r="E25" s="32" t="inlineStr">
        <is>
          <t>Mohammed Shahadat</t>
        </is>
      </c>
      <c r="F25" s="425" t="inlineStr">
        <is>
          <t>Site Management</t>
        </is>
      </c>
      <c r="G25" s="460" t="inlineStr">
        <is>
          <t>-</t>
        </is>
      </c>
      <c r="H25" s="460" t="n">
        <v>2627936251</v>
      </c>
      <c r="I25" s="425" t="inlineStr">
        <is>
          <t>Approved</t>
        </is>
      </c>
      <c r="J25" s="496" t="n">
        <v>46208</v>
      </c>
      <c r="K25" s="14" t="inlineStr">
        <is>
          <t>MEHAN VISA</t>
        </is>
      </c>
      <c r="L25" s="23" t="inlineStr">
        <is>
          <t>-</t>
        </is>
      </c>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row>
    <row r="26" ht="15" customHeight="1">
      <c r="A26" s="430" t="inlineStr">
        <is>
          <t>Key Custodian</t>
        </is>
      </c>
      <c r="B26" s="442" t="n">
        <v>2</v>
      </c>
      <c r="C26" s="449">
        <f>COUNTIF(E26:E27,"&lt;&gt;")</f>
        <v/>
      </c>
      <c r="D26" s="432">
        <f>C26-B26</f>
        <v/>
      </c>
      <c r="E26" s="32" t="inlineStr">
        <is>
          <t>Syadehtesham Askari</t>
        </is>
      </c>
      <c r="F26" s="425" t="inlineStr">
        <is>
          <t>Site Management</t>
        </is>
      </c>
      <c r="G26" s="460" t="inlineStr">
        <is>
          <t>C00767</t>
        </is>
      </c>
      <c r="H26" s="460" t="n">
        <v>2583742446</v>
      </c>
      <c r="I26" s="425" t="inlineStr">
        <is>
          <t>Approved</t>
        </is>
      </c>
      <c r="J26" s="496" t="n">
        <v>45586</v>
      </c>
      <c r="K26" s="14" t="inlineStr">
        <is>
          <t>MEHAN VISA</t>
        </is>
      </c>
      <c r="L26" s="23" t="inlineStr">
        <is>
          <t>-</t>
        </is>
      </c>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row>
    <row r="27" ht="15" customHeight="1">
      <c r="A27" s="431" t="n"/>
      <c r="B27" s="431" t="n"/>
      <c r="C27" s="431" t="n"/>
      <c r="D27" s="431" t="n"/>
      <c r="E27" s="32" t="inlineStr">
        <is>
          <t>Abdul Kalam</t>
        </is>
      </c>
      <c r="F27" s="425" t="inlineStr">
        <is>
          <t>Site Management</t>
        </is>
      </c>
      <c r="G27" s="460" t="inlineStr">
        <is>
          <t>GV105</t>
        </is>
      </c>
      <c r="H27" s="460" t="n">
        <v>2584233916</v>
      </c>
      <c r="I27" s="425" t="inlineStr">
        <is>
          <t>Approved</t>
        </is>
      </c>
      <c r="J27" s="496" t="n">
        <v>45585</v>
      </c>
      <c r="K27" s="14" t="inlineStr">
        <is>
          <t>Gulf Vision ( RENTAL)</t>
        </is>
      </c>
      <c r="L27" s="23" t="inlineStr">
        <is>
          <t>-</t>
        </is>
      </c>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row>
    <row r="28" ht="15" customHeight="1">
      <c r="A28" s="430" t="inlineStr">
        <is>
          <t>Document Controller</t>
        </is>
      </c>
      <c r="B28" s="442" t="n">
        <v>2</v>
      </c>
      <c r="C28" s="449">
        <f>COUNTIF(E28:E28,"&lt;&gt;")</f>
        <v/>
      </c>
      <c r="D28" s="432">
        <f>C28-B28</f>
        <v/>
      </c>
      <c r="E28" s="32" t="inlineStr">
        <is>
          <t>Yawar Abbas Naqvi</t>
        </is>
      </c>
      <c r="F28" s="425" t="inlineStr">
        <is>
          <t>Site Management</t>
        </is>
      </c>
      <c r="G28" s="460" t="inlineStr">
        <is>
          <t>C00779</t>
        </is>
      </c>
      <c r="H28" s="460" t="n">
        <v>2584343483</v>
      </c>
      <c r="I28" s="425" t="inlineStr">
        <is>
          <t>Approved</t>
        </is>
      </c>
      <c r="J28" s="496" t="n">
        <v>45586</v>
      </c>
      <c r="K28" s="14" t="inlineStr">
        <is>
          <t>MEHAN VISA</t>
        </is>
      </c>
      <c r="L28" s="23" t="inlineStr">
        <is>
          <t>-</t>
        </is>
      </c>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row>
    <row r="29" ht="15" customHeight="1">
      <c r="A29" s="431" t="n"/>
      <c r="B29" s="431" t="n"/>
      <c r="C29" s="431" t="n"/>
      <c r="D29" s="431" t="n"/>
      <c r="E29" s="32" t="inlineStr">
        <is>
          <t>VASANTHAN RAJAVENI DHANASEKARAN</t>
        </is>
      </c>
      <c r="F29" s="425" t="inlineStr">
        <is>
          <t>Site Management</t>
        </is>
      </c>
      <c r="G29" s="33" t="inlineStr">
        <is>
          <t>-</t>
        </is>
      </c>
      <c r="H29" s="460" t="inlineStr">
        <is>
          <t>T6995483-</t>
        </is>
      </c>
      <c r="I29" s="425" t="inlineStr">
        <is>
          <t>Approved</t>
        </is>
      </c>
      <c r="J29" s="496" t="n">
        <v>46268</v>
      </c>
      <c r="K29" s="34" t="inlineStr">
        <is>
          <t>-</t>
        </is>
      </c>
      <c r="L29" s="23" t="inlineStr">
        <is>
          <t>-</t>
        </is>
      </c>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row>
    <row r="30" ht="15" customHeight="1">
      <c r="A30" s="430" t="inlineStr">
        <is>
          <t>Procuement Officer</t>
        </is>
      </c>
      <c r="B30" s="442" t="n">
        <v>1</v>
      </c>
      <c r="C30" s="449">
        <f>COUNTIF(E30,"&lt;&gt;")</f>
        <v/>
      </c>
      <c r="D30" s="432">
        <f>C30-B30</f>
        <v/>
      </c>
      <c r="E30" s="32" t="inlineStr">
        <is>
          <t>Anand Shankar Awasthi</t>
        </is>
      </c>
      <c r="F30" s="425" t="inlineStr">
        <is>
          <t>Site Management</t>
        </is>
      </c>
      <c r="G30" s="460" t="inlineStr">
        <is>
          <t>C00544</t>
        </is>
      </c>
      <c r="H30" s="460" t="n">
        <v>2580204234</v>
      </c>
      <c r="I30" s="425" t="inlineStr">
        <is>
          <t>Approved</t>
        </is>
      </c>
      <c r="J30" s="496" t="n">
        <v>45736</v>
      </c>
      <c r="K30" s="14" t="inlineStr">
        <is>
          <t>MEHAN VISA</t>
        </is>
      </c>
      <c r="L30" s="23" t="inlineStr">
        <is>
          <t>-</t>
        </is>
      </c>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row>
    <row r="31" ht="26.25" customHeight="1">
      <c r="A31" s="35" t="inlineStr">
        <is>
          <t>Total Team 
Site Management</t>
        </is>
      </c>
      <c r="B31" s="36" t="inlineStr">
        <is>
          <t>Contractual Requirement</t>
        </is>
      </c>
      <c r="C31" s="36" t="inlineStr">
        <is>
          <t>Approved</t>
        </is>
      </c>
      <c r="D31" s="36" t="inlineStr">
        <is>
          <t>Vacant Position</t>
        </is>
      </c>
      <c r="E31" s="37" t="inlineStr">
        <is>
          <t>Rejected</t>
        </is>
      </c>
      <c r="F31" s="38" t="inlineStr">
        <is>
          <t xml:space="preserve">Additional </t>
        </is>
      </c>
      <c r="G31" s="38" t="inlineStr">
        <is>
          <t>ID</t>
        </is>
      </c>
      <c r="H31" s="38" t="inlineStr">
        <is>
          <t>Iqama</t>
        </is>
      </c>
      <c r="I31" s="39" t="n"/>
      <c r="J31" s="500" t="n"/>
      <c r="K31" s="40" t="n"/>
      <c r="L31" s="37" t="inlineStr">
        <is>
          <t>Remarks/Notes</t>
        </is>
      </c>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row>
    <row r="32" ht="15" customHeight="1">
      <c r="A32" s="36">
        <f>COUNTIF(E5:E30,"&lt;&gt;")</f>
        <v/>
      </c>
      <c r="B32" s="36">
        <f>SUM(B4:B30)</f>
        <v/>
      </c>
      <c r="C32" s="36">
        <f>COUNTIF(I4:I30,"Approved")</f>
        <v/>
      </c>
      <c r="D32" s="36">
        <f>COUNTIF(I4:I30,"Vacant")</f>
        <v/>
      </c>
      <c r="E32" s="41">
        <f>COUNTIF(I4:I30,"Rejected")</f>
        <v/>
      </c>
      <c r="F32" s="38">
        <f>COUNTIF(I4:I30,"Additional ")</f>
        <v/>
      </c>
      <c r="G32" s="38">
        <f>COUNTIF(G4:G30,"-")</f>
        <v/>
      </c>
      <c r="H32" s="38">
        <f>COUNTIF(H4:H30,"-")</f>
        <v/>
      </c>
      <c r="I32" s="42" t="n"/>
      <c r="J32" s="501" t="n"/>
      <c r="K32" s="43" t="n"/>
      <c r="L32" s="42" t="n"/>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row>
    <row r="33" ht="2.25" customHeight="1">
      <c r="A33" s="44" t="n"/>
      <c r="B33" s="45" t="n"/>
      <c r="C33" s="45" t="n"/>
      <c r="D33" s="45" t="n"/>
      <c r="E33" s="46" t="n"/>
      <c r="F33" s="46" t="n"/>
      <c r="G33" s="46" t="n"/>
      <c r="H33" s="46" t="n"/>
      <c r="I33" s="46" t="n"/>
      <c r="J33" s="502" t="n"/>
      <c r="K33" s="47" t="n"/>
      <c r="L33" s="48" t="n"/>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row>
    <row r="34" ht="26.25" customHeight="1">
      <c r="A34" s="8" t="inlineStr">
        <is>
          <t>Position</t>
        </is>
      </c>
      <c r="B34" s="9" t="inlineStr">
        <is>
          <t>Contractual Requirement</t>
        </is>
      </c>
      <c r="C34" s="9" t="inlineStr">
        <is>
          <t>Current Availability</t>
        </is>
      </c>
      <c r="D34" s="9" t="inlineStr">
        <is>
          <t>Vacant Position</t>
        </is>
      </c>
      <c r="E34" s="10" t="inlineStr">
        <is>
          <t>Emaployee Name</t>
        </is>
      </c>
      <c r="F34" s="11" t="inlineStr">
        <is>
          <t>Decipline</t>
        </is>
      </c>
      <c r="G34" s="12" t="inlineStr">
        <is>
          <t>ID</t>
        </is>
      </c>
      <c r="H34" s="11" t="inlineStr">
        <is>
          <t>Shift</t>
        </is>
      </c>
      <c r="I34" s="12" t="inlineStr">
        <is>
          <t>Status</t>
        </is>
      </c>
      <c r="J34" s="503" t="n"/>
      <c r="K34" s="49" t="n"/>
      <c r="L34" s="13" t="inlineStr">
        <is>
          <t>Remarks/Notes</t>
        </is>
      </c>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row>
    <row r="35" ht="15" customHeight="1">
      <c r="A35" s="430" t="inlineStr">
        <is>
          <t>Facility Engineer</t>
        </is>
      </c>
      <c r="B35" s="442" t="n">
        <v>2</v>
      </c>
      <c r="C35" s="449">
        <f>COUNTIF(E35:E36,"&lt;&gt;")</f>
        <v/>
      </c>
      <c r="D35" s="432">
        <f>C35-B35</f>
        <v/>
      </c>
      <c r="E35" s="22" t="inlineStr">
        <is>
          <t>Abdullah Sifat Ullah</t>
        </is>
      </c>
      <c r="F35" s="26" t="inlineStr">
        <is>
          <t>Hard Service</t>
        </is>
      </c>
      <c r="G35" s="27" t="n">
        <v>704252</v>
      </c>
      <c r="H35" s="19" t="n">
        <v>2530865985</v>
      </c>
      <c r="I35" s="425" t="inlineStr">
        <is>
          <t>Approved</t>
        </is>
      </c>
      <c r="J35" s="496" t="n">
        <v>46149</v>
      </c>
      <c r="K35" s="28" t="inlineStr">
        <is>
          <t>FMCO</t>
        </is>
      </c>
      <c r="L35" s="23" t="inlineStr">
        <is>
          <t>-</t>
        </is>
      </c>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row>
    <row r="36" ht="15" customHeight="1">
      <c r="A36" s="431" t="n"/>
      <c r="B36" s="431" t="n"/>
      <c r="C36" s="431" t="n"/>
      <c r="D36" s="431" t="n"/>
      <c r="E36" s="32" t="inlineStr">
        <is>
          <t>Mir Asif Ali</t>
        </is>
      </c>
      <c r="F36" s="50" t="inlineStr">
        <is>
          <t>Hard Service</t>
        </is>
      </c>
      <c r="G36" s="460" t="n">
        <v>700554</v>
      </c>
      <c r="H36" s="460" t="n">
        <v>2335527848</v>
      </c>
      <c r="I36" s="425" t="inlineStr">
        <is>
          <t>Approved</t>
        </is>
      </c>
      <c r="J36" s="496" t="n">
        <v>45839</v>
      </c>
      <c r="K36" s="14" t="inlineStr">
        <is>
          <t>FMCO</t>
        </is>
      </c>
      <c r="L36" s="23" t="inlineStr">
        <is>
          <t>-</t>
        </is>
      </c>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row>
    <row r="37" ht="15" customHeight="1">
      <c r="A37" s="430" t="inlineStr">
        <is>
          <t>Supervisor MEP</t>
        </is>
      </c>
      <c r="B37" s="442" t="n">
        <v>4</v>
      </c>
      <c r="C37" s="449">
        <f>COUNTIF(E37:E40,"&lt;&gt;")</f>
        <v/>
      </c>
      <c r="D37" s="432">
        <f>C37-B37</f>
        <v/>
      </c>
      <c r="E37" s="32" t="inlineStr">
        <is>
          <t>Danish Ahmed</t>
        </is>
      </c>
      <c r="F37" s="50" t="inlineStr">
        <is>
          <t>Hard Service</t>
        </is>
      </c>
      <c r="G37" s="460" t="n">
        <v>700517</v>
      </c>
      <c r="H37" s="460" t="n">
        <v>2510865138</v>
      </c>
      <c r="I37" s="425" t="inlineStr">
        <is>
          <t>Approved</t>
        </is>
      </c>
      <c r="J37" s="496" t="n">
        <v>45592</v>
      </c>
      <c r="K37" s="14" t="inlineStr">
        <is>
          <t>FMCO</t>
        </is>
      </c>
      <c r="L37" s="23" t="inlineStr">
        <is>
          <t>-</t>
        </is>
      </c>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row>
    <row r="38" ht="15" customHeight="1">
      <c r="A38" s="429" t="n"/>
      <c r="B38" s="429" t="n"/>
      <c r="C38" s="429" t="n"/>
      <c r="D38" s="429" t="n"/>
      <c r="E38" s="22" t="inlineStr">
        <is>
          <t>Mohammad Sabuz</t>
        </is>
      </c>
      <c r="F38" s="26" t="inlineStr">
        <is>
          <t>Hard Service</t>
        </is>
      </c>
      <c r="G38" s="27" t="n">
        <v>702132</v>
      </c>
      <c r="H38" s="19" t="n">
        <v>2397519402</v>
      </c>
      <c r="I38" s="425" t="inlineStr">
        <is>
          <t>Approved</t>
        </is>
      </c>
      <c r="J38" s="496" t="n">
        <v>46015</v>
      </c>
      <c r="K38" s="28" t="inlineStr">
        <is>
          <t>FMCO VISA</t>
        </is>
      </c>
      <c r="L38" s="23" t="inlineStr">
        <is>
          <t>-</t>
        </is>
      </c>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row>
    <row r="39" ht="15" customHeight="1">
      <c r="A39" s="429" t="n"/>
      <c r="B39" s="429" t="n"/>
      <c r="C39" s="429" t="n"/>
      <c r="D39" s="429" t="n"/>
      <c r="E39" s="32" t="inlineStr">
        <is>
          <t>Habeeb Mohammed Mizauddin</t>
        </is>
      </c>
      <c r="F39" s="50" t="inlineStr">
        <is>
          <t>Hard Service</t>
        </is>
      </c>
      <c r="G39" s="460" t="n">
        <v>700633</v>
      </c>
      <c r="H39" s="460" t="n">
        <v>2516599863</v>
      </c>
      <c r="I39" s="425" t="inlineStr">
        <is>
          <t>Approved</t>
        </is>
      </c>
      <c r="J39" s="496" t="n">
        <v>45902</v>
      </c>
      <c r="K39" s="14" t="inlineStr">
        <is>
          <t>FMCO</t>
        </is>
      </c>
      <c r="L39" s="23" t="inlineStr">
        <is>
          <t>-</t>
        </is>
      </c>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row>
    <row r="40" ht="15" customHeight="1">
      <c r="A40" s="431" t="n"/>
      <c r="B40" s="431" t="n"/>
      <c r="C40" s="431" t="n"/>
      <c r="D40" s="431" t="n"/>
      <c r="E40" s="32" t="inlineStr">
        <is>
          <t>Mohammad Tarique Anwar</t>
        </is>
      </c>
      <c r="F40" s="50" t="inlineStr">
        <is>
          <t>Hard Service</t>
        </is>
      </c>
      <c r="G40" s="460" t="inlineStr">
        <is>
          <t>EM-0001932</t>
        </is>
      </c>
      <c r="H40" s="460" t="n">
        <v>2583856360</v>
      </c>
      <c r="I40" s="425" t="inlineStr">
        <is>
          <t>Approved</t>
        </is>
      </c>
      <c r="J40" s="496" t="n">
        <v>45600</v>
      </c>
      <c r="K40" s="14" t="inlineStr">
        <is>
          <t>AL-FALAK VISA</t>
        </is>
      </c>
      <c r="L40" s="23" t="inlineStr">
        <is>
          <t>-</t>
        </is>
      </c>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row>
    <row r="41" ht="15" customHeight="1">
      <c r="A41" s="430" t="inlineStr">
        <is>
          <t>Utility/GEN</t>
        </is>
      </c>
      <c r="B41" s="442" t="n">
        <v>4</v>
      </c>
      <c r="C41" s="449">
        <f>COUNTIF(E41:E44,"&lt;&gt;")</f>
        <v/>
      </c>
      <c r="D41" s="432">
        <f>C41-B41</f>
        <v/>
      </c>
      <c r="E41" s="32" t="inlineStr">
        <is>
          <t xml:space="preserve">Satendra Yadav </t>
        </is>
      </c>
      <c r="F41" s="50" t="inlineStr">
        <is>
          <t>Hard Service</t>
        </is>
      </c>
      <c r="G41" s="460" t="inlineStr">
        <is>
          <t>EM-0003046</t>
        </is>
      </c>
      <c r="H41" s="460" t="n">
        <v>2618552034</v>
      </c>
      <c r="I41" s="425" t="inlineStr">
        <is>
          <t>Approved</t>
        </is>
      </c>
      <c r="J41" s="496" t="n">
        <v>46087</v>
      </c>
      <c r="K41" s="14" t="inlineStr">
        <is>
          <t>AL-FALAK VISA</t>
        </is>
      </c>
      <c r="L41" s="23" t="inlineStr">
        <is>
          <t>-</t>
        </is>
      </c>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row>
    <row r="42" ht="15" customHeight="1">
      <c r="A42" s="429" t="n"/>
      <c r="B42" s="429" t="n"/>
      <c r="C42" s="429" t="n"/>
      <c r="D42" s="429" t="n"/>
      <c r="E42" s="51" t="inlineStr">
        <is>
          <t>Sugriv Yadav</t>
        </is>
      </c>
      <c r="F42" s="50" t="inlineStr">
        <is>
          <t>Hard Service</t>
        </is>
      </c>
      <c r="G42" s="19" t="inlineStr">
        <is>
          <t>-</t>
        </is>
      </c>
      <c r="H42" s="460" t="n">
        <v>2519689133</v>
      </c>
      <c r="I42" s="425" t="inlineStr">
        <is>
          <t>Approved</t>
        </is>
      </c>
      <c r="J42" s="496" t="n">
        <v>46087</v>
      </c>
      <c r="K42" s="14" t="inlineStr">
        <is>
          <t>FMCO</t>
        </is>
      </c>
      <c r="L42" s="23" t="inlineStr">
        <is>
          <t>-</t>
        </is>
      </c>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row>
    <row r="43" ht="15" customHeight="1">
      <c r="A43" s="429" t="n"/>
      <c r="B43" s="429" t="n"/>
      <c r="C43" s="429" t="n"/>
      <c r="D43" s="429" t="n"/>
      <c r="E43" s="52" t="n"/>
      <c r="F43" s="29" t="inlineStr">
        <is>
          <t>Hard Service</t>
        </is>
      </c>
      <c r="G43" s="425" t="inlineStr">
        <is>
          <t>-</t>
        </is>
      </c>
      <c r="H43" s="29" t="inlineStr">
        <is>
          <t>-</t>
        </is>
      </c>
      <c r="I43" s="425" t="inlineStr">
        <is>
          <t>Vacant</t>
        </is>
      </c>
      <c r="J43" s="499" t="n"/>
      <c r="K43" s="14" t="inlineStr">
        <is>
          <t>-</t>
        </is>
      </c>
      <c r="L43" s="23" t="inlineStr">
        <is>
          <t>-</t>
        </is>
      </c>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row>
    <row r="44" ht="15" customHeight="1">
      <c r="A44" s="431" t="n"/>
      <c r="B44" s="431" t="n"/>
      <c r="C44" s="431" t="n"/>
      <c r="D44" s="431" t="n"/>
      <c r="E44" s="52" t="n"/>
      <c r="F44" s="29" t="inlineStr">
        <is>
          <t>Hard Service</t>
        </is>
      </c>
      <c r="G44" s="425" t="inlineStr">
        <is>
          <t>-</t>
        </is>
      </c>
      <c r="H44" s="29" t="inlineStr">
        <is>
          <t>-</t>
        </is>
      </c>
      <c r="I44" s="425" t="inlineStr">
        <is>
          <t>Vacant</t>
        </is>
      </c>
      <c r="J44" s="499" t="n"/>
      <c r="K44" s="14" t="inlineStr">
        <is>
          <t>-</t>
        </is>
      </c>
      <c r="L44" s="23" t="inlineStr">
        <is>
          <t>-</t>
        </is>
      </c>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row>
    <row r="45" ht="15" customHeight="1">
      <c r="A45" s="430" t="inlineStr">
        <is>
          <t>Multi-Skilled Technician</t>
        </is>
      </c>
      <c r="B45" s="442" t="n">
        <v>4</v>
      </c>
      <c r="C45" s="449">
        <f>COUNTIF(E45:E48,"&lt;&gt;")</f>
        <v/>
      </c>
      <c r="D45" s="432">
        <f>C45-B45</f>
        <v/>
      </c>
      <c r="E45" s="32" t="inlineStr">
        <is>
          <t>MD. Saiyadain Alam</t>
        </is>
      </c>
      <c r="F45" s="50" t="inlineStr">
        <is>
          <t>Hard Service</t>
        </is>
      </c>
      <c r="G45" s="460" t="inlineStr">
        <is>
          <t>EM-0001934</t>
        </is>
      </c>
      <c r="H45" s="460" t="n">
        <v>2583857301</v>
      </c>
      <c r="I45" s="425" t="inlineStr">
        <is>
          <t>Approved</t>
        </is>
      </c>
      <c r="J45" s="496" t="n">
        <v>45600</v>
      </c>
      <c r="K45" s="14" t="inlineStr">
        <is>
          <t>AL-FALAK VISA</t>
        </is>
      </c>
      <c r="L45" s="23" t="inlineStr">
        <is>
          <t>-</t>
        </is>
      </c>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row>
    <row r="46" ht="15" customHeight="1">
      <c r="A46" s="429" t="n"/>
      <c r="B46" s="429" t="n"/>
      <c r="C46" s="429" t="n"/>
      <c r="D46" s="429" t="n"/>
      <c r="E46" s="32" t="inlineStr">
        <is>
          <t>Danish Qamar</t>
        </is>
      </c>
      <c r="F46" s="50" t="inlineStr">
        <is>
          <t>Hard Service</t>
        </is>
      </c>
      <c r="G46" s="460" t="inlineStr">
        <is>
          <t>EM-0001948</t>
        </is>
      </c>
      <c r="H46" s="460" t="n">
        <v>2585395508</v>
      </c>
      <c r="I46" s="425" t="inlineStr">
        <is>
          <t>Approved</t>
        </is>
      </c>
      <c r="J46" s="496" t="n">
        <v>45586</v>
      </c>
      <c r="K46" s="14" t="inlineStr">
        <is>
          <t>AL-FALAK VISA</t>
        </is>
      </c>
      <c r="L46" s="23" t="inlineStr">
        <is>
          <t>-</t>
        </is>
      </c>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row>
    <row r="47" ht="15" customHeight="1">
      <c r="A47" s="429" t="n"/>
      <c r="B47" s="429" t="n"/>
      <c r="C47" s="429" t="n"/>
      <c r="D47" s="429" t="n"/>
      <c r="E47" s="32" t="inlineStr">
        <is>
          <t>Waqar Younus Nisar Khan</t>
        </is>
      </c>
      <c r="F47" s="50" t="inlineStr">
        <is>
          <t>Hard Service</t>
        </is>
      </c>
      <c r="G47" s="460" t="n">
        <v>701764</v>
      </c>
      <c r="H47" s="460" t="n">
        <v>2537299311</v>
      </c>
      <c r="I47" s="425" t="inlineStr">
        <is>
          <t>Approved</t>
        </is>
      </c>
      <c r="J47" s="496" t="n">
        <v>46087</v>
      </c>
      <c r="K47" s="14" t="inlineStr">
        <is>
          <t>FMCO</t>
        </is>
      </c>
      <c r="L47" s="23" t="inlineStr">
        <is>
          <t>-</t>
        </is>
      </c>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row>
    <row r="48" ht="15" customHeight="1">
      <c r="A48" s="431" t="n"/>
      <c r="B48" s="431" t="n"/>
      <c r="C48" s="431" t="n"/>
      <c r="D48" s="431" t="n"/>
      <c r="E48" s="15" t="n"/>
      <c r="F48" s="50" t="inlineStr">
        <is>
          <t>Hard Service</t>
        </is>
      </c>
      <c r="G48" s="425" t="inlineStr">
        <is>
          <t>-</t>
        </is>
      </c>
      <c r="H48" s="29" t="inlineStr">
        <is>
          <t>-</t>
        </is>
      </c>
      <c r="I48" s="425" t="inlineStr">
        <is>
          <t>Vacant</t>
        </is>
      </c>
      <c r="J48" s="499" t="n"/>
      <c r="K48" s="14" t="inlineStr">
        <is>
          <t>-</t>
        </is>
      </c>
      <c r="L48" s="23" t="inlineStr">
        <is>
          <t>-</t>
        </is>
      </c>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row>
    <row r="49" ht="15" customHeight="1">
      <c r="A49" s="430" t="inlineStr">
        <is>
          <t>Mechanical Technician</t>
        </is>
      </c>
      <c r="B49" s="442" t="n">
        <v>4</v>
      </c>
      <c r="C49" s="449">
        <f>COUNTIF(E49:E52,"&lt;&gt;")</f>
        <v/>
      </c>
      <c r="D49" s="432">
        <f>C49-B49</f>
        <v/>
      </c>
      <c r="E49" s="32" t="inlineStr">
        <is>
          <t>Ali Hassan</t>
        </is>
      </c>
      <c r="F49" s="50" t="inlineStr">
        <is>
          <t>Hard Service</t>
        </is>
      </c>
      <c r="G49" s="460" t="inlineStr">
        <is>
          <t>C00673</t>
        </is>
      </c>
      <c r="H49" s="460" t="n">
        <v>2582096554</v>
      </c>
      <c r="I49" s="425" t="inlineStr">
        <is>
          <t>Approved</t>
        </is>
      </c>
      <c r="J49" s="496" t="n">
        <v>45600</v>
      </c>
      <c r="K49" s="14" t="inlineStr">
        <is>
          <t>MEHAN VISA</t>
        </is>
      </c>
      <c r="L49" s="23" t="inlineStr">
        <is>
          <t>-</t>
        </is>
      </c>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row>
    <row r="50" ht="15" customHeight="1">
      <c r="A50" s="429" t="n"/>
      <c r="B50" s="429" t="n"/>
      <c r="C50" s="429" t="n"/>
      <c r="D50" s="429" t="n"/>
      <c r="E50" s="32" t="inlineStr">
        <is>
          <t>Abdullah Tallat Mehmood</t>
        </is>
      </c>
      <c r="F50" s="50" t="inlineStr">
        <is>
          <t>Hard Service</t>
        </is>
      </c>
      <c r="G50" s="460" t="inlineStr">
        <is>
          <t>C00464</t>
        </is>
      </c>
      <c r="H50" s="460" t="n">
        <v>2581349426</v>
      </c>
      <c r="I50" s="425" t="inlineStr">
        <is>
          <t>Approved</t>
        </is>
      </c>
      <c r="J50" s="496" t="n">
        <v>45663</v>
      </c>
      <c r="K50" s="14" t="inlineStr">
        <is>
          <t>MEHAN VISA</t>
        </is>
      </c>
      <c r="L50" s="23" t="inlineStr">
        <is>
          <t>-</t>
        </is>
      </c>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row>
    <row r="51" ht="15" customHeight="1">
      <c r="A51" s="429" t="n"/>
      <c r="B51" s="429" t="n"/>
      <c r="C51" s="429" t="n"/>
      <c r="D51" s="429" t="n"/>
      <c r="F51" s="50" t="inlineStr">
        <is>
          <t>Hard Service</t>
        </is>
      </c>
      <c r="G51" s="33" t="inlineStr">
        <is>
          <t>-</t>
        </is>
      </c>
      <c r="H51" s="33" t="inlineStr">
        <is>
          <t>-</t>
        </is>
      </c>
      <c r="I51" s="425" t="inlineStr">
        <is>
          <t>Vacant</t>
        </is>
      </c>
      <c r="J51" s="504" t="n"/>
      <c r="K51" s="34" t="inlineStr">
        <is>
          <t>-</t>
        </is>
      </c>
      <c r="L51" s="23" t="inlineStr">
        <is>
          <t>-</t>
        </is>
      </c>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row>
    <row r="52" ht="15" customHeight="1">
      <c r="A52" s="431" t="n"/>
      <c r="B52" s="431" t="n"/>
      <c r="C52" s="431" t="n"/>
      <c r="D52" s="431" t="n"/>
      <c r="E52" s="52" t="n"/>
      <c r="F52" s="50" t="inlineStr">
        <is>
          <t>Hard Service</t>
        </is>
      </c>
      <c r="G52" s="425" t="inlineStr">
        <is>
          <t>-</t>
        </is>
      </c>
      <c r="H52" s="29" t="inlineStr">
        <is>
          <t>-</t>
        </is>
      </c>
      <c r="I52" s="425" t="inlineStr">
        <is>
          <t>Vacant</t>
        </is>
      </c>
      <c r="J52" s="499" t="n"/>
      <c r="K52" s="14" t="inlineStr">
        <is>
          <t>-</t>
        </is>
      </c>
      <c r="L52" s="23" t="inlineStr">
        <is>
          <t>-</t>
        </is>
      </c>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row>
    <row r="53" ht="15" customHeight="1">
      <c r="A53" s="430" t="inlineStr">
        <is>
          <t>AC Technician</t>
        </is>
      </c>
      <c r="B53" s="442" t="n">
        <v>16</v>
      </c>
      <c r="C53" s="449">
        <f>COUNTIF(E53:E68,"&lt;&gt;")</f>
        <v/>
      </c>
      <c r="D53" s="432">
        <f>C53-B53</f>
        <v/>
      </c>
      <c r="E53" s="32" t="inlineStr">
        <is>
          <t>Ali Hasan</t>
        </is>
      </c>
      <c r="F53" s="50" t="inlineStr">
        <is>
          <t>Hard Service</t>
        </is>
      </c>
      <c r="G53" s="460" t="n">
        <v>703447</v>
      </c>
      <c r="H53" s="460" t="n">
        <v>2581992878</v>
      </c>
      <c r="I53" s="425" t="inlineStr">
        <is>
          <t>Approved</t>
        </is>
      </c>
      <c r="J53" s="496" t="n">
        <v>45586</v>
      </c>
      <c r="K53" s="14" t="inlineStr">
        <is>
          <t>FMCO</t>
        </is>
      </c>
      <c r="L53" s="23" t="inlineStr">
        <is>
          <t>-</t>
        </is>
      </c>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row>
    <row r="54" ht="15" customHeight="1">
      <c r="A54" s="429" t="n"/>
      <c r="B54" s="429" t="n"/>
      <c r="C54" s="429" t="n"/>
      <c r="D54" s="429" t="n"/>
      <c r="E54" s="32" t="inlineStr">
        <is>
          <t>MR. Asif Ashfaq</t>
        </is>
      </c>
      <c r="F54" s="50" t="inlineStr">
        <is>
          <t>Hard Service</t>
        </is>
      </c>
      <c r="G54" s="460" t="n">
        <v>703495</v>
      </c>
      <c r="H54" s="460" t="n">
        <v>2585448638</v>
      </c>
      <c r="I54" s="425" t="inlineStr">
        <is>
          <t>Approved</t>
        </is>
      </c>
      <c r="J54" s="496" t="n">
        <v>45586</v>
      </c>
      <c r="K54" s="14" t="inlineStr">
        <is>
          <t>FMCO</t>
        </is>
      </c>
      <c r="L54" s="23" t="inlineStr">
        <is>
          <t>-</t>
        </is>
      </c>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row>
    <row r="55" ht="15" customHeight="1">
      <c r="A55" s="429" t="n"/>
      <c r="B55" s="429" t="n"/>
      <c r="C55" s="429" t="n"/>
      <c r="D55" s="429" t="n"/>
      <c r="E55" s="32" t="inlineStr">
        <is>
          <t>Muhammad Abdullah</t>
        </is>
      </c>
      <c r="F55" s="50" t="inlineStr">
        <is>
          <t>Hard Service</t>
        </is>
      </c>
      <c r="G55" s="460" t="n">
        <v>703496</v>
      </c>
      <c r="H55" s="460" t="n">
        <v>2585448729</v>
      </c>
      <c r="I55" s="425" t="inlineStr">
        <is>
          <t>Approved</t>
        </is>
      </c>
      <c r="J55" s="496" t="n">
        <v>45586</v>
      </c>
      <c r="K55" s="14" t="inlineStr">
        <is>
          <t>FMCO</t>
        </is>
      </c>
      <c r="L55" s="23" t="inlineStr">
        <is>
          <t>-</t>
        </is>
      </c>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row>
    <row r="56" ht="15" customHeight="1">
      <c r="A56" s="429" t="n"/>
      <c r="B56" s="429" t="n"/>
      <c r="C56" s="429" t="n"/>
      <c r="D56" s="429" t="n"/>
      <c r="E56" s="32" t="inlineStr">
        <is>
          <t>Dilip Kori</t>
        </is>
      </c>
      <c r="F56" s="50" t="inlineStr">
        <is>
          <t>Hard Service</t>
        </is>
      </c>
      <c r="G56" s="460" t="inlineStr">
        <is>
          <t>C00305</t>
        </is>
      </c>
      <c r="H56" s="460" t="n">
        <v>2580190433</v>
      </c>
      <c r="I56" s="425" t="inlineStr">
        <is>
          <t>Approved</t>
        </is>
      </c>
      <c r="J56" s="496" t="n">
        <v>45491</v>
      </c>
      <c r="K56" s="14" t="inlineStr">
        <is>
          <t>MEHAN VISA</t>
        </is>
      </c>
      <c r="L56" s="23" t="inlineStr">
        <is>
          <t>-</t>
        </is>
      </c>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row>
    <row r="57" ht="15" customHeight="1">
      <c r="A57" s="429" t="n"/>
      <c r="B57" s="429" t="n"/>
      <c r="C57" s="429" t="n"/>
      <c r="D57" s="429" t="n"/>
      <c r="E57" s="32" t="inlineStr">
        <is>
          <t>Usman Ramzan</t>
        </is>
      </c>
      <c r="F57" s="50" t="inlineStr">
        <is>
          <t>Hard Service</t>
        </is>
      </c>
      <c r="G57" s="460" t="inlineStr">
        <is>
          <t>C00698</t>
        </is>
      </c>
      <c r="H57" s="460" t="n">
        <v>2582098345</v>
      </c>
      <c r="I57" s="425" t="inlineStr">
        <is>
          <t>Approved</t>
        </is>
      </c>
      <c r="J57" s="496" t="n">
        <v>45586</v>
      </c>
      <c r="K57" s="14" t="inlineStr">
        <is>
          <t>MEHAN VISA</t>
        </is>
      </c>
      <c r="L57" s="23" t="inlineStr">
        <is>
          <t>-</t>
        </is>
      </c>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row>
    <row r="58" ht="15" customHeight="1">
      <c r="A58" s="429" t="n"/>
      <c r="B58" s="429" t="n"/>
      <c r="C58" s="429" t="n"/>
      <c r="D58" s="429" t="n"/>
      <c r="E58" s="32" t="inlineStr">
        <is>
          <t>MEHEDI HASAN NAYEM</t>
        </is>
      </c>
      <c r="F58" s="50" t="inlineStr">
        <is>
          <t>Hard Service</t>
        </is>
      </c>
      <c r="G58" s="460" t="inlineStr">
        <is>
          <t>-</t>
        </is>
      </c>
      <c r="H58" s="460" t="inlineStr">
        <is>
          <t>-</t>
        </is>
      </c>
      <c r="I58" s="425" t="inlineStr">
        <is>
          <t>Approved</t>
        </is>
      </c>
      <c r="J58" s="496" t="inlineStr">
        <is>
          <t>26/8/2026</t>
        </is>
      </c>
      <c r="K58" s="14" t="inlineStr">
        <is>
          <t>-</t>
        </is>
      </c>
      <c r="L58" s="23" t="inlineStr">
        <is>
          <t>-</t>
        </is>
      </c>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row>
    <row r="59" ht="15" customHeight="1">
      <c r="A59" s="429" t="n"/>
      <c r="B59" s="429" t="n"/>
      <c r="C59" s="429" t="n"/>
      <c r="D59" s="429" t="n"/>
      <c r="E59" s="32" t="inlineStr">
        <is>
          <t>KAZI GULAM MURTUJA</t>
        </is>
      </c>
      <c r="F59" s="50" t="inlineStr">
        <is>
          <t>Hard Service</t>
        </is>
      </c>
      <c r="G59" s="460" t="inlineStr">
        <is>
          <t>-</t>
        </is>
      </c>
      <c r="H59" s="460" t="inlineStr">
        <is>
          <t>-</t>
        </is>
      </c>
      <c r="I59" s="425" t="inlineStr">
        <is>
          <t>Approved</t>
        </is>
      </c>
      <c r="J59" s="496" t="inlineStr">
        <is>
          <t>26/8/2026</t>
        </is>
      </c>
      <c r="K59" s="14" t="inlineStr">
        <is>
          <t>-</t>
        </is>
      </c>
      <c r="L59" s="23" t="inlineStr">
        <is>
          <t>-</t>
        </is>
      </c>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row>
    <row r="60" ht="15" customHeight="1">
      <c r="A60" s="429" t="n"/>
      <c r="B60" s="429" t="n"/>
      <c r="C60" s="429" t="n"/>
      <c r="D60" s="429" t="n"/>
      <c r="E60" s="32" t="inlineStr">
        <is>
          <t>Mohammad Nabiullah</t>
        </is>
      </c>
      <c r="F60" s="50" t="inlineStr">
        <is>
          <t>Hard Service</t>
        </is>
      </c>
      <c r="G60" s="460" t="inlineStr">
        <is>
          <t>EM-0002276</t>
        </is>
      </c>
      <c r="H60" s="460" t="n">
        <v>2581681372</v>
      </c>
      <c r="I60" s="425" t="inlineStr">
        <is>
          <t>Approved</t>
        </is>
      </c>
      <c r="J60" s="496" t="n">
        <v>45600</v>
      </c>
      <c r="K60" s="14" t="inlineStr">
        <is>
          <t>AL-FALAK VISA</t>
        </is>
      </c>
      <c r="L60" s="23" t="inlineStr">
        <is>
          <t>-</t>
        </is>
      </c>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row>
    <row r="61" ht="15" customHeight="1">
      <c r="A61" s="429" t="n"/>
      <c r="B61" s="429" t="n"/>
      <c r="C61" s="429" t="n"/>
      <c r="D61" s="429" t="n"/>
      <c r="E61" s="32" t="inlineStr">
        <is>
          <t>ABDUR RAHMAN</t>
        </is>
      </c>
      <c r="F61" s="50" t="inlineStr">
        <is>
          <t>Hard Service</t>
        </is>
      </c>
      <c r="G61" s="460" t="inlineStr">
        <is>
          <t>-</t>
        </is>
      </c>
      <c r="H61" s="460" t="inlineStr">
        <is>
          <t>-</t>
        </is>
      </c>
      <c r="I61" s="425" t="inlineStr">
        <is>
          <t>Approved</t>
        </is>
      </c>
      <c r="J61" s="496" t="inlineStr">
        <is>
          <t>26/8/2026</t>
        </is>
      </c>
      <c r="K61" s="14" t="inlineStr">
        <is>
          <t>-</t>
        </is>
      </c>
      <c r="L61" s="23" t="inlineStr">
        <is>
          <t>-</t>
        </is>
      </c>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row>
    <row r="62" ht="15" customHeight="1">
      <c r="A62" s="429" t="n"/>
      <c r="B62" s="429" t="n"/>
      <c r="C62" s="429" t="n"/>
      <c r="D62" s="429" t="n"/>
      <c r="E62" s="32" t="inlineStr">
        <is>
          <t>Mohammed Ismail</t>
        </is>
      </c>
      <c r="F62" s="50" t="inlineStr">
        <is>
          <t>Hard Service</t>
        </is>
      </c>
      <c r="G62" s="460" t="inlineStr">
        <is>
          <t>EM-0002526</t>
        </is>
      </c>
      <c r="H62" s="460" t="n">
        <v>2582813966</v>
      </c>
      <c r="I62" s="425" t="inlineStr">
        <is>
          <t>Approved</t>
        </is>
      </c>
      <c r="J62" s="496" t="n">
        <v>45599</v>
      </c>
      <c r="K62" s="14" t="inlineStr">
        <is>
          <t>AL-FALAK VISA</t>
        </is>
      </c>
      <c r="L62" s="23" t="inlineStr">
        <is>
          <t>-</t>
        </is>
      </c>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row>
    <row r="63" ht="15" customHeight="1">
      <c r="A63" s="429" t="n"/>
      <c r="B63" s="429" t="n"/>
      <c r="C63" s="429" t="n"/>
      <c r="D63" s="429" t="n"/>
      <c r="E63" s="32" t="n"/>
      <c r="F63" s="50" t="inlineStr">
        <is>
          <t>Hard Service</t>
        </is>
      </c>
      <c r="G63" s="460" t="n"/>
      <c r="H63" s="460" t="n"/>
      <c r="I63" s="425" t="inlineStr">
        <is>
          <t>Vacant</t>
        </is>
      </c>
      <c r="J63" s="496" t="n"/>
      <c r="K63" s="14" t="n"/>
      <c r="L63" s="23" t="inlineStr">
        <is>
          <t>-</t>
        </is>
      </c>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row>
    <row r="64" ht="15" customHeight="1">
      <c r="A64" s="429" t="n"/>
      <c r="B64" s="429" t="n"/>
      <c r="C64" s="429" t="n"/>
      <c r="D64" s="429" t="n"/>
      <c r="E64" s="32" t="inlineStr">
        <is>
          <t>Mohammad Ehsan Siddique</t>
        </is>
      </c>
      <c r="F64" s="50" t="inlineStr">
        <is>
          <t>Hard Service</t>
        </is>
      </c>
      <c r="G64" s="460" t="inlineStr">
        <is>
          <t>EM-0002695</t>
        </is>
      </c>
      <c r="H64" s="460" t="n">
        <v>2586439453</v>
      </c>
      <c r="I64" s="425" t="inlineStr">
        <is>
          <t>Approved</t>
        </is>
      </c>
      <c r="J64" s="496" t="n">
        <v>45600</v>
      </c>
      <c r="K64" s="14" t="inlineStr">
        <is>
          <t>AL-FALAK VISA</t>
        </is>
      </c>
      <c r="L64" s="23" t="inlineStr">
        <is>
          <t>-</t>
        </is>
      </c>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row>
    <row r="65" ht="15" customHeight="1">
      <c r="A65" s="429" t="n"/>
      <c r="B65" s="429" t="n"/>
      <c r="C65" s="429" t="n"/>
      <c r="D65" s="429" t="n"/>
      <c r="E65" s="32" t="inlineStr">
        <is>
          <t>Sharif Hussain</t>
        </is>
      </c>
      <c r="F65" s="50" t="inlineStr">
        <is>
          <t>Hard Service</t>
        </is>
      </c>
      <c r="G65" s="460" t="inlineStr">
        <is>
          <t>EM-0002697</t>
        </is>
      </c>
      <c r="H65" s="460" t="n">
        <v>2586783736</v>
      </c>
      <c r="I65" s="425" t="inlineStr">
        <is>
          <t>Approved</t>
        </is>
      </c>
      <c r="J65" s="496" t="n">
        <v>45600</v>
      </c>
      <c r="K65" s="14" t="inlineStr">
        <is>
          <t>AL-FALAK VISA</t>
        </is>
      </c>
      <c r="L65" s="23" t="inlineStr">
        <is>
          <t>-</t>
        </is>
      </c>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row>
    <row r="66" ht="15" customHeight="1">
      <c r="A66" s="429" t="n"/>
      <c r="B66" s="429" t="n"/>
      <c r="C66" s="429" t="n"/>
      <c r="D66" s="429" t="n"/>
      <c r="E66" s="32" t="inlineStr">
        <is>
          <t>Fesal Ansari</t>
        </is>
      </c>
      <c r="F66" s="50" t="inlineStr">
        <is>
          <t>Hard Service</t>
        </is>
      </c>
      <c r="G66" s="460" t="inlineStr">
        <is>
          <t>EM-0002500</t>
        </is>
      </c>
      <c r="H66" s="460" t="n">
        <v>2582874661</v>
      </c>
      <c r="I66" s="425" t="inlineStr">
        <is>
          <t>Approved</t>
        </is>
      </c>
      <c r="J66" s="496" t="n">
        <v>45586</v>
      </c>
      <c r="K66" s="14" t="inlineStr">
        <is>
          <t>AL-FALAK VISA</t>
        </is>
      </c>
      <c r="L66" s="23" t="inlineStr">
        <is>
          <t>-</t>
        </is>
      </c>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row>
    <row r="67" ht="15" customHeight="1">
      <c r="A67" s="429" t="n"/>
      <c r="B67" s="429" t="n"/>
      <c r="C67" s="429" t="n"/>
      <c r="D67" s="429" t="n"/>
      <c r="E67" s="32" t="inlineStr">
        <is>
          <t>Ajaj Ansari</t>
        </is>
      </c>
      <c r="F67" s="50" t="inlineStr">
        <is>
          <t>Hard Service</t>
        </is>
      </c>
      <c r="G67" s="460" t="n">
        <v>704352</v>
      </c>
      <c r="H67" s="460" t="n">
        <v>2640393308</v>
      </c>
      <c r="I67" s="425" t="inlineStr">
        <is>
          <t>Approved</t>
        </is>
      </c>
      <c r="J67" s="496" t="n">
        <v>46212</v>
      </c>
      <c r="K67" s="14" t="inlineStr">
        <is>
          <t>FMCO</t>
        </is>
      </c>
      <c r="L67" s="53" t="inlineStr">
        <is>
          <t>-</t>
        </is>
      </c>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row>
    <row r="68" ht="15" customHeight="1">
      <c r="A68" s="431" t="n"/>
      <c r="B68" s="431" t="n"/>
      <c r="C68" s="431" t="n"/>
      <c r="D68" s="431" t="n"/>
      <c r="E68" s="32" t="inlineStr">
        <is>
          <t>MD SHAHABUDDIN ANSARI</t>
        </is>
      </c>
      <c r="F68" s="50" t="inlineStr">
        <is>
          <t>Hard Service</t>
        </is>
      </c>
      <c r="G68" s="425" t="inlineStr">
        <is>
          <t>-</t>
        </is>
      </c>
      <c r="H68" s="29" t="inlineStr">
        <is>
          <t>-</t>
        </is>
      </c>
      <c r="I68" s="425" t="inlineStr">
        <is>
          <t>Approved</t>
        </is>
      </c>
      <c r="J68" s="496" t="inlineStr">
        <is>
          <t>26/8/2026</t>
        </is>
      </c>
      <c r="K68" s="14" t="inlineStr">
        <is>
          <t>-</t>
        </is>
      </c>
      <c r="L68" s="23" t="inlineStr">
        <is>
          <t>-</t>
        </is>
      </c>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row>
    <row r="69" ht="15" customHeight="1">
      <c r="A69" s="445" t="inlineStr">
        <is>
          <t>Assitant AC Techncian</t>
        </is>
      </c>
      <c r="B69" s="440" t="n">
        <v>6</v>
      </c>
      <c r="C69" s="440">
        <f>COUNTIF(E69:E74,"&lt;&gt;")</f>
        <v/>
      </c>
      <c r="D69" s="441">
        <f>C69-B69</f>
        <v/>
      </c>
      <c r="E69" s="18" t="n"/>
      <c r="F69" s="50" t="inlineStr">
        <is>
          <t>Hard Service</t>
        </is>
      </c>
      <c r="G69" s="425" t="inlineStr">
        <is>
          <t>-</t>
        </is>
      </c>
      <c r="H69" s="29" t="inlineStr">
        <is>
          <t>-</t>
        </is>
      </c>
      <c r="I69" s="425" t="inlineStr">
        <is>
          <t>Vacant</t>
        </is>
      </c>
      <c r="J69" s="499" t="n"/>
      <c r="K69" s="14" t="inlineStr">
        <is>
          <t>-</t>
        </is>
      </c>
      <c r="L69" s="23" t="inlineStr">
        <is>
          <t>-</t>
        </is>
      </c>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row>
    <row r="70" ht="15" customHeight="1">
      <c r="A70" s="429" t="n"/>
      <c r="B70" s="429" t="n"/>
      <c r="C70" s="429" t="n"/>
      <c r="D70" s="429" t="n"/>
      <c r="E70" s="52" t="n"/>
      <c r="F70" s="50" t="inlineStr">
        <is>
          <t>Hard Service</t>
        </is>
      </c>
      <c r="G70" s="425" t="inlineStr">
        <is>
          <t>-</t>
        </is>
      </c>
      <c r="H70" s="29" t="inlineStr">
        <is>
          <t>-</t>
        </is>
      </c>
      <c r="I70" s="425" t="inlineStr">
        <is>
          <t>Vacant</t>
        </is>
      </c>
      <c r="J70" s="499" t="n"/>
      <c r="K70" s="14" t="inlineStr">
        <is>
          <t>-</t>
        </is>
      </c>
      <c r="L70" s="23" t="inlineStr">
        <is>
          <t>-</t>
        </is>
      </c>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row>
    <row r="71" ht="15" customHeight="1">
      <c r="A71" s="429" t="n"/>
      <c r="B71" s="429" t="n"/>
      <c r="C71" s="429" t="n"/>
      <c r="D71" s="429" t="n"/>
      <c r="E71" s="52" t="n"/>
      <c r="F71" s="50" t="inlineStr">
        <is>
          <t>Hard Service</t>
        </is>
      </c>
      <c r="G71" s="425" t="inlineStr">
        <is>
          <t>-</t>
        </is>
      </c>
      <c r="H71" s="29" t="inlineStr">
        <is>
          <t>-</t>
        </is>
      </c>
      <c r="I71" s="425" t="inlineStr">
        <is>
          <t>Vacant</t>
        </is>
      </c>
      <c r="J71" s="499" t="n"/>
      <c r="K71" s="14" t="inlineStr">
        <is>
          <t>-</t>
        </is>
      </c>
      <c r="L71" s="23" t="inlineStr">
        <is>
          <t>-</t>
        </is>
      </c>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row>
    <row r="72" ht="15" customHeight="1">
      <c r="A72" s="429" t="n"/>
      <c r="B72" s="429" t="n"/>
      <c r="C72" s="429" t="n"/>
      <c r="D72" s="429" t="n"/>
      <c r="E72" s="52" t="n"/>
      <c r="F72" s="50" t="inlineStr">
        <is>
          <t>Hard Service</t>
        </is>
      </c>
      <c r="G72" s="425" t="inlineStr">
        <is>
          <t>-</t>
        </is>
      </c>
      <c r="H72" s="29" t="inlineStr">
        <is>
          <t>-</t>
        </is>
      </c>
      <c r="I72" s="425" t="inlineStr">
        <is>
          <t>Vacant</t>
        </is>
      </c>
      <c r="J72" s="499" t="n"/>
      <c r="K72" s="14" t="inlineStr">
        <is>
          <t>-</t>
        </is>
      </c>
      <c r="L72" s="23" t="inlineStr">
        <is>
          <t>-</t>
        </is>
      </c>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row>
    <row r="73" ht="15" customHeight="1">
      <c r="A73" s="429" t="n"/>
      <c r="B73" s="429" t="n"/>
      <c r="C73" s="429" t="n"/>
      <c r="D73" s="429" t="n"/>
      <c r="E73" s="52" t="n"/>
      <c r="F73" s="50" t="inlineStr">
        <is>
          <t>Hard Service</t>
        </is>
      </c>
      <c r="G73" s="425" t="inlineStr">
        <is>
          <t>-</t>
        </is>
      </c>
      <c r="H73" s="29" t="inlineStr">
        <is>
          <t>-</t>
        </is>
      </c>
      <c r="I73" s="425" t="inlineStr">
        <is>
          <t>Vacant</t>
        </is>
      </c>
      <c r="J73" s="499" t="n"/>
      <c r="K73" s="14" t="inlineStr">
        <is>
          <t>-</t>
        </is>
      </c>
      <c r="L73" s="23" t="inlineStr">
        <is>
          <t>-</t>
        </is>
      </c>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row>
    <row r="74" ht="15" customHeight="1">
      <c r="A74" s="431" t="n"/>
      <c r="B74" s="431" t="n"/>
      <c r="C74" s="431" t="n"/>
      <c r="D74" s="431" t="n"/>
      <c r="E74" s="52" t="n"/>
      <c r="F74" s="50" t="inlineStr">
        <is>
          <t>Hard Service</t>
        </is>
      </c>
      <c r="G74" s="425" t="inlineStr">
        <is>
          <t>-</t>
        </is>
      </c>
      <c r="H74" s="29" t="inlineStr">
        <is>
          <t>-</t>
        </is>
      </c>
      <c r="I74" s="425" t="inlineStr">
        <is>
          <t>Vacant</t>
        </is>
      </c>
      <c r="J74" s="499" t="n"/>
      <c r="K74" s="14" t="inlineStr">
        <is>
          <t>-</t>
        </is>
      </c>
      <c r="L74" s="23" t="inlineStr">
        <is>
          <t>-</t>
        </is>
      </c>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row>
    <row r="75" ht="15" customHeight="1">
      <c r="A75" s="430" t="inlineStr">
        <is>
          <t>Plumber</t>
        </is>
      </c>
      <c r="B75" s="442" t="n">
        <v>14</v>
      </c>
      <c r="C75" s="449">
        <f>COUNTIF(E75:E88,"&lt;&gt;")</f>
        <v/>
      </c>
      <c r="D75" s="432">
        <f>C75-B75</f>
        <v/>
      </c>
      <c r="E75" s="32" t="inlineStr">
        <is>
          <t>Kalim Vasi Khan</t>
        </is>
      </c>
      <c r="F75" s="50" t="inlineStr">
        <is>
          <t>Hard Service</t>
        </is>
      </c>
      <c r="G75" s="460" t="n">
        <v>702059</v>
      </c>
      <c r="H75" s="460" t="n">
        <v>2543087932</v>
      </c>
      <c r="I75" s="425" t="inlineStr">
        <is>
          <t>Approved</t>
        </is>
      </c>
      <c r="J75" s="496" t="n">
        <v>45858</v>
      </c>
      <c r="K75" s="14" t="inlineStr">
        <is>
          <t>FMCO</t>
        </is>
      </c>
      <c r="L75" s="23" t="inlineStr">
        <is>
          <t>-</t>
        </is>
      </c>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row>
    <row r="76" ht="15" customHeight="1">
      <c r="A76" s="429" t="n"/>
      <c r="B76" s="429" t="n"/>
      <c r="C76" s="429" t="n"/>
      <c r="D76" s="429" t="n"/>
      <c r="E76" s="32" t="inlineStr">
        <is>
          <t>Ayan Khan</t>
        </is>
      </c>
      <c r="F76" s="50" t="inlineStr">
        <is>
          <t>Hard Service</t>
        </is>
      </c>
      <c r="G76" s="460" t="n">
        <v>703910</v>
      </c>
      <c r="H76" s="460" t="n">
        <v>2587606654</v>
      </c>
      <c r="I76" s="425" t="inlineStr">
        <is>
          <t>Approved</t>
        </is>
      </c>
      <c r="J76" s="496" t="n">
        <v>45586</v>
      </c>
      <c r="K76" s="14" t="inlineStr">
        <is>
          <t>FMCO</t>
        </is>
      </c>
      <c r="L76" s="23" t="inlineStr">
        <is>
          <t>-</t>
        </is>
      </c>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row>
    <row r="77" ht="15" customHeight="1">
      <c r="A77" s="429" t="n"/>
      <c r="B77" s="429" t="n"/>
      <c r="C77" s="429" t="n"/>
      <c r="D77" s="429" t="n"/>
      <c r="E77" s="32" t="inlineStr">
        <is>
          <t>MD SHAKE FORID NOYAN</t>
        </is>
      </c>
      <c r="F77" s="50" t="inlineStr">
        <is>
          <t>Hard Service</t>
        </is>
      </c>
      <c r="G77" s="460" t="inlineStr">
        <is>
          <t>-</t>
        </is>
      </c>
      <c r="H77" s="460" t="inlineStr">
        <is>
          <t>-</t>
        </is>
      </c>
      <c r="I77" s="425" t="inlineStr">
        <is>
          <t>Approved</t>
        </is>
      </c>
      <c r="J77" s="496" t="inlineStr">
        <is>
          <t>26/08/2026</t>
        </is>
      </c>
      <c r="K77" s="14" t="inlineStr">
        <is>
          <t>-</t>
        </is>
      </c>
      <c r="L77" s="23" t="inlineStr">
        <is>
          <t>-</t>
        </is>
      </c>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row>
    <row r="78" ht="15" customHeight="1">
      <c r="A78" s="429" t="n"/>
      <c r="B78" s="429" t="n"/>
      <c r="C78" s="429" t="n"/>
      <c r="D78" s="429" t="n"/>
      <c r="E78" s="32" t="n"/>
      <c r="F78" s="50" t="inlineStr">
        <is>
          <t>Hard Service</t>
        </is>
      </c>
      <c r="G78" s="460" t="inlineStr">
        <is>
          <t>-</t>
        </is>
      </c>
      <c r="H78" s="460" t="inlineStr">
        <is>
          <t>-</t>
        </is>
      </c>
      <c r="I78" s="425" t="inlineStr">
        <is>
          <t>Vacant</t>
        </is>
      </c>
      <c r="J78" s="496" t="n"/>
      <c r="K78" s="14" t="inlineStr">
        <is>
          <t>-</t>
        </is>
      </c>
      <c r="L78" s="23" t="n"/>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row>
    <row r="79" ht="15" customHeight="1">
      <c r="A79" s="429" t="n"/>
      <c r="B79" s="429" t="n"/>
      <c r="C79" s="429" t="n"/>
      <c r="D79" s="429" t="n"/>
      <c r="E79" s="32" t="inlineStr">
        <is>
          <t>Mohammad Asif</t>
        </is>
      </c>
      <c r="F79" s="50" t="inlineStr">
        <is>
          <t>Hard Service</t>
        </is>
      </c>
      <c r="G79" s="460" t="inlineStr">
        <is>
          <t>EM-0002685</t>
        </is>
      </c>
      <c r="H79" s="460" t="n">
        <v>2586130524</v>
      </c>
      <c r="I79" s="425" t="inlineStr">
        <is>
          <t>Approved</t>
        </is>
      </c>
      <c r="J79" s="496" t="n">
        <v>45600</v>
      </c>
      <c r="K79" s="14" t="inlineStr">
        <is>
          <t>AL-FALAK VISA</t>
        </is>
      </c>
      <c r="L79" s="23" t="inlineStr">
        <is>
          <t>-</t>
        </is>
      </c>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row>
    <row r="80" ht="15" customHeight="1">
      <c r="A80" s="429" t="n"/>
      <c r="B80" s="429" t="n"/>
      <c r="C80" s="429" t="n"/>
      <c r="D80" s="429" t="n"/>
      <c r="E80" s="32" t="inlineStr">
        <is>
          <t>HARIS SAUD</t>
        </is>
      </c>
      <c r="F80" s="50" t="inlineStr">
        <is>
          <t>Hard Service</t>
        </is>
      </c>
      <c r="G80" s="460" t="n">
        <v>701157</v>
      </c>
      <c r="H80" s="460" t="inlineStr">
        <is>
          <t>2526386327</t>
        </is>
      </c>
      <c r="I80" s="425" t="inlineStr">
        <is>
          <t>Approved</t>
        </is>
      </c>
      <c r="J80" s="496" t="n">
        <v>46098</v>
      </c>
      <c r="K80" s="14" t="inlineStr">
        <is>
          <t>FMCO</t>
        </is>
      </c>
      <c r="L80" s="23" t="n"/>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row>
    <row r="81" ht="15" customHeight="1">
      <c r="A81" s="429" t="n"/>
      <c r="B81" s="429" t="n"/>
      <c r="C81" s="429" t="n"/>
      <c r="D81" s="429" t="n"/>
      <c r="E81" s="32" t="inlineStr">
        <is>
          <t>Mohammad Imran</t>
        </is>
      </c>
      <c r="F81" s="50" t="inlineStr">
        <is>
          <t>Hard Service</t>
        </is>
      </c>
      <c r="G81" s="460" t="inlineStr">
        <is>
          <t>EM-0003043</t>
        </is>
      </c>
      <c r="H81" s="460" t="n">
        <v>2618551689</v>
      </c>
      <c r="I81" s="425" t="inlineStr">
        <is>
          <t>Approved</t>
        </is>
      </c>
      <c r="J81" s="496" t="n">
        <v>46137</v>
      </c>
      <c r="K81" s="14" t="inlineStr">
        <is>
          <t>AL-FALAK VISA</t>
        </is>
      </c>
      <c r="L81" s="23" t="inlineStr">
        <is>
          <t>-</t>
        </is>
      </c>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row>
    <row r="82" ht="15" customHeight="1">
      <c r="A82" s="429" t="n"/>
      <c r="B82" s="429" t="n"/>
      <c r="C82" s="429" t="n"/>
      <c r="D82" s="429" t="n"/>
      <c r="E82" s="32" t="inlineStr">
        <is>
          <t>MD. Ohid Mia</t>
        </is>
      </c>
      <c r="F82" s="50" t="inlineStr">
        <is>
          <t>Hard Service</t>
        </is>
      </c>
      <c r="G82" s="460" t="inlineStr">
        <is>
          <t>-</t>
        </is>
      </c>
      <c r="H82" s="460" t="n">
        <v>2619975978</v>
      </c>
      <c r="I82" s="425" t="inlineStr">
        <is>
          <t>Approved</t>
        </is>
      </c>
      <c r="J82" s="496" t="n">
        <v>46167</v>
      </c>
      <c r="K82" s="14" t="inlineStr">
        <is>
          <t>AL-FALAK VISA</t>
        </is>
      </c>
      <c r="L82" s="23" t="inlineStr">
        <is>
          <t>-</t>
        </is>
      </c>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row>
    <row r="83" ht="15" customHeight="1">
      <c r="A83" s="429" t="n"/>
      <c r="B83" s="429" t="n"/>
      <c r="C83" s="429" t="n"/>
      <c r="D83" s="429" t="n"/>
      <c r="E83" s="32" t="inlineStr">
        <is>
          <t>Mohd Tauhid Alam</t>
        </is>
      </c>
      <c r="F83" s="50" t="inlineStr">
        <is>
          <t>Hard Service</t>
        </is>
      </c>
      <c r="G83" s="460" t="inlineStr">
        <is>
          <t>-</t>
        </is>
      </c>
      <c r="H83" s="29" t="inlineStr">
        <is>
          <t>-</t>
        </is>
      </c>
      <c r="I83" s="425" t="inlineStr">
        <is>
          <t>Approved</t>
        </is>
      </c>
      <c r="J83" s="496" t="n">
        <v>46225</v>
      </c>
      <c r="K83" s="14" t="inlineStr">
        <is>
          <t>-</t>
        </is>
      </c>
      <c r="L83" s="23" t="inlineStr">
        <is>
          <t>-</t>
        </is>
      </c>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row>
    <row r="84" ht="15" customHeight="1">
      <c r="A84" s="429" t="n"/>
      <c r="B84" s="429" t="n"/>
      <c r="C84" s="429" t="n"/>
      <c r="D84" s="429" t="n"/>
      <c r="E84" s="32" t="inlineStr">
        <is>
          <t>JUBER KHAN</t>
        </is>
      </c>
      <c r="F84" s="50" t="inlineStr">
        <is>
          <t>Hard Service</t>
        </is>
      </c>
      <c r="G84" s="425" t="inlineStr">
        <is>
          <t>EM-0002575</t>
        </is>
      </c>
      <c r="H84" s="29" t="n">
        <v>2579371697</v>
      </c>
      <c r="I84" s="425" t="inlineStr">
        <is>
          <t>Approved</t>
        </is>
      </c>
      <c r="J84" s="496" t="n">
        <v>46246</v>
      </c>
      <c r="K84" s="14" t="inlineStr">
        <is>
          <t>AL-FALAK VISA</t>
        </is>
      </c>
      <c r="L84" s="23" t="inlineStr">
        <is>
          <t>-</t>
        </is>
      </c>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row>
    <row r="85" ht="15" customHeight="1">
      <c r="A85" s="429" t="n"/>
      <c r="B85" s="429" t="n"/>
      <c r="C85" s="429" t="n"/>
      <c r="D85" s="429" t="n"/>
      <c r="E85" s="32" t="inlineStr">
        <is>
          <t>SHIV KUMAR RAM</t>
        </is>
      </c>
      <c r="F85" s="50" t="inlineStr">
        <is>
          <t>Hard Service</t>
        </is>
      </c>
      <c r="G85" s="425" t="inlineStr">
        <is>
          <t>C00289</t>
        </is>
      </c>
      <c r="H85" s="29" t="n">
        <v>2580194468</v>
      </c>
      <c r="I85" s="425" t="inlineStr">
        <is>
          <t>Approved</t>
        </is>
      </c>
      <c r="J85" s="496" t="n">
        <v>46246</v>
      </c>
      <c r="K85" s="14" t="inlineStr">
        <is>
          <t>MEHAN VISA</t>
        </is>
      </c>
      <c r="L85" s="23" t="inlineStr">
        <is>
          <t>-</t>
        </is>
      </c>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row>
    <row r="86" ht="15" customHeight="1">
      <c r="A86" s="429" t="n"/>
      <c r="B86" s="429" t="n"/>
      <c r="C86" s="429" t="n"/>
      <c r="D86" s="429" t="n"/>
      <c r="E86" s="32" t="inlineStr">
        <is>
          <t>MOHAMMAD TAUHID ALAM</t>
        </is>
      </c>
      <c r="F86" s="50" t="inlineStr">
        <is>
          <t>Hard Service</t>
        </is>
      </c>
      <c r="G86" s="425" t="inlineStr">
        <is>
          <t>C02142</t>
        </is>
      </c>
      <c r="H86" s="29" t="inlineStr">
        <is>
          <t>2642516591</t>
        </is>
      </c>
      <c r="I86" s="425" t="inlineStr">
        <is>
          <t>Approved</t>
        </is>
      </c>
      <c r="J86" s="496" t="n">
        <v>46225</v>
      </c>
      <c r="K86" s="14" t="inlineStr">
        <is>
          <t>MEHAN VISA</t>
        </is>
      </c>
      <c r="L86" s="23"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row>
    <row r="87" ht="15" customHeight="1">
      <c r="A87" s="429" t="n"/>
      <c r="B87" s="429" t="n"/>
      <c r="C87" s="429" t="n"/>
      <c r="D87" s="429" t="n"/>
      <c r="E87" s="52" t="n"/>
      <c r="F87" s="50" t="inlineStr">
        <is>
          <t>Hard Service</t>
        </is>
      </c>
      <c r="G87" s="425" t="inlineStr">
        <is>
          <t>-</t>
        </is>
      </c>
      <c r="H87" s="29" t="inlineStr">
        <is>
          <t>-</t>
        </is>
      </c>
      <c r="I87" s="425" t="inlineStr">
        <is>
          <t>Vacant</t>
        </is>
      </c>
      <c r="J87" s="499" t="n"/>
      <c r="K87" s="14" t="inlineStr">
        <is>
          <t>-</t>
        </is>
      </c>
      <c r="L87" s="23" t="inlineStr">
        <is>
          <t>-</t>
        </is>
      </c>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row>
    <row r="88" ht="15" customHeight="1">
      <c r="A88" s="431" t="n"/>
      <c r="B88" s="431" t="n"/>
      <c r="C88" s="431" t="n"/>
      <c r="D88" s="431" t="n"/>
      <c r="E88" s="52" t="n"/>
      <c r="F88" s="50" t="inlineStr">
        <is>
          <t>Hard Service</t>
        </is>
      </c>
      <c r="G88" s="425" t="inlineStr">
        <is>
          <t>-</t>
        </is>
      </c>
      <c r="H88" s="29" t="inlineStr">
        <is>
          <t>-</t>
        </is>
      </c>
      <c r="I88" s="425" t="inlineStr">
        <is>
          <t>Vacant</t>
        </is>
      </c>
      <c r="J88" s="499" t="n"/>
      <c r="K88" s="14" t="inlineStr">
        <is>
          <t>-</t>
        </is>
      </c>
      <c r="L88" s="23" t="inlineStr">
        <is>
          <t>-</t>
        </is>
      </c>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row>
    <row r="89" ht="15" customHeight="1">
      <c r="A89" s="430" t="inlineStr">
        <is>
          <t>Trade Helper</t>
        </is>
      </c>
      <c r="B89" s="442" t="n">
        <v>14</v>
      </c>
      <c r="C89" s="449">
        <f>COUNTIF(E89:E102,"&lt;&gt;")</f>
        <v/>
      </c>
      <c r="D89" s="432">
        <f>C89-B89</f>
        <v/>
      </c>
      <c r="E89" s="18" t="n"/>
      <c r="F89" s="50" t="inlineStr">
        <is>
          <t>Hard Service</t>
        </is>
      </c>
      <c r="G89" s="460" t="inlineStr">
        <is>
          <t>-</t>
        </is>
      </c>
      <c r="H89" s="460" t="inlineStr">
        <is>
          <t>-</t>
        </is>
      </c>
      <c r="I89" s="425" t="inlineStr">
        <is>
          <t>Vacant</t>
        </is>
      </c>
      <c r="J89" s="499" t="n"/>
      <c r="K89" s="14" t="inlineStr">
        <is>
          <t>-</t>
        </is>
      </c>
      <c r="L89" s="23" t="inlineStr">
        <is>
          <t>-</t>
        </is>
      </c>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row>
    <row r="90" ht="15" customHeight="1">
      <c r="A90" s="429" t="n"/>
      <c r="B90" s="429" t="n"/>
      <c r="C90" s="429" t="n"/>
      <c r="D90" s="429" t="n"/>
      <c r="E90" s="18" t="n"/>
      <c r="F90" s="50" t="inlineStr">
        <is>
          <t>Hard Service</t>
        </is>
      </c>
      <c r="G90" s="460" t="inlineStr">
        <is>
          <t>-</t>
        </is>
      </c>
      <c r="H90" s="460" t="inlineStr">
        <is>
          <t>-</t>
        </is>
      </c>
      <c r="I90" s="425" t="inlineStr">
        <is>
          <t>Vacant</t>
        </is>
      </c>
      <c r="J90" s="499" t="n"/>
      <c r="K90" s="14" t="inlineStr">
        <is>
          <t>-</t>
        </is>
      </c>
      <c r="L90" s="23" t="inlineStr">
        <is>
          <t>-</t>
        </is>
      </c>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row>
    <row r="91" ht="15" customHeight="1">
      <c r="A91" s="429" t="n"/>
      <c r="B91" s="429" t="n"/>
      <c r="C91" s="429" t="n"/>
      <c r="D91" s="429" t="n"/>
      <c r="E91" s="52" t="n"/>
      <c r="F91" s="50" t="inlineStr">
        <is>
          <t>Hard Service</t>
        </is>
      </c>
      <c r="G91" s="425" t="inlineStr">
        <is>
          <t>-</t>
        </is>
      </c>
      <c r="H91" s="29" t="inlineStr">
        <is>
          <t>-</t>
        </is>
      </c>
      <c r="I91" s="425" t="inlineStr">
        <is>
          <t>Vacant</t>
        </is>
      </c>
      <c r="J91" s="499" t="n"/>
      <c r="K91" s="14" t="inlineStr">
        <is>
          <t>-</t>
        </is>
      </c>
      <c r="L91" s="23" t="inlineStr">
        <is>
          <t>-</t>
        </is>
      </c>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row>
    <row r="92" ht="15" customHeight="1">
      <c r="A92" s="429" t="n"/>
      <c r="B92" s="429" t="n"/>
      <c r="C92" s="429" t="n"/>
      <c r="D92" s="429" t="n"/>
      <c r="E92" s="52" t="n"/>
      <c r="F92" s="50" t="inlineStr">
        <is>
          <t>Hard Service</t>
        </is>
      </c>
      <c r="G92" s="425" t="inlineStr">
        <is>
          <t>-</t>
        </is>
      </c>
      <c r="H92" s="29" t="inlineStr">
        <is>
          <t>-</t>
        </is>
      </c>
      <c r="I92" s="425" t="inlineStr">
        <is>
          <t>Vacant</t>
        </is>
      </c>
      <c r="J92" s="499" t="n"/>
      <c r="K92" s="14" t="inlineStr">
        <is>
          <t>-</t>
        </is>
      </c>
      <c r="L92" s="23" t="inlineStr">
        <is>
          <t>-</t>
        </is>
      </c>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row>
    <row r="93" ht="15" customHeight="1">
      <c r="A93" s="429" t="n"/>
      <c r="B93" s="429" t="n"/>
      <c r="C93" s="429" t="n"/>
      <c r="D93" s="429" t="n"/>
      <c r="E93" s="52" t="n"/>
      <c r="F93" s="50" t="inlineStr">
        <is>
          <t>Hard Service</t>
        </is>
      </c>
      <c r="G93" s="425" t="inlineStr">
        <is>
          <t>-</t>
        </is>
      </c>
      <c r="H93" s="29" t="inlineStr">
        <is>
          <t>-</t>
        </is>
      </c>
      <c r="I93" s="425" t="inlineStr">
        <is>
          <t>Vacant</t>
        </is>
      </c>
      <c r="J93" s="499" t="n"/>
      <c r="K93" s="14" t="inlineStr">
        <is>
          <t>-</t>
        </is>
      </c>
      <c r="L93" s="23" t="inlineStr">
        <is>
          <t>-</t>
        </is>
      </c>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row>
    <row r="94" ht="15" customHeight="1">
      <c r="A94" s="429" t="n"/>
      <c r="B94" s="429" t="n"/>
      <c r="C94" s="429" t="n"/>
      <c r="D94" s="429" t="n"/>
      <c r="E94" s="52" t="n"/>
      <c r="F94" s="50" t="inlineStr">
        <is>
          <t>Hard Service</t>
        </is>
      </c>
      <c r="G94" s="425" t="inlineStr">
        <is>
          <t>-</t>
        </is>
      </c>
      <c r="H94" s="29" t="inlineStr">
        <is>
          <t>-</t>
        </is>
      </c>
      <c r="I94" s="425" t="inlineStr">
        <is>
          <t>Vacant</t>
        </is>
      </c>
      <c r="J94" s="499" t="n"/>
      <c r="K94" s="14" t="inlineStr">
        <is>
          <t>-</t>
        </is>
      </c>
      <c r="L94" s="23" t="inlineStr">
        <is>
          <t>-</t>
        </is>
      </c>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row>
    <row r="95" ht="15" customHeight="1">
      <c r="A95" s="429" t="n"/>
      <c r="B95" s="429" t="n"/>
      <c r="C95" s="429" t="n"/>
      <c r="D95" s="429" t="n"/>
      <c r="E95" s="52" t="n"/>
      <c r="F95" s="50" t="inlineStr">
        <is>
          <t>Hard Service</t>
        </is>
      </c>
      <c r="G95" s="425" t="inlineStr">
        <is>
          <t>-</t>
        </is>
      </c>
      <c r="H95" s="29" t="inlineStr">
        <is>
          <t>-</t>
        </is>
      </c>
      <c r="I95" s="425" t="inlineStr">
        <is>
          <t>Vacant</t>
        </is>
      </c>
      <c r="J95" s="499" t="n"/>
      <c r="K95" s="14" t="inlineStr">
        <is>
          <t>-</t>
        </is>
      </c>
      <c r="L95" s="23" t="inlineStr">
        <is>
          <t>-</t>
        </is>
      </c>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row>
    <row r="96" ht="15" customHeight="1">
      <c r="A96" s="429" t="n"/>
      <c r="B96" s="429" t="n"/>
      <c r="C96" s="429" t="n"/>
      <c r="D96" s="429" t="n"/>
      <c r="E96" s="52" t="n"/>
      <c r="F96" s="50" t="inlineStr">
        <is>
          <t>Hard Service</t>
        </is>
      </c>
      <c r="G96" s="425" t="inlineStr">
        <is>
          <t>-</t>
        </is>
      </c>
      <c r="H96" s="29" t="inlineStr">
        <is>
          <t>-</t>
        </is>
      </c>
      <c r="I96" s="425" t="inlineStr">
        <is>
          <t>Vacant</t>
        </is>
      </c>
      <c r="J96" s="499" t="n"/>
      <c r="K96" s="14" t="inlineStr">
        <is>
          <t>-</t>
        </is>
      </c>
      <c r="L96" s="23" t="inlineStr">
        <is>
          <t>-</t>
        </is>
      </c>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row>
    <row r="97" ht="15" customHeight="1">
      <c r="A97" s="429" t="n"/>
      <c r="B97" s="429" t="n"/>
      <c r="C97" s="429" t="n"/>
      <c r="D97" s="429" t="n"/>
      <c r="E97" s="52" t="n"/>
      <c r="F97" s="50" t="inlineStr">
        <is>
          <t>Hard Service</t>
        </is>
      </c>
      <c r="G97" s="425" t="inlineStr">
        <is>
          <t>-</t>
        </is>
      </c>
      <c r="H97" s="29" t="inlineStr">
        <is>
          <t>-</t>
        </is>
      </c>
      <c r="I97" s="425" t="inlineStr">
        <is>
          <t>Vacant</t>
        </is>
      </c>
      <c r="J97" s="499" t="n"/>
      <c r="K97" s="14" t="inlineStr">
        <is>
          <t>-</t>
        </is>
      </c>
      <c r="L97" s="23" t="inlineStr">
        <is>
          <t>-</t>
        </is>
      </c>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row>
    <row r="98" ht="15" customHeight="1">
      <c r="A98" s="429" t="n"/>
      <c r="B98" s="429" t="n"/>
      <c r="C98" s="429" t="n"/>
      <c r="D98" s="429" t="n"/>
      <c r="E98" s="52" t="n"/>
      <c r="F98" s="50" t="inlineStr">
        <is>
          <t>Hard Service</t>
        </is>
      </c>
      <c r="G98" s="425" t="inlineStr">
        <is>
          <t>-</t>
        </is>
      </c>
      <c r="H98" s="29" t="inlineStr">
        <is>
          <t>-</t>
        </is>
      </c>
      <c r="I98" s="425" t="inlineStr">
        <is>
          <t>Vacant</t>
        </is>
      </c>
      <c r="J98" s="499" t="n"/>
      <c r="K98" s="14" t="inlineStr">
        <is>
          <t>-</t>
        </is>
      </c>
      <c r="L98" s="23" t="inlineStr">
        <is>
          <t>-</t>
        </is>
      </c>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row>
    <row r="99" ht="15" customHeight="1">
      <c r="A99" s="429" t="n"/>
      <c r="B99" s="429" t="n"/>
      <c r="C99" s="429" t="n"/>
      <c r="D99" s="429" t="n"/>
      <c r="E99" s="52" t="n"/>
      <c r="F99" s="50" t="inlineStr">
        <is>
          <t>Hard Service</t>
        </is>
      </c>
      <c r="G99" s="425" t="inlineStr">
        <is>
          <t>-</t>
        </is>
      </c>
      <c r="H99" s="29" t="inlineStr">
        <is>
          <t>-</t>
        </is>
      </c>
      <c r="I99" s="425" t="inlineStr">
        <is>
          <t>Vacant</t>
        </is>
      </c>
      <c r="J99" s="499" t="n"/>
      <c r="K99" s="14" t="inlineStr">
        <is>
          <t>-</t>
        </is>
      </c>
      <c r="L99" s="23" t="inlineStr">
        <is>
          <t>-</t>
        </is>
      </c>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row>
    <row r="100" ht="15" customHeight="1">
      <c r="A100" s="429" t="n"/>
      <c r="B100" s="429" t="n"/>
      <c r="C100" s="429" t="n"/>
      <c r="D100" s="429" t="n"/>
      <c r="E100" s="52" t="n"/>
      <c r="F100" s="50" t="inlineStr">
        <is>
          <t>Hard Service</t>
        </is>
      </c>
      <c r="G100" s="425" t="inlineStr">
        <is>
          <t>-</t>
        </is>
      </c>
      <c r="H100" s="29" t="inlineStr">
        <is>
          <t>-</t>
        </is>
      </c>
      <c r="I100" s="425" t="inlineStr">
        <is>
          <t>Vacant</t>
        </is>
      </c>
      <c r="J100" s="499" t="n"/>
      <c r="K100" s="14" t="inlineStr">
        <is>
          <t>-</t>
        </is>
      </c>
      <c r="L100" s="23" t="inlineStr">
        <is>
          <t>-</t>
        </is>
      </c>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row>
    <row r="101" ht="15" customHeight="1">
      <c r="A101" s="429" t="n"/>
      <c r="B101" s="429" t="n"/>
      <c r="C101" s="429" t="n"/>
      <c r="D101" s="429" t="n"/>
      <c r="E101" s="52" t="n"/>
      <c r="F101" s="50" t="inlineStr">
        <is>
          <t>Hard Service</t>
        </is>
      </c>
      <c r="G101" s="425" t="inlineStr">
        <is>
          <t>-</t>
        </is>
      </c>
      <c r="H101" s="29" t="inlineStr">
        <is>
          <t>-</t>
        </is>
      </c>
      <c r="I101" s="425" t="inlineStr">
        <is>
          <t>Vacant</t>
        </is>
      </c>
      <c r="J101" s="499" t="n"/>
      <c r="K101" s="14" t="inlineStr">
        <is>
          <t>-</t>
        </is>
      </c>
      <c r="L101" s="23" t="inlineStr">
        <is>
          <t>-</t>
        </is>
      </c>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row>
    <row r="102" ht="15" customHeight="1">
      <c r="A102" s="431" t="n"/>
      <c r="B102" s="431" t="n"/>
      <c r="C102" s="431" t="n"/>
      <c r="D102" s="431" t="n"/>
      <c r="E102" s="52" t="n"/>
      <c r="F102" s="50" t="inlineStr">
        <is>
          <t>Hard Service</t>
        </is>
      </c>
      <c r="G102" s="425" t="inlineStr">
        <is>
          <t>-</t>
        </is>
      </c>
      <c r="H102" s="29" t="inlineStr">
        <is>
          <t>-</t>
        </is>
      </c>
      <c r="I102" s="425" t="inlineStr">
        <is>
          <t>Vacant</t>
        </is>
      </c>
      <c r="J102" s="499" t="n"/>
      <c r="K102" s="14" t="inlineStr">
        <is>
          <t>-</t>
        </is>
      </c>
      <c r="L102" s="23" t="inlineStr">
        <is>
          <t>-</t>
        </is>
      </c>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row>
    <row r="103" ht="15" customHeight="1">
      <c r="A103" s="430" t="inlineStr">
        <is>
          <t>Supervisor Electrical</t>
        </is>
      </c>
      <c r="B103" s="442" t="n">
        <v>2</v>
      </c>
      <c r="C103" s="449">
        <f>COUNTIF(E103:E104,"&lt;&gt;")</f>
        <v/>
      </c>
      <c r="D103" s="432">
        <f>C103-B103</f>
        <v/>
      </c>
      <c r="E103" s="32" t="inlineStr">
        <is>
          <t>Zaheer Ahmad</t>
        </is>
      </c>
      <c r="F103" s="50" t="inlineStr">
        <is>
          <t>Hard Service</t>
        </is>
      </c>
      <c r="G103" s="460" t="inlineStr">
        <is>
          <t>C00700</t>
        </is>
      </c>
      <c r="H103" s="460" t="n">
        <v>2582098931</v>
      </c>
      <c r="I103" s="425" t="inlineStr">
        <is>
          <t>Approved</t>
        </is>
      </c>
      <c r="J103" s="496" t="n">
        <v>45586</v>
      </c>
      <c r="K103" s="14" t="inlineStr">
        <is>
          <t>MEHAN VISA</t>
        </is>
      </c>
      <c r="L103" s="23" t="inlineStr">
        <is>
          <t>-</t>
        </is>
      </c>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row>
    <row r="104" ht="15" customHeight="1">
      <c r="A104" s="431" t="n"/>
      <c r="B104" s="431" t="n"/>
      <c r="C104" s="431" t="n"/>
      <c r="D104" s="431" t="n"/>
      <c r="E104" s="32" t="inlineStr">
        <is>
          <t>Rahul Yadav</t>
        </is>
      </c>
      <c r="F104" s="50" t="inlineStr">
        <is>
          <t>Hard Service</t>
        </is>
      </c>
      <c r="G104" s="460" t="inlineStr">
        <is>
          <t>EM-0003025</t>
        </is>
      </c>
      <c r="H104" s="460" t="n">
        <v>2617053018</v>
      </c>
      <c r="I104" s="425" t="inlineStr">
        <is>
          <t>Approved</t>
        </is>
      </c>
      <c r="J104" s="496" t="n">
        <v>45954</v>
      </c>
      <c r="K104" s="14" t="inlineStr">
        <is>
          <t>AL-FALAK VISA</t>
        </is>
      </c>
      <c r="L104" s="23" t="inlineStr">
        <is>
          <t>-</t>
        </is>
      </c>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row>
    <row r="105" ht="15" customHeight="1">
      <c r="A105" s="430" t="inlineStr">
        <is>
          <t>Electrical Team Leader</t>
        </is>
      </c>
      <c r="B105" s="442" t="n">
        <v>2</v>
      </c>
      <c r="C105" s="449">
        <f>COUNTIF(E105:E106,"&lt;&gt;")</f>
        <v/>
      </c>
      <c r="D105" s="432">
        <f>C105-B105</f>
        <v/>
      </c>
      <c r="E105" s="32" t="inlineStr">
        <is>
          <t xml:space="preserve">Mozammil Alam </t>
        </is>
      </c>
      <c r="F105" s="50" t="inlineStr">
        <is>
          <t>Hard Service</t>
        </is>
      </c>
      <c r="G105" s="460" t="inlineStr">
        <is>
          <t>EM-0002696</t>
        </is>
      </c>
      <c r="H105" s="460" t="n">
        <v>2586783421</v>
      </c>
      <c r="I105" s="425" t="inlineStr">
        <is>
          <t>Approved</t>
        </is>
      </c>
      <c r="J105" s="496" t="n">
        <v>45599</v>
      </c>
      <c r="K105" s="14" t="inlineStr">
        <is>
          <t>AL-FALAK VISA</t>
        </is>
      </c>
      <c r="L105" s="23" t="inlineStr">
        <is>
          <t>-</t>
        </is>
      </c>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row>
    <row r="106" ht="15" customHeight="1">
      <c r="A106" s="431" t="n"/>
      <c r="B106" s="431" t="n"/>
      <c r="C106" s="431" t="n"/>
      <c r="D106" s="431" t="n"/>
      <c r="E106" s="52" t="n"/>
      <c r="F106" s="50" t="inlineStr">
        <is>
          <t>Hard Service</t>
        </is>
      </c>
      <c r="G106" s="425" t="inlineStr">
        <is>
          <t>-</t>
        </is>
      </c>
      <c r="H106" s="29" t="inlineStr">
        <is>
          <t>-</t>
        </is>
      </c>
      <c r="I106" s="425" t="inlineStr">
        <is>
          <t>Vacant</t>
        </is>
      </c>
      <c r="J106" s="499" t="n"/>
      <c r="K106" s="14" t="inlineStr">
        <is>
          <t>-</t>
        </is>
      </c>
      <c r="L106" s="23" t="inlineStr">
        <is>
          <t>-</t>
        </is>
      </c>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row>
    <row r="107" ht="15" customHeight="1">
      <c r="A107" s="430" t="inlineStr">
        <is>
          <t>Electrician</t>
        </is>
      </c>
      <c r="B107" s="442" t="n">
        <v>18</v>
      </c>
      <c r="C107" s="449">
        <f>COUNTIF(E107:E124,"&lt;&gt;")</f>
        <v/>
      </c>
      <c r="D107" s="432">
        <f>C107-B107</f>
        <v/>
      </c>
      <c r="E107" s="32" t="inlineStr">
        <is>
          <t>MD. Ali Khan</t>
        </is>
      </c>
      <c r="F107" s="50" t="inlineStr">
        <is>
          <t>Hard Service</t>
        </is>
      </c>
      <c r="G107" s="460" t="n">
        <v>703904</v>
      </c>
      <c r="H107" s="460" t="n">
        <v>2587532165</v>
      </c>
      <c r="I107" s="425" t="inlineStr">
        <is>
          <t>Approved</t>
        </is>
      </c>
      <c r="J107" s="496" t="n">
        <v>45586</v>
      </c>
      <c r="K107" s="14" t="inlineStr">
        <is>
          <t>FMCO</t>
        </is>
      </c>
      <c r="L107" s="23" t="inlineStr">
        <is>
          <t>-</t>
        </is>
      </c>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row>
    <row r="108" ht="15" customHeight="1">
      <c r="A108" s="429" t="n"/>
      <c r="B108" s="429" t="n"/>
      <c r="C108" s="429" t="n"/>
      <c r="D108" s="429" t="n"/>
      <c r="E108" s="32" t="inlineStr">
        <is>
          <t xml:space="preserve">Imran Ahmad </t>
        </is>
      </c>
      <c r="F108" s="50" t="inlineStr">
        <is>
          <t>Hard Service</t>
        </is>
      </c>
      <c r="G108" s="460" t="n">
        <v>703905</v>
      </c>
      <c r="H108" s="460" t="n">
        <v>2587530946</v>
      </c>
      <c r="I108" s="425" t="inlineStr">
        <is>
          <t>Approved</t>
        </is>
      </c>
      <c r="J108" s="496" t="n">
        <v>45586</v>
      </c>
      <c r="K108" s="14" t="inlineStr">
        <is>
          <t>FMCO</t>
        </is>
      </c>
      <c r="L108" s="23" t="inlineStr">
        <is>
          <t>-</t>
        </is>
      </c>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row>
    <row r="109" ht="15" customHeight="1">
      <c r="A109" s="429" t="n"/>
      <c r="B109" s="429" t="n"/>
      <c r="C109" s="429" t="n"/>
      <c r="D109" s="429" t="n"/>
      <c r="E109" s="32" t="inlineStr">
        <is>
          <t xml:space="preserve">MD. Arwaz </t>
        </is>
      </c>
      <c r="F109" s="50" t="inlineStr">
        <is>
          <t>Hard Service</t>
        </is>
      </c>
      <c r="G109" s="460" t="n">
        <v>703912</v>
      </c>
      <c r="H109" s="460" t="n">
        <v>2587608239</v>
      </c>
      <c r="I109" s="425" t="inlineStr">
        <is>
          <t>Approved</t>
        </is>
      </c>
      <c r="J109" s="496" t="n">
        <v>45586</v>
      </c>
      <c r="K109" s="14" t="inlineStr">
        <is>
          <t>FMCO</t>
        </is>
      </c>
      <c r="L109" s="23" t="inlineStr">
        <is>
          <t>-</t>
        </is>
      </c>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row>
    <row r="110" ht="15" customHeight="1">
      <c r="A110" s="429" t="n"/>
      <c r="B110" s="429" t="n"/>
      <c r="C110" s="429" t="n"/>
      <c r="D110" s="429" t="n"/>
      <c r="E110" s="32" t="inlineStr">
        <is>
          <t xml:space="preserve">Jalal Mohammad </t>
        </is>
      </c>
      <c r="F110" s="50" t="inlineStr">
        <is>
          <t>Hard Service</t>
        </is>
      </c>
      <c r="G110" s="460" t="n">
        <v>703924</v>
      </c>
      <c r="H110" s="460" t="n">
        <v>2587606811</v>
      </c>
      <c r="I110" s="425" t="inlineStr">
        <is>
          <t>Approved</t>
        </is>
      </c>
      <c r="J110" s="496" t="n">
        <v>45586</v>
      </c>
      <c r="K110" s="14" t="inlineStr">
        <is>
          <t>FMCO</t>
        </is>
      </c>
      <c r="L110" s="23" t="inlineStr">
        <is>
          <t>-</t>
        </is>
      </c>
      <c r="N110" s="1" t="n"/>
      <c r="O110" s="1" t="n"/>
      <c r="P110" s="1" t="n"/>
      <c r="Q110" s="1" t="n"/>
      <c r="R110" s="1" t="n"/>
      <c r="S110" s="1" t="n"/>
      <c r="T110" s="1" t="n"/>
      <c r="U110" s="1" t="n"/>
      <c r="V110" s="1" t="n"/>
      <c r="W110" s="1" t="n"/>
      <c r="X110" s="1" t="n"/>
      <c r="Y110" s="1" t="n"/>
      <c r="Z110" s="1" t="n"/>
      <c r="AA110" s="1" t="n"/>
      <c r="AB110" s="1" t="n"/>
      <c r="AC110" s="1" t="n"/>
      <c r="AD110" s="1" t="n"/>
      <c r="AE110" s="1" t="n"/>
      <c r="AF110" s="1" t="n"/>
      <c r="AG110" s="1" t="n"/>
      <c r="AH110" s="1" t="n"/>
      <c r="AI110" s="1" t="n"/>
      <c r="AJ110" s="1" t="n"/>
    </row>
    <row r="111" ht="15" customHeight="1">
      <c r="A111" s="429" t="n"/>
      <c r="B111" s="429" t="n"/>
      <c r="C111" s="429" t="n"/>
      <c r="D111" s="429" t="n"/>
      <c r="E111" s="32" t="inlineStr">
        <is>
          <t>Alfez Khan</t>
        </is>
      </c>
      <c r="F111" s="50" t="inlineStr">
        <is>
          <t>Hard Service</t>
        </is>
      </c>
      <c r="G111" s="460" t="inlineStr">
        <is>
          <t>E-022-810</t>
        </is>
      </c>
      <c r="H111" s="460" t="n">
        <v>2584116533</v>
      </c>
      <c r="I111" s="425" t="inlineStr">
        <is>
          <t>Approved</t>
        </is>
      </c>
      <c r="J111" s="496" t="n">
        <v>45599</v>
      </c>
      <c r="K111" s="14" t="inlineStr">
        <is>
          <t>TALENT HOUSE VISA</t>
        </is>
      </c>
      <c r="L111" s="23" t="inlineStr">
        <is>
          <t>-</t>
        </is>
      </c>
      <c r="N111" s="1" t="n"/>
      <c r="O111" s="1" t="n"/>
      <c r="P111" s="1" t="n"/>
      <c r="Q111" s="1" t="n"/>
      <c r="R111" s="1" t="n"/>
      <c r="S111" s="1" t="n"/>
      <c r="T111" s="1" t="n"/>
      <c r="U111" s="1" t="n"/>
      <c r="V111" s="1" t="n"/>
      <c r="W111" s="1" t="n"/>
      <c r="X111" s="1" t="n"/>
      <c r="Y111" s="1" t="n"/>
      <c r="Z111" s="1" t="n"/>
      <c r="AA111" s="1" t="n"/>
      <c r="AB111" s="1" t="n"/>
      <c r="AC111" s="1" t="n"/>
      <c r="AD111" s="1" t="n"/>
      <c r="AE111" s="1" t="n"/>
      <c r="AF111" s="1" t="n"/>
      <c r="AG111" s="1" t="n"/>
      <c r="AH111" s="1" t="n"/>
      <c r="AI111" s="1" t="n"/>
      <c r="AJ111" s="1" t="n"/>
    </row>
    <row r="112" ht="15" customHeight="1">
      <c r="A112" s="429" t="n"/>
      <c r="B112" s="429" t="n"/>
      <c r="C112" s="429" t="n"/>
      <c r="D112" s="429" t="n"/>
      <c r="E112" s="32" t="inlineStr">
        <is>
          <t>Mohammad Jawed Ahmad</t>
        </is>
      </c>
      <c r="F112" s="50" t="inlineStr">
        <is>
          <t>Hard Service</t>
        </is>
      </c>
      <c r="G112" s="460" t="inlineStr">
        <is>
          <t>EM-0002687</t>
        </is>
      </c>
      <c r="H112" s="460" t="n">
        <v>2586382836</v>
      </c>
      <c r="I112" s="425" t="inlineStr">
        <is>
          <t>Approved</t>
        </is>
      </c>
      <c r="J112" s="496" t="n">
        <v>45586</v>
      </c>
      <c r="K112" s="14" t="inlineStr">
        <is>
          <t>AL-FALAK VISA</t>
        </is>
      </c>
      <c r="L112" s="23" t="inlineStr">
        <is>
          <t>-</t>
        </is>
      </c>
      <c r="N112" s="1" t="n"/>
      <c r="O112" s="1" t="n"/>
      <c r="P112" s="1" t="n"/>
      <c r="Q112" s="1" t="n"/>
      <c r="R112" s="1" t="n"/>
      <c r="S112" s="1" t="n"/>
      <c r="T112" s="1" t="n"/>
      <c r="U112" s="1" t="n"/>
      <c r="V112" s="1" t="n"/>
      <c r="W112" s="1" t="n"/>
      <c r="X112" s="1" t="n"/>
      <c r="Y112" s="1" t="n"/>
      <c r="Z112" s="1" t="n"/>
      <c r="AA112" s="1" t="n"/>
      <c r="AB112" s="1" t="n"/>
      <c r="AC112" s="1" t="n"/>
      <c r="AD112" s="1" t="n"/>
      <c r="AE112" s="1" t="n"/>
      <c r="AF112" s="1" t="n"/>
      <c r="AG112" s="1" t="n"/>
      <c r="AH112" s="1" t="n"/>
      <c r="AI112" s="1" t="n"/>
      <c r="AJ112" s="1" t="n"/>
    </row>
    <row r="113" ht="15" customHeight="1">
      <c r="A113" s="429" t="n"/>
      <c r="B113" s="429" t="n"/>
      <c r="C113" s="429" t="n"/>
      <c r="D113" s="429" t="n"/>
      <c r="E113" s="32" t="inlineStr">
        <is>
          <t>MOHAMMAD SOWROV HASAN</t>
        </is>
      </c>
      <c r="F113" s="50" t="inlineStr">
        <is>
          <t>Hard Service</t>
        </is>
      </c>
      <c r="G113" s="460" t="inlineStr">
        <is>
          <t>-</t>
        </is>
      </c>
      <c r="H113" s="460" t="inlineStr">
        <is>
          <t>-</t>
        </is>
      </c>
      <c r="I113" s="425" t="inlineStr">
        <is>
          <t>Approved</t>
        </is>
      </c>
      <c r="J113" s="496" t="inlineStr">
        <is>
          <t>26/08/2026</t>
        </is>
      </c>
      <c r="K113" s="14" t="inlineStr">
        <is>
          <t>-</t>
        </is>
      </c>
      <c r="L113" s="23" t="inlineStr">
        <is>
          <t>-</t>
        </is>
      </c>
      <c r="N113" s="1" t="n"/>
      <c r="O113" s="1" t="n"/>
      <c r="P113" s="1" t="n"/>
      <c r="Q113" s="1" t="n"/>
      <c r="R113" s="1" t="n"/>
      <c r="S113" s="1" t="n"/>
      <c r="T113" s="1" t="n"/>
      <c r="U113" s="1" t="n"/>
      <c r="V113" s="1" t="n"/>
      <c r="W113" s="1" t="n"/>
      <c r="X113" s="1" t="n"/>
      <c r="Y113" s="1" t="n"/>
      <c r="Z113" s="1" t="n"/>
      <c r="AA113" s="1" t="n"/>
      <c r="AB113" s="1" t="n"/>
      <c r="AC113" s="1" t="n"/>
      <c r="AD113" s="1" t="n"/>
      <c r="AE113" s="1" t="n"/>
      <c r="AF113" s="1" t="n"/>
      <c r="AG113" s="1" t="n"/>
      <c r="AH113" s="1" t="n"/>
      <c r="AI113" s="1" t="n"/>
      <c r="AJ113" s="1" t="n"/>
    </row>
    <row r="114" ht="15" customHeight="1">
      <c r="A114" s="429" t="n"/>
      <c r="B114" s="429" t="n"/>
      <c r="C114" s="429" t="n"/>
      <c r="D114" s="429" t="n"/>
      <c r="E114" s="32" t="inlineStr">
        <is>
          <t>MD. SUHAIL KHAN</t>
        </is>
      </c>
      <c r="F114" s="50" t="inlineStr">
        <is>
          <t>Hard Service</t>
        </is>
      </c>
      <c r="G114" s="460" t="inlineStr">
        <is>
          <t>EM-0002465</t>
        </is>
      </c>
      <c r="H114" s="460" t="inlineStr">
        <is>
          <t>2582813768</t>
        </is>
      </c>
      <c r="I114" s="425" t="inlineStr">
        <is>
          <t>Approved</t>
        </is>
      </c>
      <c r="J114" s="496" t="n">
        <v>45586</v>
      </c>
      <c r="K114" s="14" t="inlineStr">
        <is>
          <t>AL-FALAK VISA</t>
        </is>
      </c>
      <c r="L114" s="23" t="n"/>
      <c r="N114" s="1" t="n"/>
      <c r="O114" s="1" t="n"/>
      <c r="P114" s="1" t="n"/>
      <c r="Q114" s="1" t="n"/>
      <c r="R114" s="1" t="n"/>
      <c r="S114" s="1" t="n"/>
      <c r="T114" s="1" t="n"/>
      <c r="U114" s="1" t="n"/>
      <c r="V114" s="1" t="n"/>
      <c r="W114" s="1" t="n"/>
      <c r="X114" s="1" t="n"/>
      <c r="Y114" s="1" t="n"/>
      <c r="Z114" s="1" t="n"/>
      <c r="AA114" s="1" t="n"/>
      <c r="AB114" s="1" t="n"/>
      <c r="AC114" s="1" t="n"/>
      <c r="AD114" s="1" t="n"/>
      <c r="AE114" s="1" t="n"/>
      <c r="AF114" s="1" t="n"/>
      <c r="AG114" s="1" t="n"/>
      <c r="AH114" s="1" t="n"/>
      <c r="AI114" s="1" t="n"/>
      <c r="AJ114" s="1" t="n"/>
    </row>
    <row r="115" ht="15" customHeight="1">
      <c r="A115" s="429" t="n"/>
      <c r="B115" s="429" t="n"/>
      <c r="C115" s="429" t="n"/>
      <c r="D115" s="429" t="n"/>
      <c r="E115" s="32" t="inlineStr">
        <is>
          <t>SK Arif Hasan</t>
        </is>
      </c>
      <c r="F115" s="50" t="inlineStr">
        <is>
          <t>Hard Service</t>
        </is>
      </c>
      <c r="G115" s="19" t="inlineStr">
        <is>
          <t>E-022-874</t>
        </is>
      </c>
      <c r="H115" s="460" t="n">
        <v>2587090792</v>
      </c>
      <c r="I115" s="425" t="inlineStr">
        <is>
          <t>Approved</t>
        </is>
      </c>
      <c r="J115" s="496" t="n">
        <v>45720</v>
      </c>
      <c r="K115" s="14" t="inlineStr">
        <is>
          <t>TALENT HOUSE VISA</t>
        </is>
      </c>
      <c r="L115" s="23" t="inlineStr">
        <is>
          <t>-</t>
        </is>
      </c>
      <c r="N115" s="1" t="n"/>
      <c r="O115" s="1" t="n"/>
      <c r="P115" s="1" t="n"/>
      <c r="Q115" s="1" t="n"/>
      <c r="R115" s="1" t="n"/>
      <c r="S115" s="1" t="n"/>
      <c r="T115" s="1" t="n"/>
      <c r="U115" s="1" t="n"/>
      <c r="V115" s="1" t="n"/>
      <c r="W115" s="1" t="n"/>
      <c r="X115" s="1" t="n"/>
      <c r="Y115" s="1" t="n"/>
      <c r="Z115" s="1" t="n"/>
      <c r="AA115" s="1" t="n"/>
      <c r="AB115" s="1" t="n"/>
      <c r="AC115" s="1" t="n"/>
      <c r="AD115" s="1" t="n"/>
      <c r="AE115" s="1" t="n"/>
      <c r="AF115" s="1" t="n"/>
      <c r="AG115" s="1" t="n"/>
      <c r="AH115" s="1" t="n"/>
      <c r="AI115" s="1" t="n"/>
      <c r="AJ115" s="1" t="n"/>
    </row>
    <row r="116" ht="15" customHeight="1">
      <c r="A116" s="429" t="n"/>
      <c r="B116" s="429" t="n"/>
      <c r="C116" s="429" t="n"/>
      <c r="D116" s="429" t="n"/>
      <c r="E116" s="32" t="inlineStr">
        <is>
          <t>MOHAMMAD RIZWAN ANWAR</t>
        </is>
      </c>
      <c r="F116" s="50" t="inlineStr">
        <is>
          <t>Hard Service</t>
        </is>
      </c>
      <c r="G116" s="19" t="inlineStr">
        <is>
          <t>C00341</t>
        </is>
      </c>
      <c r="H116" s="460" t="n">
        <v>2580321509</v>
      </c>
      <c r="I116" s="425" t="inlineStr">
        <is>
          <t>Approved</t>
        </is>
      </c>
      <c r="J116" s="496" t="n">
        <v>46246</v>
      </c>
      <c r="K116" s="14" t="inlineStr">
        <is>
          <t>MEHAN VISA</t>
        </is>
      </c>
      <c r="L116" s="23" t="inlineStr">
        <is>
          <t>-</t>
        </is>
      </c>
      <c r="N116" s="1" t="n"/>
      <c r="O116" s="1" t="n"/>
      <c r="P116" s="1" t="n"/>
      <c r="Q116" s="1" t="n"/>
      <c r="R116" s="1" t="n"/>
      <c r="S116" s="1" t="n"/>
      <c r="T116" s="1" t="n"/>
      <c r="U116" s="1" t="n"/>
      <c r="V116" s="1" t="n"/>
      <c r="W116" s="1" t="n"/>
      <c r="X116" s="1" t="n"/>
      <c r="Y116" s="1" t="n"/>
      <c r="Z116" s="1" t="n"/>
      <c r="AA116" s="1" t="n"/>
      <c r="AB116" s="1" t="n"/>
      <c r="AC116" s="1" t="n"/>
      <c r="AD116" s="1" t="n"/>
      <c r="AE116" s="1" t="n"/>
      <c r="AF116" s="1" t="n"/>
      <c r="AG116" s="1" t="n"/>
      <c r="AH116" s="1" t="n"/>
      <c r="AI116" s="1" t="n"/>
      <c r="AJ116" s="1" t="n"/>
    </row>
    <row r="117" ht="15" customHeight="1">
      <c r="A117" s="429" t="n"/>
      <c r="B117" s="429" t="n"/>
      <c r="C117" s="429" t="n"/>
      <c r="D117" s="429" t="n"/>
      <c r="E117" s="32" t="inlineStr">
        <is>
          <t>MD RAKIB HOSSEN</t>
        </is>
      </c>
      <c r="F117" s="50" t="inlineStr">
        <is>
          <t>Hard Service</t>
        </is>
      </c>
      <c r="G117" s="33" t="inlineStr">
        <is>
          <t>-</t>
        </is>
      </c>
      <c r="H117" s="33" t="inlineStr">
        <is>
          <t>-</t>
        </is>
      </c>
      <c r="I117" s="425" t="inlineStr">
        <is>
          <t>Approved</t>
        </is>
      </c>
      <c r="J117" s="496" t="inlineStr">
        <is>
          <t>26/08/2026</t>
        </is>
      </c>
      <c r="K117" s="34" t="inlineStr">
        <is>
          <t>-</t>
        </is>
      </c>
      <c r="L117" s="23" t="inlineStr">
        <is>
          <t>-</t>
        </is>
      </c>
      <c r="N117" s="1" t="n"/>
      <c r="O117" s="1" t="n"/>
      <c r="P117" s="1" t="n"/>
      <c r="Q117" s="1" t="n"/>
      <c r="R117" s="1" t="n"/>
      <c r="S117" s="1" t="n"/>
      <c r="T117" s="1" t="n"/>
      <c r="U117" s="1" t="n"/>
      <c r="V117" s="1" t="n"/>
      <c r="W117" s="1" t="n"/>
      <c r="X117" s="1" t="n"/>
      <c r="Y117" s="1" t="n"/>
      <c r="Z117" s="1" t="n"/>
      <c r="AA117" s="1" t="n"/>
      <c r="AB117" s="1" t="n"/>
      <c r="AC117" s="1" t="n"/>
      <c r="AD117" s="1" t="n"/>
      <c r="AE117" s="1" t="n"/>
      <c r="AF117" s="1" t="n"/>
      <c r="AG117" s="1" t="n"/>
      <c r="AH117" s="1" t="n"/>
      <c r="AI117" s="1" t="n"/>
      <c r="AJ117" s="1" t="n"/>
    </row>
    <row r="118" ht="15" customHeight="1">
      <c r="A118" s="429" t="n"/>
      <c r="B118" s="429" t="n"/>
      <c r="C118" s="429" t="n"/>
      <c r="D118" s="429" t="n"/>
      <c r="E118" s="18" t="n"/>
      <c r="F118" s="50" t="inlineStr">
        <is>
          <t>Hard Service</t>
        </is>
      </c>
      <c r="G118" s="19" t="inlineStr">
        <is>
          <t>-</t>
        </is>
      </c>
      <c r="H118" s="460" t="inlineStr">
        <is>
          <t>-</t>
        </is>
      </c>
      <c r="I118" s="425" t="inlineStr">
        <is>
          <t>Vacant</t>
        </is>
      </c>
      <c r="J118" s="499" t="n"/>
      <c r="K118" s="14" t="inlineStr">
        <is>
          <t>-</t>
        </is>
      </c>
      <c r="L118" s="23" t="inlineStr">
        <is>
          <t>-</t>
        </is>
      </c>
      <c r="N118" s="1" t="n"/>
      <c r="O118" s="1" t="n"/>
      <c r="P118" s="1" t="n"/>
      <c r="Q118" s="1" t="n"/>
      <c r="R118" s="1" t="n"/>
      <c r="S118" s="1" t="n"/>
      <c r="T118" s="1" t="n"/>
      <c r="U118" s="1" t="n"/>
      <c r="V118" s="1" t="n"/>
      <c r="W118" s="1" t="n"/>
      <c r="X118" s="1" t="n"/>
      <c r="Y118" s="1" t="n"/>
      <c r="Z118" s="1" t="n"/>
      <c r="AA118" s="1" t="n"/>
      <c r="AB118" s="1" t="n"/>
      <c r="AC118" s="1" t="n"/>
      <c r="AD118" s="1" t="n"/>
      <c r="AE118" s="1" t="n"/>
      <c r="AF118" s="1" t="n"/>
      <c r="AG118" s="1" t="n"/>
      <c r="AH118" s="1" t="n"/>
      <c r="AI118" s="1" t="n"/>
      <c r="AJ118" s="1" t="n"/>
    </row>
    <row r="119" ht="15" customHeight="1">
      <c r="A119" s="429" t="n"/>
      <c r="B119" s="429" t="n"/>
      <c r="C119" s="429" t="n"/>
      <c r="D119" s="429" t="n"/>
      <c r="E119" s="52" t="n"/>
      <c r="F119" s="50" t="inlineStr">
        <is>
          <t>Hard Service</t>
        </is>
      </c>
      <c r="G119" s="425" t="inlineStr">
        <is>
          <t>-</t>
        </is>
      </c>
      <c r="H119" s="29" t="inlineStr">
        <is>
          <t>-</t>
        </is>
      </c>
      <c r="I119" s="425" t="inlineStr">
        <is>
          <t>Vacant</t>
        </is>
      </c>
      <c r="J119" s="499" t="n"/>
      <c r="K119" s="14" t="inlineStr">
        <is>
          <t>-</t>
        </is>
      </c>
      <c r="L119" s="23" t="inlineStr">
        <is>
          <t>-</t>
        </is>
      </c>
      <c r="N119" s="1" t="n"/>
      <c r="O119" s="1" t="n"/>
      <c r="P119" s="1" t="n"/>
      <c r="Q119" s="1" t="n"/>
      <c r="R119" s="1" t="n"/>
      <c r="S119" s="1" t="n"/>
      <c r="T119" s="1" t="n"/>
      <c r="U119" s="1" t="n"/>
      <c r="V119" s="1" t="n"/>
      <c r="W119" s="1" t="n"/>
      <c r="X119" s="1" t="n"/>
      <c r="Y119" s="1" t="n"/>
      <c r="Z119" s="1" t="n"/>
      <c r="AA119" s="1" t="n"/>
      <c r="AB119" s="1" t="n"/>
      <c r="AC119" s="1" t="n"/>
      <c r="AD119" s="1" t="n"/>
      <c r="AE119" s="1" t="n"/>
      <c r="AF119" s="1" t="n"/>
      <c r="AG119" s="1" t="n"/>
      <c r="AH119" s="1" t="n"/>
      <c r="AI119" s="1" t="n"/>
      <c r="AJ119" s="1" t="n"/>
    </row>
    <row r="120" ht="15" customHeight="1">
      <c r="A120" s="429" t="n"/>
      <c r="B120" s="429" t="n"/>
      <c r="C120" s="429" t="n"/>
      <c r="D120" s="429" t="n"/>
      <c r="E120" s="52" t="n"/>
      <c r="F120" s="50" t="inlineStr">
        <is>
          <t>Hard Service</t>
        </is>
      </c>
      <c r="G120" s="425" t="inlineStr">
        <is>
          <t>-</t>
        </is>
      </c>
      <c r="H120" s="29" t="inlineStr">
        <is>
          <t>-</t>
        </is>
      </c>
      <c r="I120" s="425" t="inlineStr">
        <is>
          <t>Vacant</t>
        </is>
      </c>
      <c r="J120" s="499" t="n"/>
      <c r="K120" s="14" t="inlineStr">
        <is>
          <t>-</t>
        </is>
      </c>
      <c r="L120" s="23" t="inlineStr">
        <is>
          <t>-</t>
        </is>
      </c>
      <c r="N120" s="1" t="n"/>
      <c r="O120" s="1" t="n"/>
      <c r="P120" s="1" t="n"/>
      <c r="Q120" s="1" t="n"/>
      <c r="R120" s="1" t="n"/>
      <c r="S120" s="1" t="n"/>
      <c r="T120" s="1" t="n"/>
      <c r="U120" s="1" t="n"/>
      <c r="V120" s="1" t="n"/>
      <c r="W120" s="1" t="n"/>
      <c r="X120" s="1" t="n"/>
      <c r="Y120" s="1" t="n"/>
      <c r="Z120" s="1" t="n"/>
      <c r="AA120" s="1" t="n"/>
      <c r="AB120" s="1" t="n"/>
      <c r="AC120" s="1" t="n"/>
      <c r="AD120" s="1" t="n"/>
      <c r="AE120" s="1" t="n"/>
      <c r="AF120" s="1" t="n"/>
      <c r="AG120" s="1" t="n"/>
      <c r="AH120" s="1" t="n"/>
      <c r="AI120" s="1" t="n"/>
      <c r="AJ120" s="1" t="n"/>
    </row>
    <row r="121" ht="15" customHeight="1">
      <c r="A121" s="429" t="n"/>
      <c r="B121" s="429" t="n"/>
      <c r="C121" s="429" t="n"/>
      <c r="D121" s="429" t="n"/>
      <c r="E121" s="52" t="n"/>
      <c r="F121" s="50" t="inlineStr">
        <is>
          <t>Hard Service</t>
        </is>
      </c>
      <c r="G121" s="425" t="inlineStr">
        <is>
          <t>-</t>
        </is>
      </c>
      <c r="H121" s="29" t="inlineStr">
        <is>
          <t>-</t>
        </is>
      </c>
      <c r="I121" s="425" t="inlineStr">
        <is>
          <t>Vacant</t>
        </is>
      </c>
      <c r="J121" s="499" t="n"/>
      <c r="K121" s="14" t="inlineStr">
        <is>
          <t>-</t>
        </is>
      </c>
      <c r="L121" s="23" t="inlineStr">
        <is>
          <t>-</t>
        </is>
      </c>
      <c r="N121" s="1" t="n"/>
      <c r="O121" s="1" t="n"/>
      <c r="P121" s="1" t="n"/>
      <c r="Q121" s="1" t="n"/>
      <c r="R121" s="1" t="n"/>
      <c r="S121" s="1" t="n"/>
      <c r="T121" s="1" t="n"/>
      <c r="U121" s="1" t="n"/>
      <c r="V121" s="1" t="n"/>
      <c r="W121" s="1" t="n"/>
      <c r="X121" s="1" t="n"/>
      <c r="Y121" s="1" t="n"/>
      <c r="Z121" s="1" t="n"/>
      <c r="AA121" s="1" t="n"/>
      <c r="AB121" s="1" t="n"/>
      <c r="AC121" s="1" t="n"/>
      <c r="AD121" s="1" t="n"/>
      <c r="AE121" s="1" t="n"/>
      <c r="AF121" s="1" t="n"/>
      <c r="AG121" s="1" t="n"/>
      <c r="AH121" s="1" t="n"/>
      <c r="AI121" s="1" t="n"/>
      <c r="AJ121" s="1" t="n"/>
    </row>
    <row r="122" ht="15" customHeight="1">
      <c r="A122" s="429" t="n"/>
      <c r="B122" s="429" t="n"/>
      <c r="C122" s="429" t="n"/>
      <c r="D122" s="429" t="n"/>
      <c r="E122" s="52" t="n"/>
      <c r="F122" s="50" t="inlineStr">
        <is>
          <t>Hard Service</t>
        </is>
      </c>
      <c r="G122" s="425" t="inlineStr">
        <is>
          <t>-</t>
        </is>
      </c>
      <c r="H122" s="29" t="inlineStr">
        <is>
          <t>-</t>
        </is>
      </c>
      <c r="I122" s="425" t="inlineStr">
        <is>
          <t>Vacant</t>
        </is>
      </c>
      <c r="J122" s="499" t="n"/>
      <c r="K122" s="14" t="inlineStr">
        <is>
          <t>-</t>
        </is>
      </c>
      <c r="L122" s="23" t="inlineStr">
        <is>
          <t>-</t>
        </is>
      </c>
      <c r="N122" s="1" t="n"/>
      <c r="O122" s="1" t="n"/>
      <c r="P122" s="1" t="n"/>
      <c r="Q122" s="1" t="n"/>
      <c r="R122" s="1" t="n"/>
      <c r="S122" s="1" t="n"/>
      <c r="T122" s="1" t="n"/>
      <c r="U122" s="1" t="n"/>
      <c r="V122" s="1" t="n"/>
      <c r="W122" s="1" t="n"/>
      <c r="X122" s="1" t="n"/>
      <c r="Y122" s="1" t="n"/>
      <c r="Z122" s="1" t="n"/>
      <c r="AA122" s="1" t="n"/>
      <c r="AB122" s="1" t="n"/>
      <c r="AC122" s="1" t="n"/>
      <c r="AD122" s="1" t="n"/>
      <c r="AE122" s="1" t="n"/>
      <c r="AF122" s="1" t="n"/>
      <c r="AG122" s="1" t="n"/>
      <c r="AH122" s="1" t="n"/>
      <c r="AI122" s="1" t="n"/>
      <c r="AJ122" s="1" t="n"/>
    </row>
    <row r="123" ht="15" customHeight="1">
      <c r="A123" s="429" t="n"/>
      <c r="B123" s="429" t="n"/>
      <c r="C123" s="429" t="n"/>
      <c r="D123" s="429" t="n"/>
      <c r="E123" s="52" t="n"/>
      <c r="F123" s="50" t="inlineStr">
        <is>
          <t>Hard Service</t>
        </is>
      </c>
      <c r="G123" s="425" t="inlineStr">
        <is>
          <t>-</t>
        </is>
      </c>
      <c r="H123" s="29" t="inlineStr">
        <is>
          <t>-</t>
        </is>
      </c>
      <c r="I123" s="425" t="inlineStr">
        <is>
          <t>Vacant</t>
        </is>
      </c>
      <c r="J123" s="499" t="n"/>
      <c r="K123" s="14" t="inlineStr">
        <is>
          <t>-</t>
        </is>
      </c>
      <c r="L123" s="23" t="inlineStr">
        <is>
          <t>-</t>
        </is>
      </c>
      <c r="N123" s="1" t="n"/>
      <c r="O123" s="1" t="n"/>
      <c r="P123" s="1" t="n"/>
      <c r="Q123" s="1" t="n"/>
      <c r="R123" s="1" t="n"/>
      <c r="S123" s="1" t="n"/>
      <c r="T123" s="1" t="n"/>
      <c r="U123" s="1" t="n"/>
      <c r="V123" s="1" t="n"/>
      <c r="W123" s="1" t="n"/>
      <c r="X123" s="1" t="n"/>
      <c r="Y123" s="1" t="n"/>
      <c r="Z123" s="1" t="n"/>
      <c r="AA123" s="1" t="n"/>
      <c r="AB123" s="1" t="n"/>
      <c r="AC123" s="1" t="n"/>
      <c r="AD123" s="1" t="n"/>
      <c r="AE123" s="1" t="n"/>
      <c r="AF123" s="1" t="n"/>
      <c r="AG123" s="1" t="n"/>
      <c r="AH123" s="1" t="n"/>
      <c r="AI123" s="1" t="n"/>
      <c r="AJ123" s="1" t="n"/>
    </row>
    <row r="124" ht="15" customHeight="1">
      <c r="A124" s="431" t="n"/>
      <c r="B124" s="431" t="n"/>
      <c r="C124" s="431" t="n"/>
      <c r="D124" s="431" t="n"/>
      <c r="E124" s="52" t="n"/>
      <c r="F124" s="50" t="inlineStr">
        <is>
          <t>Hard Service</t>
        </is>
      </c>
      <c r="G124" s="425" t="inlineStr">
        <is>
          <t>-</t>
        </is>
      </c>
      <c r="H124" s="29" t="inlineStr">
        <is>
          <t>-</t>
        </is>
      </c>
      <c r="I124" s="425" t="inlineStr">
        <is>
          <t>Vacant</t>
        </is>
      </c>
      <c r="J124" s="499" t="n"/>
      <c r="K124" s="14" t="inlineStr">
        <is>
          <t>-</t>
        </is>
      </c>
      <c r="L124" s="23" t="inlineStr">
        <is>
          <t>-</t>
        </is>
      </c>
      <c r="N124" s="1" t="n"/>
      <c r="O124" s="1" t="n"/>
      <c r="P124" s="1" t="n"/>
      <c r="Q124" s="1" t="n"/>
      <c r="R124" s="1" t="n"/>
      <c r="S124" s="1" t="n"/>
      <c r="T124" s="1" t="n"/>
      <c r="U124" s="1" t="n"/>
      <c r="V124" s="1" t="n"/>
      <c r="W124" s="1" t="n"/>
      <c r="X124" s="1" t="n"/>
      <c r="Y124" s="1" t="n"/>
      <c r="Z124" s="1" t="n"/>
      <c r="AA124" s="1" t="n"/>
      <c r="AB124" s="1" t="n"/>
      <c r="AC124" s="1" t="n"/>
      <c r="AD124" s="1" t="n"/>
      <c r="AE124" s="1" t="n"/>
      <c r="AF124" s="1" t="n"/>
      <c r="AG124" s="1" t="n"/>
      <c r="AH124" s="1" t="n"/>
      <c r="AI124" s="1" t="n"/>
      <c r="AJ124" s="1" t="n"/>
    </row>
    <row r="125" ht="15" customHeight="1">
      <c r="A125" s="445" t="inlineStr">
        <is>
          <t>Appliance Technician</t>
        </is>
      </c>
      <c r="B125" s="440" t="n">
        <v>2</v>
      </c>
      <c r="C125" s="440">
        <f>COUNTIF(E125:E126,"&lt;&gt;")</f>
        <v/>
      </c>
      <c r="D125" s="441">
        <f>C125-B125</f>
        <v/>
      </c>
      <c r="E125" s="52" t="n"/>
      <c r="F125" s="50" t="inlineStr">
        <is>
          <t>Hard Service</t>
        </is>
      </c>
      <c r="G125" s="425" t="inlineStr">
        <is>
          <t>-</t>
        </is>
      </c>
      <c r="H125" s="29" t="inlineStr">
        <is>
          <t>-</t>
        </is>
      </c>
      <c r="I125" s="425" t="inlineStr">
        <is>
          <t>Vacant</t>
        </is>
      </c>
      <c r="J125" s="499" t="n"/>
      <c r="K125" s="14" t="inlineStr">
        <is>
          <t>-</t>
        </is>
      </c>
      <c r="L125" s="23" t="inlineStr">
        <is>
          <t>-</t>
        </is>
      </c>
      <c r="N125" s="1" t="n"/>
      <c r="O125" s="1" t="n"/>
      <c r="P125" s="1" t="n"/>
      <c r="Q125" s="1" t="n"/>
      <c r="R125" s="1" t="n"/>
      <c r="S125" s="1" t="n"/>
      <c r="T125" s="1" t="n"/>
      <c r="U125" s="1" t="n"/>
      <c r="V125" s="1" t="n"/>
      <c r="W125" s="1" t="n"/>
      <c r="X125" s="1" t="n"/>
      <c r="Y125" s="1" t="n"/>
      <c r="Z125" s="1" t="n"/>
      <c r="AA125" s="1" t="n"/>
      <c r="AB125" s="1" t="n"/>
      <c r="AC125" s="1" t="n"/>
      <c r="AD125" s="1" t="n"/>
      <c r="AE125" s="1" t="n"/>
      <c r="AF125" s="1" t="n"/>
      <c r="AG125" s="1" t="n"/>
      <c r="AH125" s="1" t="n"/>
      <c r="AI125" s="1" t="n"/>
      <c r="AJ125" s="1" t="n"/>
    </row>
    <row r="126" ht="15" customHeight="1">
      <c r="A126" s="431" t="n"/>
      <c r="B126" s="431" t="n"/>
      <c r="C126" s="431" t="n"/>
      <c r="D126" s="431" t="n"/>
      <c r="E126" s="52" t="n"/>
      <c r="F126" s="50" t="inlineStr">
        <is>
          <t>Hard Service</t>
        </is>
      </c>
      <c r="G126" s="425" t="inlineStr">
        <is>
          <t>-</t>
        </is>
      </c>
      <c r="H126" s="29" t="inlineStr">
        <is>
          <t>-</t>
        </is>
      </c>
      <c r="I126" s="425" t="inlineStr">
        <is>
          <t>Vacant</t>
        </is>
      </c>
      <c r="J126" s="499" t="n"/>
      <c r="K126" s="14" t="inlineStr">
        <is>
          <t>-</t>
        </is>
      </c>
      <c r="L126" s="23" t="inlineStr">
        <is>
          <t>-</t>
        </is>
      </c>
      <c r="N126" s="1" t="n"/>
      <c r="O126" s="1" t="n"/>
      <c r="P126" s="1" t="n"/>
      <c r="Q126" s="1" t="n"/>
      <c r="R126" s="1" t="n"/>
      <c r="S126" s="1" t="n"/>
      <c r="T126" s="1" t="n"/>
      <c r="U126" s="1" t="n"/>
      <c r="V126" s="1" t="n"/>
      <c r="W126" s="1" t="n"/>
      <c r="X126" s="1" t="n"/>
      <c r="Y126" s="1" t="n"/>
      <c r="Z126" s="1" t="n"/>
      <c r="AA126" s="1" t="n"/>
      <c r="AB126" s="1" t="n"/>
      <c r="AC126" s="1" t="n"/>
      <c r="AD126" s="1" t="n"/>
      <c r="AE126" s="1" t="n"/>
      <c r="AF126" s="1" t="n"/>
      <c r="AG126" s="1" t="n"/>
      <c r="AH126" s="1" t="n"/>
      <c r="AI126" s="1" t="n"/>
      <c r="AJ126" s="1" t="n"/>
    </row>
    <row r="127" ht="15" customHeight="1">
      <c r="A127" s="430" t="inlineStr">
        <is>
          <t>Warehouse Helper</t>
        </is>
      </c>
      <c r="B127" s="442" t="n">
        <v>2</v>
      </c>
      <c r="C127" s="449">
        <f>COUNTIF(E127:E128,"&lt;&gt;")</f>
        <v/>
      </c>
      <c r="D127" s="432">
        <f>C127-B127</f>
        <v/>
      </c>
      <c r="E127" s="32" t="inlineStr">
        <is>
          <t>Mohammad Ajmat Ansari</t>
        </is>
      </c>
      <c r="F127" s="50" t="inlineStr">
        <is>
          <t>Hard Service</t>
        </is>
      </c>
      <c r="G127" s="460" t="inlineStr">
        <is>
          <t>C00745</t>
        </is>
      </c>
      <c r="H127" s="460" t="n">
        <v>2582901068</v>
      </c>
      <c r="I127" s="425" t="inlineStr">
        <is>
          <t>Approved</t>
        </is>
      </c>
      <c r="J127" s="496" t="n">
        <v>45586</v>
      </c>
      <c r="K127" s="14" t="inlineStr">
        <is>
          <t>MEHAN VISA</t>
        </is>
      </c>
      <c r="L127" s="23" t="inlineStr">
        <is>
          <t>-</t>
        </is>
      </c>
      <c r="N127" s="1" t="n"/>
      <c r="O127" s="1" t="n"/>
      <c r="P127" s="1" t="n"/>
      <c r="Q127" s="1" t="n"/>
      <c r="R127" s="1" t="n"/>
      <c r="S127" s="1" t="n"/>
      <c r="T127" s="1" t="n"/>
      <c r="U127" s="1" t="n"/>
      <c r="V127" s="1" t="n"/>
      <c r="W127" s="1" t="n"/>
      <c r="X127" s="1" t="n"/>
      <c r="Y127" s="1" t="n"/>
      <c r="Z127" s="1" t="n"/>
      <c r="AA127" s="1" t="n"/>
      <c r="AB127" s="1" t="n"/>
      <c r="AC127" s="1" t="n"/>
      <c r="AD127" s="1" t="n"/>
      <c r="AE127" s="1" t="n"/>
      <c r="AF127" s="1" t="n"/>
      <c r="AG127" s="1" t="n"/>
      <c r="AH127" s="1" t="n"/>
      <c r="AI127" s="1" t="n"/>
      <c r="AJ127" s="1" t="n"/>
    </row>
    <row r="128" ht="15" customHeight="1">
      <c r="A128" s="431" t="n"/>
      <c r="B128" s="431" t="n"/>
      <c r="C128" s="431" t="n"/>
      <c r="D128" s="431" t="n"/>
      <c r="E128" s="54" t="inlineStr">
        <is>
          <t>MD. Iqbal Hossain Bhuiyan</t>
        </is>
      </c>
      <c r="F128" s="50" t="inlineStr">
        <is>
          <t>Hard Service</t>
        </is>
      </c>
      <c r="G128" s="460" t="inlineStr">
        <is>
          <t>S254</t>
        </is>
      </c>
      <c r="H128" s="460" t="n">
        <v>2597723580</v>
      </c>
      <c r="I128" s="425" t="inlineStr">
        <is>
          <t>Approved</t>
        </is>
      </c>
      <c r="J128" s="496" t="n">
        <v>45743</v>
      </c>
      <c r="K128" s="14" t="inlineStr">
        <is>
          <t>SCC (RENTAL)</t>
        </is>
      </c>
      <c r="L128" s="23" t="inlineStr">
        <is>
          <t>-</t>
        </is>
      </c>
      <c r="N128" s="1" t="n"/>
      <c r="O128" s="1" t="n"/>
      <c r="P128" s="1" t="n"/>
      <c r="Q128" s="1" t="n"/>
      <c r="R128" s="1" t="n"/>
      <c r="S128" s="1" t="n"/>
      <c r="T128" s="1" t="n"/>
      <c r="U128" s="1" t="n"/>
      <c r="V128" s="1" t="n"/>
      <c r="W128" s="1" t="n"/>
      <c r="X128" s="1" t="n"/>
      <c r="Y128" s="1" t="n"/>
      <c r="Z128" s="1" t="n"/>
      <c r="AA128" s="1" t="n"/>
      <c r="AB128" s="1" t="n"/>
      <c r="AC128" s="1" t="n"/>
      <c r="AD128" s="1" t="n"/>
      <c r="AE128" s="1" t="n"/>
      <c r="AF128" s="1" t="n"/>
      <c r="AG128" s="1" t="n"/>
      <c r="AH128" s="1" t="n"/>
      <c r="AI128" s="1" t="n"/>
      <c r="AJ128" s="1" t="n"/>
    </row>
    <row r="129" ht="15" customHeight="1">
      <c r="A129" s="445" t="inlineStr">
        <is>
          <t>IT Engineer</t>
        </is>
      </c>
      <c r="B129" s="440" t="n">
        <v>2</v>
      </c>
      <c r="C129" s="440">
        <f>COUNTIF(E129:E130,"&lt;&gt;")</f>
        <v/>
      </c>
      <c r="D129" s="450">
        <f>C129-B129</f>
        <v/>
      </c>
      <c r="E129" s="22" t="inlineStr">
        <is>
          <t>Muhammad Haroon</t>
        </is>
      </c>
      <c r="F129" s="26" t="inlineStr">
        <is>
          <t>I.T</t>
        </is>
      </c>
      <c r="G129" s="27" t="inlineStr">
        <is>
          <t>C00677</t>
        </is>
      </c>
      <c r="H129" s="19" t="n">
        <v>2582096315</v>
      </c>
      <c r="I129" s="425" t="inlineStr">
        <is>
          <t>Approved</t>
        </is>
      </c>
      <c r="J129" s="496" t="n">
        <v>45586</v>
      </c>
      <c r="K129" s="28" t="inlineStr">
        <is>
          <t>MEHAN VISA</t>
        </is>
      </c>
      <c r="L129" s="23" t="inlineStr">
        <is>
          <t>-</t>
        </is>
      </c>
      <c r="N129" s="1" t="n"/>
      <c r="O129" s="1" t="n"/>
      <c r="P129" s="1" t="n"/>
      <c r="Q129" s="1" t="n"/>
      <c r="R129" s="1" t="n"/>
      <c r="S129" s="1" t="n"/>
      <c r="T129" s="1" t="n"/>
      <c r="U129" s="1" t="n"/>
      <c r="V129" s="1" t="n"/>
      <c r="W129" s="1" t="n"/>
      <c r="X129" s="1" t="n"/>
      <c r="Y129" s="1" t="n"/>
      <c r="Z129" s="1" t="n"/>
      <c r="AA129" s="1" t="n"/>
      <c r="AB129" s="1" t="n"/>
      <c r="AC129" s="1" t="n"/>
      <c r="AD129" s="1" t="n"/>
      <c r="AE129" s="1" t="n"/>
      <c r="AF129" s="1" t="n"/>
      <c r="AG129" s="1" t="n"/>
      <c r="AH129" s="1" t="n"/>
      <c r="AI129" s="1" t="n"/>
      <c r="AJ129" s="1" t="n"/>
    </row>
    <row r="130" ht="15" customHeight="1">
      <c r="A130" s="431" t="n"/>
      <c r="B130" s="431" t="n"/>
      <c r="C130" s="431" t="n"/>
      <c r="D130" s="451" t="n"/>
      <c r="E130" s="32" t="inlineStr">
        <is>
          <t>Haider Ali</t>
        </is>
      </c>
      <c r="F130" s="55" t="inlineStr">
        <is>
          <t>IT</t>
        </is>
      </c>
      <c r="G130" s="460" t="inlineStr">
        <is>
          <t>EM-0002710</t>
        </is>
      </c>
      <c r="H130" s="460" t="n">
        <v>2587449311</v>
      </c>
      <c r="I130" s="425" t="inlineStr">
        <is>
          <t>Approved</t>
        </is>
      </c>
      <c r="J130" s="496" t="n">
        <v>45600</v>
      </c>
      <c r="K130" s="14" t="inlineStr">
        <is>
          <t>AL-FALAK VISA</t>
        </is>
      </c>
      <c r="L130" s="23" t="inlineStr">
        <is>
          <t>-</t>
        </is>
      </c>
      <c r="N130" s="1" t="n"/>
      <c r="O130" s="1" t="n"/>
      <c r="P130" s="1" t="n"/>
      <c r="Q130" s="1" t="n"/>
      <c r="R130" s="1" t="n"/>
      <c r="S130" s="1" t="n"/>
      <c r="T130" s="1" t="n"/>
      <c r="U130" s="1" t="n"/>
      <c r="V130" s="1" t="n"/>
      <c r="W130" s="1" t="n"/>
      <c r="X130" s="1" t="n"/>
      <c r="Y130" s="1" t="n"/>
      <c r="Z130" s="1" t="n"/>
      <c r="AA130" s="1" t="n"/>
      <c r="AB130" s="1" t="n"/>
      <c r="AC130" s="1" t="n"/>
      <c r="AD130" s="1" t="n"/>
      <c r="AE130" s="1" t="n"/>
      <c r="AF130" s="1" t="n"/>
      <c r="AG130" s="1" t="n"/>
      <c r="AH130" s="1" t="n"/>
      <c r="AI130" s="1" t="n"/>
      <c r="AJ130" s="1" t="n"/>
    </row>
    <row r="131" ht="15" customHeight="1">
      <c r="A131" s="445" t="inlineStr">
        <is>
          <t>Civil Supervisor</t>
        </is>
      </c>
      <c r="B131" s="440" t="n">
        <v>2</v>
      </c>
      <c r="C131" s="440">
        <f>COUNTIF(E131:E132,"&lt;&gt;")</f>
        <v/>
      </c>
      <c r="D131" s="441">
        <f>C131-B131</f>
        <v/>
      </c>
      <c r="E131" s="32" t="inlineStr">
        <is>
          <t>MD. Rashid Hussain</t>
        </is>
      </c>
      <c r="F131" s="50" t="inlineStr">
        <is>
          <t>Hard Service</t>
        </is>
      </c>
      <c r="G131" s="29" t="inlineStr">
        <is>
          <t>C00720</t>
        </is>
      </c>
      <c r="H131" s="29" t="n">
        <v>2582389033</v>
      </c>
      <c r="I131" s="425" t="inlineStr">
        <is>
          <t>Approved</t>
        </is>
      </c>
      <c r="J131" s="496" t="n">
        <v>45599</v>
      </c>
      <c r="K131" s="14" t="inlineStr">
        <is>
          <t>MEHAN VISA</t>
        </is>
      </c>
      <c r="L131" s="23" t="inlineStr">
        <is>
          <t>-</t>
        </is>
      </c>
      <c r="N131" s="1" t="n"/>
      <c r="O131" s="1" t="n"/>
      <c r="P131" s="1" t="n"/>
      <c r="Q131" s="1" t="n"/>
      <c r="R131" s="1" t="n"/>
      <c r="S131" s="1" t="n"/>
      <c r="T131" s="1" t="n"/>
      <c r="U131" s="1" t="n"/>
      <c r="V131" s="1" t="n"/>
      <c r="W131" s="1" t="n"/>
      <c r="X131" s="1" t="n"/>
      <c r="Y131" s="1" t="n"/>
      <c r="Z131" s="1" t="n"/>
      <c r="AA131" s="1" t="n"/>
      <c r="AB131" s="1" t="n"/>
      <c r="AC131" s="1" t="n"/>
      <c r="AD131" s="1" t="n"/>
      <c r="AE131" s="1" t="n"/>
      <c r="AF131" s="1" t="n"/>
      <c r="AG131" s="1" t="n"/>
      <c r="AH131" s="1" t="n"/>
      <c r="AI131" s="1" t="n"/>
      <c r="AJ131" s="1" t="n"/>
    </row>
    <row r="132" ht="15" customHeight="1">
      <c r="A132" s="431" t="n"/>
      <c r="B132" s="431" t="n"/>
      <c r="C132" s="431" t="n"/>
      <c r="D132" s="431" t="n"/>
      <c r="E132" s="22" t="inlineStr">
        <is>
          <t>Zakir Shafi Dar</t>
        </is>
      </c>
      <c r="F132" s="26" t="inlineStr">
        <is>
          <t>Hard Service</t>
        </is>
      </c>
      <c r="G132" s="27" t="n">
        <v>704236</v>
      </c>
      <c r="H132" s="19" t="n">
        <v>2636733269</v>
      </c>
      <c r="I132" s="425" t="inlineStr">
        <is>
          <t>Additional</t>
        </is>
      </c>
      <c r="J132" s="496" t="n">
        <v>46157</v>
      </c>
      <c r="K132" s="28" t="inlineStr">
        <is>
          <t>FMCO</t>
        </is>
      </c>
      <c r="L132" s="23" t="inlineStr">
        <is>
          <t>-</t>
        </is>
      </c>
      <c r="N132" s="1" t="n"/>
      <c r="O132" s="1" t="n"/>
      <c r="P132" s="1" t="n"/>
      <c r="Q132" s="1" t="n"/>
      <c r="R132" s="1" t="n"/>
      <c r="S132" s="1" t="n"/>
      <c r="T132" s="1" t="n"/>
      <c r="U132" s="1" t="n"/>
      <c r="V132" s="1" t="n"/>
      <c r="W132" s="1" t="n"/>
      <c r="X132" s="1" t="n"/>
      <c r="Y132" s="1" t="n"/>
      <c r="Z132" s="1" t="n"/>
      <c r="AA132" s="1" t="n"/>
      <c r="AB132" s="1" t="n"/>
      <c r="AC132" s="1" t="n"/>
      <c r="AD132" s="1" t="n"/>
      <c r="AE132" s="1" t="n"/>
      <c r="AF132" s="1" t="n"/>
      <c r="AG132" s="1" t="n"/>
      <c r="AH132" s="1" t="n"/>
      <c r="AI132" s="1" t="n"/>
      <c r="AJ132" s="1" t="n"/>
    </row>
    <row r="133" ht="15" customHeight="1">
      <c r="A133" s="445" t="inlineStr">
        <is>
          <t>Mason</t>
        </is>
      </c>
      <c r="B133" s="440" t="n">
        <v>2</v>
      </c>
      <c r="C133" s="440">
        <f>COUNTIF(E133:E134,"&lt;&gt;")</f>
        <v/>
      </c>
      <c r="D133" s="441">
        <f>C133-B133</f>
        <v/>
      </c>
      <c r="E133" s="32" t="inlineStr">
        <is>
          <t>Mahfuzul Alam</t>
        </is>
      </c>
      <c r="F133" s="50" t="inlineStr">
        <is>
          <t>Hard Service</t>
        </is>
      </c>
      <c r="G133" s="29" t="n">
        <v>703908</v>
      </c>
      <c r="H133" s="29" t="n">
        <v>2586785574</v>
      </c>
      <c r="I133" s="425" t="inlineStr">
        <is>
          <t>Approved</t>
        </is>
      </c>
      <c r="J133" s="496" t="n">
        <v>45600</v>
      </c>
      <c r="K133" s="14" t="inlineStr">
        <is>
          <t>FMCO</t>
        </is>
      </c>
      <c r="L133" s="23" t="inlineStr">
        <is>
          <t>-</t>
        </is>
      </c>
      <c r="N133" s="1" t="n"/>
      <c r="O133" s="1" t="n"/>
      <c r="P133" s="1" t="n"/>
      <c r="Q133" s="1" t="n"/>
      <c r="R133" s="1" t="n"/>
      <c r="S133" s="1" t="n"/>
      <c r="T133" s="1" t="n"/>
      <c r="U133" s="1" t="n"/>
      <c r="V133" s="1" t="n"/>
      <c r="W133" s="1" t="n"/>
      <c r="X133" s="1" t="n"/>
      <c r="Y133" s="1" t="n"/>
      <c r="Z133" s="1" t="n"/>
      <c r="AA133" s="1" t="n"/>
      <c r="AB133" s="1" t="n"/>
      <c r="AC133" s="1" t="n"/>
      <c r="AD133" s="1" t="n"/>
      <c r="AE133" s="1" t="n"/>
      <c r="AF133" s="1" t="n"/>
      <c r="AG133" s="1" t="n"/>
      <c r="AH133" s="1" t="n"/>
      <c r="AI133" s="1" t="n"/>
      <c r="AJ133" s="1" t="n"/>
    </row>
    <row r="134" ht="15" customHeight="1">
      <c r="A134" s="431" t="n"/>
      <c r="B134" s="431" t="n"/>
      <c r="C134" s="431" t="n"/>
      <c r="D134" s="431" t="n"/>
      <c r="E134" s="22" t="inlineStr">
        <is>
          <t>Ram Babu Khatbe</t>
        </is>
      </c>
      <c r="F134" s="26" t="inlineStr">
        <is>
          <t>Hard Service</t>
        </is>
      </c>
      <c r="G134" s="27" t="n">
        <v>701716</v>
      </c>
      <c r="H134" s="19" t="n">
        <v>2536765734</v>
      </c>
      <c r="I134" s="425" t="inlineStr">
        <is>
          <t>Approved</t>
        </is>
      </c>
      <c r="J134" s="496" t="n">
        <v>46101</v>
      </c>
      <c r="K134" s="28" t="inlineStr">
        <is>
          <t>FMCO</t>
        </is>
      </c>
      <c r="L134" s="23" t="inlineStr">
        <is>
          <t>-</t>
        </is>
      </c>
      <c r="N134" s="1" t="n"/>
      <c r="O134" s="1" t="n"/>
      <c r="P134" s="1" t="n"/>
      <c r="Q134" s="1" t="n"/>
      <c r="R134" s="1" t="n"/>
      <c r="S134" s="1" t="n"/>
      <c r="T134" s="1" t="n"/>
      <c r="U134" s="1" t="n"/>
      <c r="V134" s="1" t="n"/>
      <c r="W134" s="1" t="n"/>
      <c r="X134" s="1" t="n"/>
      <c r="Y134" s="1" t="n"/>
      <c r="Z134" s="1" t="n"/>
      <c r="AA134" s="1" t="n"/>
      <c r="AB134" s="1" t="n"/>
      <c r="AC134" s="1" t="n"/>
      <c r="AD134" s="1" t="n"/>
      <c r="AE134" s="1" t="n"/>
      <c r="AF134" s="1" t="n"/>
      <c r="AG134" s="1" t="n"/>
      <c r="AH134" s="1" t="n"/>
      <c r="AI134" s="1" t="n"/>
      <c r="AJ134" s="1" t="n"/>
    </row>
    <row r="135" ht="15" customHeight="1">
      <c r="A135" s="445" t="inlineStr">
        <is>
          <t>Carpenter</t>
        </is>
      </c>
      <c r="B135" s="440" t="n">
        <v>8</v>
      </c>
      <c r="C135" s="440">
        <f>COUNTIF(E135:E142,"&lt;&gt;")</f>
        <v/>
      </c>
      <c r="D135" s="441">
        <f>C135-B135</f>
        <v/>
      </c>
      <c r="E135" s="32" t="inlineStr">
        <is>
          <t>Santosh Kumar</t>
        </is>
      </c>
      <c r="F135" s="50" t="inlineStr">
        <is>
          <t>Hard Service</t>
        </is>
      </c>
      <c r="G135" s="29" t="inlineStr">
        <is>
          <t>EM-0001963</t>
        </is>
      </c>
      <c r="H135" s="29" t="n">
        <v>2586198232</v>
      </c>
      <c r="I135" s="425" t="inlineStr">
        <is>
          <t>Approved</t>
        </is>
      </c>
      <c r="J135" s="496" t="n">
        <v>45902</v>
      </c>
      <c r="K135" s="14" t="inlineStr">
        <is>
          <t>AL-FALAK VISA</t>
        </is>
      </c>
      <c r="L135" s="23" t="inlineStr">
        <is>
          <t>-</t>
        </is>
      </c>
      <c r="N135" s="1" t="n"/>
      <c r="O135" s="1" t="n"/>
      <c r="P135" s="1" t="n"/>
      <c r="Q135" s="1" t="n"/>
      <c r="R135" s="1" t="n"/>
      <c r="S135" s="1" t="n"/>
      <c r="T135" s="1" t="n"/>
      <c r="U135" s="1" t="n"/>
      <c r="V135" s="1" t="n"/>
      <c r="W135" s="1" t="n"/>
      <c r="X135" s="1" t="n"/>
      <c r="Y135" s="1" t="n"/>
      <c r="Z135" s="1" t="n"/>
      <c r="AA135" s="1" t="n"/>
      <c r="AB135" s="1" t="n"/>
      <c r="AC135" s="1" t="n"/>
      <c r="AD135" s="1" t="n"/>
      <c r="AE135" s="1" t="n"/>
      <c r="AF135" s="1" t="n"/>
      <c r="AG135" s="1" t="n"/>
      <c r="AH135" s="1" t="n"/>
      <c r="AI135" s="1" t="n"/>
      <c r="AJ135" s="1" t="n"/>
    </row>
    <row r="136" ht="15" customHeight="1">
      <c r="A136" s="429" t="n"/>
      <c r="B136" s="429" t="n"/>
      <c r="C136" s="429" t="n"/>
      <c r="D136" s="429" t="n"/>
      <c r="E136" s="32" t="inlineStr">
        <is>
          <t>MD. Rezaul Khan</t>
        </is>
      </c>
      <c r="F136" s="50" t="inlineStr">
        <is>
          <t>Hard Service</t>
        </is>
      </c>
      <c r="G136" s="29" t="inlineStr">
        <is>
          <t>S328</t>
        </is>
      </c>
      <c r="H136" s="29" t="n">
        <v>2602237444</v>
      </c>
      <c r="I136" s="425" t="inlineStr">
        <is>
          <t>Approved</t>
        </is>
      </c>
      <c r="J136" s="496" t="n">
        <v>45785</v>
      </c>
      <c r="K136" s="14" t="inlineStr">
        <is>
          <t>SCC (RENTAL)</t>
        </is>
      </c>
      <c r="L136" s="23" t="inlineStr">
        <is>
          <t>-</t>
        </is>
      </c>
      <c r="N136" s="1" t="n"/>
      <c r="O136" s="1" t="n"/>
      <c r="P136" s="1" t="n"/>
      <c r="Q136" s="1" t="n"/>
      <c r="R136" s="1" t="n"/>
      <c r="S136" s="1" t="n"/>
      <c r="T136" s="1" t="n"/>
      <c r="U136" s="1" t="n"/>
      <c r="V136" s="1" t="n"/>
      <c r="W136" s="1" t="n"/>
      <c r="X136" s="1" t="n"/>
      <c r="Y136" s="1" t="n"/>
      <c r="Z136" s="1" t="n"/>
      <c r="AA136" s="1" t="n"/>
      <c r="AB136" s="1" t="n"/>
      <c r="AC136" s="1" t="n"/>
      <c r="AD136" s="1" t="n"/>
      <c r="AE136" s="1" t="n"/>
      <c r="AF136" s="1" t="n"/>
      <c r="AG136" s="1" t="n"/>
      <c r="AH136" s="1" t="n"/>
      <c r="AI136" s="1" t="n"/>
      <c r="AJ136" s="1" t="n"/>
    </row>
    <row r="137" ht="15" customHeight="1">
      <c r="A137" s="429" t="n"/>
      <c r="B137" s="429" t="n"/>
      <c r="C137" s="429" t="n"/>
      <c r="D137" s="429" t="n"/>
      <c r="E137" s="32" t="inlineStr">
        <is>
          <t>Rakesh Kumar Khatbe</t>
        </is>
      </c>
      <c r="F137" s="50" t="inlineStr">
        <is>
          <t>Hard Service</t>
        </is>
      </c>
      <c r="G137" s="29" t="inlineStr">
        <is>
          <t>S330</t>
        </is>
      </c>
      <c r="H137" s="29" t="n">
        <v>2603242401</v>
      </c>
      <c r="I137" s="425" t="inlineStr">
        <is>
          <t>Approved</t>
        </is>
      </c>
      <c r="J137" s="496" t="n">
        <v>45785</v>
      </c>
      <c r="K137" s="14" t="inlineStr">
        <is>
          <t>SCC (RENTAL)</t>
        </is>
      </c>
      <c r="L137" s="23" t="inlineStr">
        <is>
          <t>-</t>
        </is>
      </c>
      <c r="N137" s="1" t="n"/>
      <c r="O137" s="1" t="n"/>
      <c r="P137" s="1" t="n"/>
      <c r="Q137" s="1" t="n"/>
      <c r="R137" s="1" t="n"/>
      <c r="S137" s="1" t="n"/>
      <c r="T137" s="1" t="n"/>
      <c r="U137" s="1" t="n"/>
      <c r="V137" s="1" t="n"/>
      <c r="W137" s="1" t="n"/>
      <c r="X137" s="1" t="n"/>
      <c r="Y137" s="1" t="n"/>
      <c r="Z137" s="1" t="n"/>
      <c r="AA137" s="1" t="n"/>
      <c r="AB137" s="1" t="n"/>
      <c r="AC137" s="1" t="n"/>
      <c r="AD137" s="1" t="n"/>
      <c r="AE137" s="1" t="n"/>
      <c r="AF137" s="1" t="n"/>
      <c r="AG137" s="1" t="n"/>
      <c r="AH137" s="1" t="n"/>
      <c r="AI137" s="1" t="n"/>
      <c r="AJ137" s="1" t="n"/>
    </row>
    <row r="138" ht="15" customHeight="1">
      <c r="A138" s="429" t="n"/>
      <c r="B138" s="429" t="n"/>
      <c r="C138" s="429" t="n"/>
      <c r="D138" s="429" t="n"/>
      <c r="E138" s="32" t="inlineStr">
        <is>
          <t>Mohammad Safi Alam</t>
        </is>
      </c>
      <c r="F138" s="50" t="inlineStr">
        <is>
          <t>Hard Service</t>
        </is>
      </c>
      <c r="G138" s="29" t="inlineStr">
        <is>
          <t>S331</t>
        </is>
      </c>
      <c r="H138" s="29" t="n">
        <v>2603239753</v>
      </c>
      <c r="I138" s="425" t="inlineStr">
        <is>
          <t>Approved</t>
        </is>
      </c>
      <c r="J138" s="496" t="n">
        <v>45785</v>
      </c>
      <c r="K138" s="14" t="inlineStr">
        <is>
          <t>SCC (RENTAL)</t>
        </is>
      </c>
      <c r="L138" s="23" t="inlineStr">
        <is>
          <t>-</t>
        </is>
      </c>
      <c r="N138" s="1" t="n"/>
      <c r="O138" s="1" t="n"/>
      <c r="P138" s="1" t="n"/>
      <c r="Q138" s="1" t="n"/>
      <c r="R138" s="1" t="n"/>
      <c r="S138" s="1" t="n"/>
      <c r="T138" s="1" t="n"/>
      <c r="U138" s="1" t="n"/>
      <c r="V138" s="1" t="n"/>
      <c r="W138" s="1" t="n"/>
      <c r="X138" s="1" t="n"/>
      <c r="Y138" s="1" t="n"/>
      <c r="Z138" s="1" t="n"/>
      <c r="AA138" s="1" t="n"/>
      <c r="AB138" s="1" t="n"/>
      <c r="AC138" s="1" t="n"/>
      <c r="AD138" s="1" t="n"/>
      <c r="AE138" s="1" t="n"/>
      <c r="AF138" s="1" t="n"/>
      <c r="AG138" s="1" t="n"/>
      <c r="AH138" s="1" t="n"/>
      <c r="AI138" s="1" t="n"/>
      <c r="AJ138" s="1" t="n"/>
    </row>
    <row r="139" ht="15" customHeight="1">
      <c r="A139" s="429" t="n"/>
      <c r="B139" s="429" t="n"/>
      <c r="C139" s="429" t="n"/>
      <c r="D139" s="429" t="n"/>
      <c r="E139" s="32" t="inlineStr">
        <is>
          <t>Shyam Babu Mahato</t>
        </is>
      </c>
      <c r="F139" s="50" t="inlineStr">
        <is>
          <t>Hard Service</t>
        </is>
      </c>
      <c r="G139" s="29" t="inlineStr">
        <is>
          <t>S332</t>
        </is>
      </c>
      <c r="H139" s="29" t="n">
        <v>2603241718</v>
      </c>
      <c r="I139" s="425" t="inlineStr">
        <is>
          <t>Approved</t>
        </is>
      </c>
      <c r="J139" s="496" t="n">
        <v>45785</v>
      </c>
      <c r="K139" s="14" t="inlineStr">
        <is>
          <t>SCC (RENTAL)</t>
        </is>
      </c>
      <c r="L139" s="23" t="inlineStr">
        <is>
          <t>-</t>
        </is>
      </c>
      <c r="N139" s="1" t="n"/>
      <c r="O139" s="1" t="n"/>
      <c r="P139" s="1" t="n"/>
      <c r="Q139" s="1" t="n"/>
      <c r="R139" s="1" t="n"/>
      <c r="S139" s="1" t="n"/>
      <c r="T139" s="1" t="n"/>
      <c r="U139" s="1" t="n"/>
      <c r="V139" s="1" t="n"/>
      <c r="W139" s="1" t="n"/>
      <c r="X139" s="1" t="n"/>
      <c r="Y139" s="1" t="n"/>
      <c r="Z139" s="1" t="n"/>
      <c r="AA139" s="1" t="n"/>
      <c r="AB139" s="1" t="n"/>
      <c r="AC139" s="1" t="n"/>
      <c r="AD139" s="1" t="n"/>
      <c r="AE139" s="1" t="n"/>
      <c r="AF139" s="1" t="n"/>
      <c r="AG139" s="1" t="n"/>
      <c r="AH139" s="1" t="n"/>
      <c r="AI139" s="1" t="n"/>
      <c r="AJ139" s="1" t="n"/>
    </row>
    <row r="140" ht="15" customHeight="1">
      <c r="A140" s="429" t="n"/>
      <c r="B140" s="429" t="n"/>
      <c r="C140" s="429" t="n"/>
      <c r="D140" s="429" t="n"/>
      <c r="E140" s="32" t="inlineStr">
        <is>
          <t>Mainuddin Ahmed Hussain</t>
        </is>
      </c>
      <c r="F140" s="50" t="inlineStr">
        <is>
          <t>Hard Service</t>
        </is>
      </c>
      <c r="G140" s="425" t="inlineStr">
        <is>
          <t>-</t>
        </is>
      </c>
      <c r="H140" s="29" t="inlineStr">
        <is>
          <t>-</t>
        </is>
      </c>
      <c r="I140" s="425" t="inlineStr">
        <is>
          <t>Approved</t>
        </is>
      </c>
      <c r="J140" s="496" t="n">
        <v>46232</v>
      </c>
      <c r="K140" s="14" t="inlineStr">
        <is>
          <t>-</t>
        </is>
      </c>
      <c r="L140" s="23" t="inlineStr">
        <is>
          <t>-</t>
        </is>
      </c>
      <c r="N140" s="1" t="n"/>
      <c r="O140" s="1" t="n"/>
      <c r="P140" s="1" t="n"/>
      <c r="Q140" s="1" t="n"/>
      <c r="R140" s="1" t="n"/>
      <c r="S140" s="1" t="n"/>
      <c r="T140" s="1" t="n"/>
      <c r="U140" s="1" t="n"/>
      <c r="V140" s="1" t="n"/>
      <c r="W140" s="1" t="n"/>
      <c r="X140" s="1" t="n"/>
      <c r="Y140" s="1" t="n"/>
      <c r="Z140" s="1" t="n"/>
      <c r="AA140" s="1" t="n"/>
      <c r="AB140" s="1" t="n"/>
      <c r="AC140" s="1" t="n"/>
      <c r="AD140" s="1" t="n"/>
      <c r="AE140" s="1" t="n"/>
      <c r="AF140" s="1" t="n"/>
      <c r="AG140" s="1" t="n"/>
      <c r="AH140" s="1" t="n"/>
      <c r="AI140" s="1" t="n"/>
      <c r="AJ140" s="1" t="n"/>
    </row>
    <row r="141" ht="15" customHeight="1">
      <c r="A141" s="429" t="n"/>
      <c r="B141" s="429" t="n"/>
      <c r="C141" s="429" t="n"/>
      <c r="D141" s="429" t="n"/>
      <c r="E141" s="18" t="n"/>
      <c r="F141" s="50" t="inlineStr">
        <is>
          <t>Hard Service</t>
        </is>
      </c>
      <c r="G141" s="425" t="inlineStr">
        <is>
          <t>-</t>
        </is>
      </c>
      <c r="H141" s="29" t="inlineStr">
        <is>
          <t>-</t>
        </is>
      </c>
      <c r="I141" s="425" t="inlineStr">
        <is>
          <t>Vacant</t>
        </is>
      </c>
      <c r="J141" s="499" t="n"/>
      <c r="K141" s="14" t="inlineStr">
        <is>
          <t>-</t>
        </is>
      </c>
      <c r="L141" s="23" t="inlineStr">
        <is>
          <t>-</t>
        </is>
      </c>
      <c r="N141" s="1" t="n"/>
      <c r="O141" s="1" t="n"/>
      <c r="P141" s="1" t="n"/>
      <c r="Q141" s="1" t="n"/>
      <c r="R141" s="1" t="n"/>
      <c r="S141" s="1" t="n"/>
      <c r="T141" s="1" t="n"/>
      <c r="U141" s="1" t="n"/>
      <c r="V141" s="1" t="n"/>
      <c r="W141" s="1" t="n"/>
      <c r="X141" s="1" t="n"/>
      <c r="Y141" s="1" t="n"/>
      <c r="Z141" s="1" t="n"/>
      <c r="AA141" s="1" t="n"/>
      <c r="AB141" s="1" t="n"/>
      <c r="AC141" s="1" t="n"/>
      <c r="AD141" s="1" t="n"/>
      <c r="AE141" s="1" t="n"/>
      <c r="AF141" s="1" t="n"/>
      <c r="AG141" s="1" t="n"/>
      <c r="AH141" s="1" t="n"/>
      <c r="AI141" s="1" t="n"/>
      <c r="AJ141" s="1" t="n"/>
    </row>
    <row r="142" ht="15" customHeight="1">
      <c r="A142" s="431" t="n"/>
      <c r="B142" s="431" t="n"/>
      <c r="C142" s="431" t="n"/>
      <c r="D142" s="431" t="n"/>
      <c r="E142" s="18" t="n"/>
      <c r="F142" s="50" t="inlineStr">
        <is>
          <t>Hard Service</t>
        </is>
      </c>
      <c r="G142" s="425" t="inlineStr">
        <is>
          <t>-</t>
        </is>
      </c>
      <c r="H142" s="29" t="inlineStr">
        <is>
          <t>-</t>
        </is>
      </c>
      <c r="I142" s="425" t="inlineStr">
        <is>
          <t>Vacant</t>
        </is>
      </c>
      <c r="J142" s="499" t="n"/>
      <c r="K142" s="14" t="inlineStr">
        <is>
          <t>-</t>
        </is>
      </c>
      <c r="L142" s="23" t="inlineStr">
        <is>
          <t>-</t>
        </is>
      </c>
      <c r="N142" s="1" t="n"/>
      <c r="O142" s="1" t="n"/>
      <c r="P142" s="1" t="n"/>
      <c r="Q142" s="1" t="n"/>
      <c r="R142" s="1" t="n"/>
      <c r="S142" s="1" t="n"/>
      <c r="T142" s="1" t="n"/>
      <c r="U142" s="1" t="n"/>
      <c r="V142" s="1" t="n"/>
      <c r="W142" s="1" t="n"/>
      <c r="X142" s="1" t="n"/>
      <c r="Y142" s="1" t="n"/>
      <c r="Z142" s="1" t="n"/>
      <c r="AA142" s="1" t="n"/>
      <c r="AB142" s="1" t="n"/>
      <c r="AC142" s="1" t="n"/>
      <c r="AD142" s="1" t="n"/>
      <c r="AE142" s="1" t="n"/>
      <c r="AF142" s="1" t="n"/>
      <c r="AG142" s="1" t="n"/>
      <c r="AH142" s="1" t="n"/>
      <c r="AI142" s="1" t="n"/>
      <c r="AJ142" s="1" t="n"/>
    </row>
    <row r="143" ht="15" customHeight="1">
      <c r="A143" s="445" t="inlineStr">
        <is>
          <t>Painter/Handyman (Civil)</t>
        </is>
      </c>
      <c r="B143" s="440" t="n">
        <v>4</v>
      </c>
      <c r="C143" s="440">
        <f>COUNTIF(E143:E146,"&lt;&gt;")</f>
        <v/>
      </c>
      <c r="D143" s="441">
        <f>C143-B143</f>
        <v/>
      </c>
      <c r="E143" s="32" t="inlineStr">
        <is>
          <t>Sagor Bepari</t>
        </is>
      </c>
      <c r="F143" s="50" t="inlineStr">
        <is>
          <t>Hard Service</t>
        </is>
      </c>
      <c r="G143" s="460" t="inlineStr">
        <is>
          <t>-</t>
        </is>
      </c>
      <c r="H143" s="460" t="n">
        <v>2634344341</v>
      </c>
      <c r="I143" s="425" t="inlineStr">
        <is>
          <t>Approved</t>
        </is>
      </c>
      <c r="J143" s="496" t="n">
        <v>46149</v>
      </c>
      <c r="K143" s="14" t="inlineStr">
        <is>
          <t>AL SHARQIYA (Rental)</t>
        </is>
      </c>
      <c r="L143" s="23" t="inlineStr">
        <is>
          <t>-</t>
        </is>
      </c>
      <c r="N143" s="1" t="n"/>
      <c r="O143" s="1" t="n"/>
      <c r="P143" s="1" t="n"/>
      <c r="Q143" s="1" t="n"/>
      <c r="R143" s="1" t="n"/>
      <c r="S143" s="1" t="n"/>
      <c r="T143" s="1" t="n"/>
      <c r="U143" s="1" t="n"/>
      <c r="V143" s="1" t="n"/>
      <c r="W143" s="1" t="n"/>
      <c r="X143" s="1" t="n"/>
      <c r="Y143" s="1" t="n"/>
      <c r="Z143" s="1" t="n"/>
      <c r="AA143" s="1" t="n"/>
      <c r="AB143" s="1" t="n"/>
      <c r="AC143" s="1" t="n"/>
      <c r="AD143" s="1" t="n"/>
      <c r="AE143" s="1" t="n"/>
      <c r="AF143" s="1" t="n"/>
      <c r="AG143" s="1" t="n"/>
      <c r="AH143" s="1" t="n"/>
      <c r="AI143" s="1" t="n"/>
      <c r="AJ143" s="1" t="n"/>
    </row>
    <row r="144" ht="15" customHeight="1">
      <c r="A144" s="429" t="n"/>
      <c r="B144" s="429" t="n"/>
      <c r="C144" s="429" t="n"/>
      <c r="D144" s="429" t="n"/>
      <c r="E144" s="32" t="inlineStr">
        <is>
          <t>Mohammad Faruk Jossain</t>
        </is>
      </c>
      <c r="F144" s="50" t="inlineStr">
        <is>
          <t>Hard Service</t>
        </is>
      </c>
      <c r="G144" s="460" t="inlineStr">
        <is>
          <t>-</t>
        </is>
      </c>
      <c r="H144" s="460" t="n">
        <v>2615815228</v>
      </c>
      <c r="I144" s="425" t="inlineStr">
        <is>
          <t>Approved</t>
        </is>
      </c>
      <c r="J144" s="496" t="n">
        <v>46149</v>
      </c>
      <c r="K144" s="14" t="inlineStr">
        <is>
          <t>AL SHARQIYA (Rental)</t>
        </is>
      </c>
      <c r="L144" s="23" t="inlineStr">
        <is>
          <t>-</t>
        </is>
      </c>
      <c r="N144" s="1" t="n"/>
      <c r="O144" s="1" t="n"/>
      <c r="P144" s="1" t="n"/>
      <c r="Q144" s="1" t="n"/>
      <c r="R144" s="1" t="n"/>
      <c r="S144" s="1" t="n"/>
      <c r="T144" s="1" t="n"/>
      <c r="U144" s="1" t="n"/>
      <c r="V144" s="1" t="n"/>
      <c r="W144" s="1" t="n"/>
      <c r="X144" s="1" t="n"/>
      <c r="Y144" s="1" t="n"/>
      <c r="Z144" s="1" t="n"/>
      <c r="AA144" s="1" t="n"/>
      <c r="AB144" s="1" t="n"/>
      <c r="AC144" s="1" t="n"/>
      <c r="AD144" s="1" t="n"/>
      <c r="AE144" s="1" t="n"/>
      <c r="AF144" s="1" t="n"/>
      <c r="AG144" s="1" t="n"/>
      <c r="AH144" s="1" t="n"/>
      <c r="AI144" s="1" t="n"/>
      <c r="AJ144" s="1" t="n"/>
    </row>
    <row r="145" ht="15" customHeight="1">
      <c r="A145" s="429" t="n"/>
      <c r="B145" s="429" t="n"/>
      <c r="C145" s="429" t="n"/>
      <c r="D145" s="429" t="n"/>
      <c r="E145" s="32" t="inlineStr">
        <is>
          <t>Golam Rabbani</t>
        </is>
      </c>
      <c r="F145" s="50" t="inlineStr">
        <is>
          <t>Hard Service</t>
        </is>
      </c>
      <c r="G145" s="460" t="inlineStr">
        <is>
          <t>-</t>
        </is>
      </c>
      <c r="H145" s="460" t="n">
        <v>2592128157</v>
      </c>
      <c r="I145" s="425" t="inlineStr">
        <is>
          <t>Approved</t>
        </is>
      </c>
      <c r="J145" s="496" t="n">
        <v>46149</v>
      </c>
      <c r="K145" s="14" t="inlineStr">
        <is>
          <t>AL SHARQIYA (Rental)</t>
        </is>
      </c>
      <c r="L145" s="23" t="inlineStr">
        <is>
          <t>-</t>
        </is>
      </c>
      <c r="N145" s="1" t="n"/>
      <c r="O145" s="1" t="n"/>
      <c r="P145" s="1" t="n"/>
      <c r="Q145" s="1" t="n"/>
      <c r="R145" s="1" t="n"/>
      <c r="S145" s="1" t="n"/>
      <c r="T145" s="1" t="n"/>
      <c r="U145" s="1" t="n"/>
      <c r="V145" s="1" t="n"/>
      <c r="W145" s="1" t="n"/>
      <c r="X145" s="1" t="n"/>
      <c r="Y145" s="1" t="n"/>
      <c r="Z145" s="1" t="n"/>
      <c r="AA145" s="1" t="n"/>
      <c r="AB145" s="1" t="n"/>
      <c r="AC145" s="1" t="n"/>
      <c r="AD145" s="1" t="n"/>
      <c r="AE145" s="1" t="n"/>
      <c r="AF145" s="1" t="n"/>
      <c r="AG145" s="1" t="n"/>
      <c r="AH145" s="1" t="n"/>
      <c r="AI145" s="1" t="n"/>
      <c r="AJ145" s="1" t="n"/>
    </row>
    <row r="146" ht="15" customHeight="1">
      <c r="A146" s="431" t="n"/>
      <c r="B146" s="431" t="n"/>
      <c r="C146" s="431" t="n"/>
      <c r="D146" s="431" t="n"/>
      <c r="E146" s="32" t="inlineStr">
        <is>
          <t>Redoy Miah</t>
        </is>
      </c>
      <c r="F146" s="50" t="inlineStr">
        <is>
          <t>Hard Service</t>
        </is>
      </c>
      <c r="G146" s="460" t="inlineStr">
        <is>
          <t>-</t>
        </is>
      </c>
      <c r="H146" s="460" t="n">
        <v>2558499931</v>
      </c>
      <c r="I146" s="425" t="inlineStr">
        <is>
          <t>Approved</t>
        </is>
      </c>
      <c r="J146" s="496" t="n">
        <v>46151</v>
      </c>
      <c r="K146" s="14" t="inlineStr">
        <is>
          <t>AL SHARQIYA (Rental)</t>
        </is>
      </c>
      <c r="L146" s="23" t="inlineStr">
        <is>
          <t>-</t>
        </is>
      </c>
      <c r="N146" s="1" t="n"/>
      <c r="O146" s="1" t="n"/>
      <c r="P146" s="1" t="n"/>
      <c r="Q146" s="1" t="n"/>
      <c r="R146" s="1" t="n"/>
      <c r="S146" s="1" t="n"/>
      <c r="T146" s="1" t="n"/>
      <c r="U146" s="1" t="n"/>
      <c r="V146" s="1" t="n"/>
      <c r="W146" s="1" t="n"/>
      <c r="X146" s="1" t="n"/>
      <c r="Y146" s="1" t="n"/>
      <c r="Z146" s="1" t="n"/>
      <c r="AA146" s="1" t="n"/>
      <c r="AB146" s="1" t="n"/>
      <c r="AC146" s="1" t="n"/>
      <c r="AD146" s="1" t="n"/>
      <c r="AE146" s="1" t="n"/>
      <c r="AF146" s="1" t="n"/>
      <c r="AG146" s="1" t="n"/>
      <c r="AH146" s="1" t="n"/>
      <c r="AI146" s="1" t="n"/>
      <c r="AJ146" s="1" t="n"/>
    </row>
    <row r="147" ht="15" customHeight="1">
      <c r="A147" s="430" t="inlineStr">
        <is>
          <t>LV Techncian (CCTV/IT )</t>
        </is>
      </c>
      <c r="B147" s="442" t="n">
        <v>2</v>
      </c>
      <c r="C147" s="449">
        <f>COUNTIF(E147:E148,"&lt;&gt;")</f>
        <v/>
      </c>
      <c r="D147" s="432">
        <f>C147-B147</f>
        <v/>
      </c>
      <c r="E147" s="32" t="inlineStr">
        <is>
          <t>Saraf Raj Ahmad</t>
        </is>
      </c>
      <c r="F147" s="50" t="inlineStr">
        <is>
          <t>Hard Service</t>
        </is>
      </c>
      <c r="G147" s="460" t="inlineStr">
        <is>
          <t>E-022-866</t>
        </is>
      </c>
      <c r="H147" s="460" t="n">
        <v>2587611480</v>
      </c>
      <c r="I147" s="425" t="inlineStr">
        <is>
          <t>Approved</t>
        </is>
      </c>
      <c r="J147" s="496" t="n">
        <v>45600</v>
      </c>
      <c r="K147" s="14" t="inlineStr">
        <is>
          <t>TALENT HOUSE VISA</t>
        </is>
      </c>
      <c r="L147" s="23" t="inlineStr">
        <is>
          <t>-</t>
        </is>
      </c>
      <c r="N147" s="1" t="n"/>
      <c r="O147" s="1" t="n"/>
      <c r="P147" s="1" t="n"/>
      <c r="Q147" s="1" t="n"/>
      <c r="R147" s="1" t="n"/>
      <c r="S147" s="1" t="n"/>
      <c r="T147" s="1" t="n"/>
      <c r="U147" s="1" t="n"/>
      <c r="V147" s="1" t="n"/>
      <c r="W147" s="1" t="n"/>
      <c r="X147" s="1" t="n"/>
      <c r="Y147" s="1" t="n"/>
      <c r="Z147" s="1" t="n"/>
      <c r="AA147" s="1" t="n"/>
      <c r="AB147" s="1" t="n"/>
      <c r="AC147" s="1" t="n"/>
      <c r="AD147" s="1" t="n"/>
      <c r="AE147" s="1" t="n"/>
      <c r="AF147" s="1" t="n"/>
      <c r="AG147" s="1" t="n"/>
      <c r="AH147" s="1" t="n"/>
      <c r="AI147" s="1" t="n"/>
      <c r="AJ147" s="1" t="n"/>
    </row>
    <row r="148" ht="15" customHeight="1">
      <c r="A148" s="431" t="n"/>
      <c r="B148" s="431" t="n"/>
      <c r="C148" s="431" t="n"/>
      <c r="D148" s="431" t="n"/>
      <c r="E148" s="32" t="inlineStr">
        <is>
          <t>Shashi Ranjan Kumar</t>
        </is>
      </c>
      <c r="F148" s="50" t="inlineStr">
        <is>
          <t>Hard Service</t>
        </is>
      </c>
      <c r="G148" s="460" t="inlineStr">
        <is>
          <t>EM-0002691</t>
        </is>
      </c>
      <c r="H148" s="460" t="n">
        <v>2586437481</v>
      </c>
      <c r="I148" s="425" t="inlineStr">
        <is>
          <t>Approved</t>
        </is>
      </c>
      <c r="J148" s="496" t="n">
        <v>45586</v>
      </c>
      <c r="K148" s="14" t="inlineStr">
        <is>
          <t>AL-FALAK VISA</t>
        </is>
      </c>
      <c r="L148" s="23" t="inlineStr">
        <is>
          <t>-</t>
        </is>
      </c>
      <c r="N148" s="1" t="n"/>
      <c r="O148" s="1" t="n"/>
      <c r="P148" s="1" t="n"/>
      <c r="Q148" s="1" t="n"/>
      <c r="R148" s="1" t="n"/>
      <c r="S148" s="1" t="n"/>
      <c r="T148" s="1" t="n"/>
      <c r="U148" s="1" t="n"/>
      <c r="V148" s="1" t="n"/>
      <c r="W148" s="1" t="n"/>
      <c r="X148" s="1" t="n"/>
      <c r="Y148" s="1" t="n"/>
      <c r="Z148" s="1" t="n"/>
      <c r="AA148" s="1" t="n"/>
      <c r="AB148" s="1" t="n"/>
      <c r="AC148" s="1" t="n"/>
      <c r="AD148" s="1" t="n"/>
      <c r="AE148" s="1" t="n"/>
      <c r="AF148" s="1" t="n"/>
      <c r="AG148" s="1" t="n"/>
      <c r="AH148" s="1" t="n"/>
      <c r="AI148" s="1" t="n"/>
      <c r="AJ148" s="1" t="n"/>
    </row>
    <row r="149" ht="15" customHeight="1">
      <c r="A149" s="445" t="inlineStr">
        <is>
          <t>STP Supervisor</t>
        </is>
      </c>
      <c r="B149" s="440" t="n">
        <v>2</v>
      </c>
      <c r="C149" s="440">
        <f>COUNTIF(E149:E150,"&lt;&gt;")</f>
        <v/>
      </c>
      <c r="D149" s="441">
        <f>C149-B149</f>
        <v/>
      </c>
      <c r="E149" s="32" t="inlineStr">
        <is>
          <t>Mohammad Nasir Jawed</t>
        </is>
      </c>
      <c r="F149" s="50" t="inlineStr">
        <is>
          <t>Hard Service</t>
        </is>
      </c>
      <c r="G149" s="460" t="n">
        <v>219071</v>
      </c>
      <c r="H149" s="460" t="n">
        <v>2620904587</v>
      </c>
      <c r="I149" s="425" t="inlineStr">
        <is>
          <t>Approved</t>
        </is>
      </c>
      <c r="J149" s="496" t="n">
        <v>45980</v>
      </c>
      <c r="K149" s="14" t="inlineStr">
        <is>
          <t>MASSADAR VISA</t>
        </is>
      </c>
      <c r="L149" s="23" t="inlineStr">
        <is>
          <t>-</t>
        </is>
      </c>
      <c r="N149" s="1" t="n"/>
      <c r="O149" s="1" t="n"/>
      <c r="P149" s="1" t="n"/>
      <c r="Q149" s="1" t="n"/>
      <c r="R149" s="1" t="n"/>
      <c r="S149" s="1" t="n"/>
      <c r="T149" s="1" t="n"/>
      <c r="U149" s="1" t="n"/>
      <c r="V149" s="1" t="n"/>
      <c r="W149" s="1" t="n"/>
      <c r="X149" s="1" t="n"/>
      <c r="Y149" s="1" t="n"/>
      <c r="Z149" s="1" t="n"/>
      <c r="AA149" s="1" t="n"/>
      <c r="AB149" s="1" t="n"/>
      <c r="AC149" s="1" t="n"/>
      <c r="AD149" s="1" t="n"/>
      <c r="AE149" s="1" t="n"/>
      <c r="AF149" s="1" t="n"/>
      <c r="AG149" s="1" t="n"/>
      <c r="AH149" s="1" t="n"/>
      <c r="AI149" s="1" t="n"/>
      <c r="AJ149" s="1" t="n"/>
    </row>
    <row r="150" ht="15" customHeight="1">
      <c r="A150" s="431" t="n"/>
      <c r="B150" s="431" t="n"/>
      <c r="C150" s="431" t="n"/>
      <c r="D150" s="431" t="n"/>
      <c r="E150" s="32" t="inlineStr">
        <is>
          <t xml:space="preserve">Ram Dulare Yadav </t>
        </is>
      </c>
      <c r="F150" s="50" t="inlineStr">
        <is>
          <t>Hard Service</t>
        </is>
      </c>
      <c r="G150" s="460" t="n">
        <v>704233</v>
      </c>
      <c r="H150" s="460" t="n">
        <v>2636153898</v>
      </c>
      <c r="I150" s="425" t="inlineStr">
        <is>
          <t>Approved</t>
        </is>
      </c>
      <c r="J150" s="496" t="n">
        <v>46151</v>
      </c>
      <c r="K150" s="14" t="inlineStr">
        <is>
          <t>FMCO</t>
        </is>
      </c>
      <c r="L150" s="23" t="inlineStr">
        <is>
          <t>-</t>
        </is>
      </c>
      <c r="N150" s="1" t="n"/>
      <c r="O150" s="1" t="n"/>
      <c r="P150" s="1" t="n"/>
      <c r="Q150" s="1" t="n"/>
      <c r="R150" s="1" t="n"/>
      <c r="S150" s="1" t="n"/>
      <c r="T150" s="1" t="n"/>
      <c r="U150" s="1" t="n"/>
      <c r="V150" s="1" t="n"/>
      <c r="W150" s="1" t="n"/>
      <c r="X150" s="1" t="n"/>
      <c r="Y150" s="1" t="n"/>
      <c r="Z150" s="1" t="n"/>
      <c r="AA150" s="1" t="n"/>
      <c r="AB150" s="1" t="n"/>
      <c r="AC150" s="1" t="n"/>
      <c r="AD150" s="1" t="n"/>
      <c r="AE150" s="1" t="n"/>
      <c r="AF150" s="1" t="n"/>
      <c r="AG150" s="1" t="n"/>
      <c r="AH150" s="1" t="n"/>
      <c r="AI150" s="1" t="n"/>
      <c r="AJ150" s="1" t="n"/>
    </row>
    <row r="151" ht="15" customHeight="1">
      <c r="A151" s="445" t="inlineStr">
        <is>
          <t>STP Operator</t>
        </is>
      </c>
      <c r="B151" s="440" t="n">
        <v>4</v>
      </c>
      <c r="C151" s="466">
        <f>COUNTIF(E151:E154,"&lt;&gt;")</f>
        <v/>
      </c>
      <c r="D151" s="441">
        <f>C151-B151</f>
        <v/>
      </c>
      <c r="E151" s="22" t="inlineStr">
        <is>
          <t xml:space="preserve">Md Reyaz </t>
        </is>
      </c>
      <c r="F151" s="26" t="inlineStr">
        <is>
          <t>Hard Service</t>
        </is>
      </c>
      <c r="G151" s="27" t="n">
        <v>704248</v>
      </c>
      <c r="H151" s="19" t="n">
        <v>2637236379</v>
      </c>
      <c r="I151" s="425" t="inlineStr">
        <is>
          <t>Approved</t>
        </is>
      </c>
      <c r="J151" s="496" t="n">
        <v>46164</v>
      </c>
      <c r="K151" s="28" t="inlineStr">
        <is>
          <t>FMCO</t>
        </is>
      </c>
      <c r="L151" s="23" t="inlineStr">
        <is>
          <t>-</t>
        </is>
      </c>
      <c r="N151" s="1" t="n"/>
      <c r="O151" s="1" t="n"/>
      <c r="P151" s="1" t="n"/>
      <c r="Q151" s="1" t="n"/>
      <c r="R151" s="1" t="n"/>
      <c r="S151" s="1" t="n"/>
      <c r="T151" s="1" t="n"/>
      <c r="U151" s="1" t="n"/>
      <c r="V151" s="1" t="n"/>
      <c r="W151" s="1" t="n"/>
      <c r="X151" s="1" t="n"/>
      <c r="Y151" s="1" t="n"/>
      <c r="Z151" s="1" t="n"/>
      <c r="AA151" s="1" t="n"/>
      <c r="AB151" s="1" t="n"/>
      <c r="AC151" s="1" t="n"/>
      <c r="AD151" s="1" t="n"/>
      <c r="AE151" s="1" t="n"/>
      <c r="AF151" s="1" t="n"/>
      <c r="AG151" s="1" t="n"/>
      <c r="AH151" s="1" t="n"/>
      <c r="AI151" s="1" t="n"/>
      <c r="AJ151" s="1" t="n"/>
    </row>
    <row r="152" ht="15" customHeight="1">
      <c r="A152" s="429" t="n"/>
      <c r="B152" s="429" t="n"/>
      <c r="C152" s="429" t="n"/>
      <c r="D152" s="429" t="n"/>
      <c r="E152" s="32" t="inlineStr">
        <is>
          <t>MD. Arman Ansari</t>
        </is>
      </c>
      <c r="F152" s="50" t="inlineStr">
        <is>
          <t>Hard Service</t>
        </is>
      </c>
      <c r="G152" s="460" t="inlineStr">
        <is>
          <t>EM-0003037</t>
        </is>
      </c>
      <c r="H152" s="460" t="n">
        <v>2617813361</v>
      </c>
      <c r="I152" s="425" t="inlineStr">
        <is>
          <t>Approved</t>
        </is>
      </c>
      <c r="J152" s="496" t="n">
        <v>46087</v>
      </c>
      <c r="K152" s="14" t="inlineStr">
        <is>
          <t>AL-FALAK VISA</t>
        </is>
      </c>
      <c r="L152" s="23" t="inlineStr">
        <is>
          <t>-</t>
        </is>
      </c>
      <c r="N152" s="1" t="n"/>
      <c r="O152" s="1" t="n"/>
      <c r="P152" s="1" t="n"/>
      <c r="Q152" s="1" t="n"/>
      <c r="R152" s="1" t="n"/>
      <c r="S152" s="1" t="n"/>
      <c r="T152" s="1" t="n"/>
      <c r="U152" s="1" t="n"/>
      <c r="V152" s="1" t="n"/>
      <c r="W152" s="1" t="n"/>
      <c r="X152" s="1" t="n"/>
      <c r="Y152" s="1" t="n"/>
      <c r="Z152" s="1" t="n"/>
      <c r="AA152" s="1" t="n"/>
      <c r="AB152" s="1" t="n"/>
      <c r="AC152" s="1" t="n"/>
      <c r="AD152" s="1" t="n"/>
      <c r="AE152" s="1" t="n"/>
      <c r="AF152" s="1" t="n"/>
      <c r="AG152" s="1" t="n"/>
      <c r="AH152" s="1" t="n"/>
      <c r="AI152" s="1" t="n"/>
      <c r="AJ152" s="1" t="n"/>
    </row>
    <row r="153" ht="15" customHeight="1">
      <c r="A153" s="429" t="n"/>
      <c r="B153" s="429" t="n"/>
      <c r="C153" s="429" t="n"/>
      <c r="D153" s="429" t="n"/>
      <c r="E153" s="32" t="inlineStr">
        <is>
          <t>Shakir Iqbal Khan</t>
        </is>
      </c>
      <c r="F153" s="50" t="inlineStr">
        <is>
          <t>Hard Service</t>
        </is>
      </c>
      <c r="G153" s="460" t="inlineStr">
        <is>
          <t>C01322</t>
        </is>
      </c>
      <c r="H153" s="460" t="n">
        <v>2617066150</v>
      </c>
      <c r="I153" s="425" t="inlineStr">
        <is>
          <t>Approved</t>
        </is>
      </c>
      <c r="J153" s="496" t="n">
        <v>45954</v>
      </c>
      <c r="K153" s="14" t="inlineStr">
        <is>
          <t>MEHAN VISA</t>
        </is>
      </c>
      <c r="L153" s="23" t="inlineStr">
        <is>
          <t>-</t>
        </is>
      </c>
      <c r="N153" s="1" t="n"/>
      <c r="O153" s="1" t="n"/>
      <c r="P153" s="1" t="n"/>
      <c r="Q153" s="1" t="n"/>
      <c r="R153" s="1" t="n"/>
      <c r="S153" s="1" t="n"/>
      <c r="T153" s="1" t="n"/>
      <c r="U153" s="1" t="n"/>
      <c r="V153" s="1" t="n"/>
      <c r="W153" s="1" t="n"/>
      <c r="X153" s="1" t="n"/>
      <c r="Y153" s="1" t="n"/>
      <c r="Z153" s="1" t="n"/>
      <c r="AA153" s="1" t="n"/>
      <c r="AB153" s="1" t="n"/>
      <c r="AC153" s="1" t="n"/>
      <c r="AD153" s="1" t="n"/>
      <c r="AE153" s="1" t="n"/>
      <c r="AF153" s="1" t="n"/>
      <c r="AG153" s="1" t="n"/>
      <c r="AH153" s="1" t="n"/>
      <c r="AI153" s="1" t="n"/>
      <c r="AJ153" s="1" t="n"/>
    </row>
    <row r="154" ht="15" customHeight="1">
      <c r="A154" s="431" t="n"/>
      <c r="B154" s="431" t="n"/>
      <c r="C154" s="431" t="n"/>
      <c r="D154" s="431" t="n"/>
      <c r="E154" s="32" t="inlineStr">
        <is>
          <t>Shabaz Ansari</t>
        </is>
      </c>
      <c r="F154" s="50" t="inlineStr">
        <is>
          <t>Hard Service</t>
        </is>
      </c>
      <c r="G154" s="460" t="inlineStr">
        <is>
          <t>EM-0003038</t>
        </is>
      </c>
      <c r="H154" s="460" t="n">
        <v>2617813692</v>
      </c>
      <c r="I154" s="425" t="inlineStr">
        <is>
          <t>Approved</t>
        </is>
      </c>
      <c r="J154" s="496" t="n">
        <v>45954</v>
      </c>
      <c r="K154" s="14" t="inlineStr">
        <is>
          <t>AL-FALAK VISA</t>
        </is>
      </c>
      <c r="L154" s="23" t="inlineStr">
        <is>
          <t>-</t>
        </is>
      </c>
      <c r="N154" s="1" t="n"/>
      <c r="O154" s="1" t="n"/>
      <c r="P154" s="1" t="n"/>
      <c r="Q154" s="1" t="n"/>
      <c r="R154" s="1" t="n"/>
      <c r="S154" s="1" t="n"/>
      <c r="T154" s="1" t="n"/>
      <c r="U154" s="1" t="n"/>
      <c r="V154" s="1" t="n"/>
      <c r="W154" s="1" t="n"/>
      <c r="X154" s="1" t="n"/>
      <c r="Y154" s="1" t="n"/>
      <c r="Z154" s="1" t="n"/>
      <c r="AA154" s="1" t="n"/>
      <c r="AB154" s="1" t="n"/>
      <c r="AC154" s="1" t="n"/>
      <c r="AD154" s="1" t="n"/>
      <c r="AE154" s="1" t="n"/>
      <c r="AF154" s="1" t="n"/>
      <c r="AG154" s="1" t="n"/>
      <c r="AH154" s="1" t="n"/>
      <c r="AI154" s="1" t="n"/>
      <c r="AJ154" s="1" t="n"/>
    </row>
    <row r="155" ht="15" customHeight="1">
      <c r="A155" s="445" t="inlineStr">
        <is>
          <t>Multi-Skilled Technician</t>
        </is>
      </c>
      <c r="B155" s="440" t="n">
        <v>2</v>
      </c>
      <c r="C155" s="440">
        <f>COUNTIF(E155:E156,"&lt;&gt;")</f>
        <v/>
      </c>
      <c r="D155" s="441">
        <f>C155-B155</f>
        <v/>
      </c>
      <c r="E155" s="56" t="n"/>
      <c r="F155" s="50" t="inlineStr">
        <is>
          <t>Hard Service</t>
        </is>
      </c>
      <c r="G155" s="29" t="inlineStr">
        <is>
          <t>-</t>
        </is>
      </c>
      <c r="H155" s="57" t="inlineStr">
        <is>
          <t>-</t>
        </is>
      </c>
      <c r="I155" s="425" t="inlineStr">
        <is>
          <t>Vacant</t>
        </is>
      </c>
      <c r="J155" s="499" t="n"/>
      <c r="K155" s="14" t="inlineStr">
        <is>
          <t>-</t>
        </is>
      </c>
      <c r="L155" s="23" t="inlineStr">
        <is>
          <t>-</t>
        </is>
      </c>
      <c r="N155" s="1" t="n"/>
      <c r="O155" s="1" t="n"/>
      <c r="P155" s="1" t="n"/>
      <c r="Q155" s="1" t="n"/>
      <c r="R155" s="1" t="n"/>
      <c r="S155" s="1" t="n"/>
      <c r="T155" s="1" t="n"/>
      <c r="U155" s="1" t="n"/>
      <c r="V155" s="1" t="n"/>
      <c r="W155" s="1" t="n"/>
      <c r="X155" s="1" t="n"/>
      <c r="Y155" s="1" t="n"/>
      <c r="Z155" s="1" t="n"/>
      <c r="AA155" s="1" t="n"/>
      <c r="AB155" s="1" t="n"/>
      <c r="AC155" s="1" t="n"/>
      <c r="AD155" s="1" t="n"/>
      <c r="AE155" s="1" t="n"/>
      <c r="AF155" s="1" t="n"/>
      <c r="AG155" s="1" t="n"/>
      <c r="AH155" s="1" t="n"/>
      <c r="AI155" s="1" t="n"/>
      <c r="AJ155" s="1" t="n"/>
    </row>
    <row r="156" ht="15" customHeight="1">
      <c r="A156" s="431" t="n"/>
      <c r="B156" s="431" t="n"/>
      <c r="C156" s="431" t="n"/>
      <c r="D156" s="431" t="n"/>
      <c r="E156" s="56" t="n"/>
      <c r="F156" s="50" t="inlineStr">
        <is>
          <t>Hard Service</t>
        </is>
      </c>
      <c r="G156" s="29" t="inlineStr">
        <is>
          <t>-</t>
        </is>
      </c>
      <c r="H156" s="57" t="inlineStr">
        <is>
          <t>-</t>
        </is>
      </c>
      <c r="I156" s="425" t="inlineStr">
        <is>
          <t>Vacant</t>
        </is>
      </c>
      <c r="J156" s="499" t="n"/>
      <c r="K156" s="14" t="inlineStr">
        <is>
          <t>-</t>
        </is>
      </c>
      <c r="L156" s="23" t="inlineStr">
        <is>
          <t>-</t>
        </is>
      </c>
      <c r="N156" s="1" t="n"/>
      <c r="O156" s="1" t="n"/>
      <c r="P156" s="1" t="n"/>
      <c r="Q156" s="1" t="n"/>
      <c r="R156" s="1" t="n"/>
      <c r="S156" s="1" t="n"/>
      <c r="T156" s="1" t="n"/>
      <c r="U156" s="1" t="n"/>
      <c r="V156" s="1" t="n"/>
      <c r="W156" s="1" t="n"/>
      <c r="X156" s="1" t="n"/>
      <c r="Y156" s="1" t="n"/>
      <c r="Z156" s="1" t="n"/>
      <c r="AA156" s="1" t="n"/>
      <c r="AB156" s="1" t="n"/>
      <c r="AC156" s="1" t="n"/>
      <c r="AD156" s="1" t="n"/>
      <c r="AE156" s="1" t="n"/>
      <c r="AF156" s="1" t="n"/>
      <c r="AG156" s="1" t="n"/>
      <c r="AH156" s="1" t="n"/>
      <c r="AI156" s="1" t="n"/>
      <c r="AJ156" s="1" t="n"/>
    </row>
    <row r="157" ht="26.25" customHeight="1">
      <c r="A157" s="35" t="inlineStr">
        <is>
          <t>Total Team 
Hard Service Management</t>
        </is>
      </c>
      <c r="B157" s="36" t="inlineStr">
        <is>
          <t>Contractual Requirement</t>
        </is>
      </c>
      <c r="C157" s="36" t="inlineStr">
        <is>
          <t>Approved</t>
        </is>
      </c>
      <c r="D157" s="36" t="inlineStr">
        <is>
          <t>Vacant Position</t>
        </is>
      </c>
      <c r="E157" s="37" t="inlineStr">
        <is>
          <t>Rejected</t>
        </is>
      </c>
      <c r="F157" s="38" t="inlineStr">
        <is>
          <t xml:space="preserve">Additional </t>
        </is>
      </c>
      <c r="G157" s="38" t="inlineStr">
        <is>
          <t>ID</t>
        </is>
      </c>
      <c r="H157" s="38" t="inlineStr">
        <is>
          <t>Iqama</t>
        </is>
      </c>
      <c r="I157" s="58" t="inlineStr">
        <is>
          <t>Status</t>
        </is>
      </c>
      <c r="J157" s="500" t="n"/>
      <c r="K157" s="40" t="n"/>
      <c r="L157" s="41" t="inlineStr">
        <is>
          <t>Remark/Notes</t>
        </is>
      </c>
      <c r="N157" s="1" t="n"/>
      <c r="O157" s="1" t="n"/>
      <c r="P157" s="1" t="n"/>
      <c r="Q157" s="1" t="n"/>
      <c r="R157" s="1" t="n"/>
      <c r="S157" s="1" t="n"/>
      <c r="T157" s="1" t="n"/>
      <c r="U157" s="1" t="n"/>
      <c r="V157" s="1" t="n"/>
      <c r="W157" s="1" t="n"/>
      <c r="X157" s="1" t="n"/>
      <c r="Y157" s="1" t="n"/>
      <c r="Z157" s="1" t="n"/>
      <c r="AA157" s="1" t="n"/>
      <c r="AB157" s="1" t="n"/>
      <c r="AC157" s="1" t="n"/>
      <c r="AD157" s="1" t="n"/>
      <c r="AE157" s="1" t="n"/>
      <c r="AF157" s="1" t="n"/>
      <c r="AG157" s="1" t="n"/>
      <c r="AH157" s="1" t="n"/>
      <c r="AI157" s="1" t="n"/>
      <c r="AJ157" s="1" t="n"/>
    </row>
    <row r="158" ht="15" customHeight="1">
      <c r="A158" s="36">
        <f>COUNTIF(E35:E156,"&lt;&gt;")</f>
        <v/>
      </c>
      <c r="B158" s="36">
        <f>SUM(B35:B156)</f>
        <v/>
      </c>
      <c r="C158" s="36">
        <f>COUNTIF(I35:I156,"Approved")</f>
        <v/>
      </c>
      <c r="D158" s="36">
        <f>COUNTIF(I35:I156,"Vacant")</f>
        <v/>
      </c>
      <c r="E158" s="41">
        <f>COUNTIF(I35:I156,"Rejected")</f>
        <v/>
      </c>
      <c r="F158" s="38">
        <f>COUNTIF(I35:I156,"Additional ")</f>
        <v/>
      </c>
      <c r="G158" s="38">
        <f>COUNTIF(G35:G156,"-")</f>
        <v/>
      </c>
      <c r="H158" s="38">
        <f>COUNTIF(H35:H156,"-")</f>
        <v/>
      </c>
      <c r="I158" s="42" t="n"/>
      <c r="J158" s="501" t="n"/>
      <c r="K158" s="43" t="n"/>
      <c r="L158" s="42" t="n"/>
      <c r="N158" s="1" t="n"/>
      <c r="O158" s="1" t="n"/>
      <c r="P158" s="1" t="n"/>
      <c r="Q158" s="1" t="n"/>
      <c r="R158" s="1" t="n"/>
      <c r="S158" s="1" t="n"/>
      <c r="T158" s="1" t="n"/>
      <c r="U158" s="1" t="n"/>
      <c r="V158" s="1" t="n"/>
      <c r="W158" s="1" t="n"/>
      <c r="X158" s="1" t="n"/>
      <c r="Y158" s="1" t="n"/>
      <c r="Z158" s="1" t="n"/>
      <c r="AA158" s="1" t="n"/>
      <c r="AB158" s="1" t="n"/>
      <c r="AC158" s="1" t="n"/>
      <c r="AD158" s="1" t="n"/>
      <c r="AE158" s="1" t="n"/>
      <c r="AF158" s="1" t="n"/>
      <c r="AG158" s="1" t="n"/>
      <c r="AH158" s="1" t="n"/>
      <c r="AI158" s="1" t="n"/>
      <c r="AJ158" s="1" t="n"/>
    </row>
    <row r="159" ht="2.25" customHeight="1">
      <c r="A159" s="59" t="n"/>
      <c r="B159" s="59" t="n"/>
      <c r="C159" s="59" t="n"/>
      <c r="D159" s="59" t="n"/>
      <c r="E159" s="60" t="n"/>
      <c r="F159" s="60" t="n"/>
      <c r="G159" s="60" t="n"/>
      <c r="H159" s="60" t="n"/>
      <c r="I159" s="60" t="n"/>
      <c r="J159" s="505" t="n"/>
      <c r="K159" s="61" t="n"/>
      <c r="L159" s="60" t="n"/>
      <c r="N159" s="1" t="n"/>
      <c r="O159" s="1" t="n"/>
      <c r="P159" s="1" t="n"/>
      <c r="Q159" s="1" t="n"/>
      <c r="R159" s="1" t="n"/>
      <c r="S159" s="1" t="n"/>
      <c r="T159" s="1" t="n"/>
      <c r="U159" s="1" t="n"/>
      <c r="V159" s="1" t="n"/>
      <c r="W159" s="1" t="n"/>
      <c r="X159" s="1" t="n"/>
      <c r="Y159" s="1" t="n"/>
      <c r="Z159" s="1" t="n"/>
      <c r="AA159" s="1" t="n"/>
      <c r="AB159" s="1" t="n"/>
      <c r="AC159" s="1" t="n"/>
      <c r="AD159" s="1" t="n"/>
      <c r="AE159" s="1" t="n"/>
      <c r="AF159" s="1" t="n"/>
      <c r="AG159" s="1" t="n"/>
      <c r="AH159" s="1" t="n"/>
      <c r="AI159" s="1" t="n"/>
      <c r="AJ159" s="1" t="n"/>
    </row>
    <row r="160" ht="41.25" customHeight="1">
      <c r="A160" s="8" t="inlineStr">
        <is>
          <t>Position</t>
        </is>
      </c>
      <c r="B160" s="9" t="inlineStr">
        <is>
          <t>Contractual Requirement</t>
        </is>
      </c>
      <c r="C160" s="9" t="inlineStr">
        <is>
          <t>On-Site Availability</t>
        </is>
      </c>
      <c r="D160" s="9" t="inlineStr">
        <is>
          <t>Vacant Position</t>
        </is>
      </c>
      <c r="E160" s="62" t="inlineStr">
        <is>
          <t>Emaployee Name</t>
        </is>
      </c>
      <c r="F160" s="11" t="inlineStr">
        <is>
          <t>Decipline</t>
        </is>
      </c>
      <c r="G160" s="12" t="inlineStr">
        <is>
          <t>ID</t>
        </is>
      </c>
      <c r="H160" s="11" t="inlineStr">
        <is>
          <t>Iqama</t>
        </is>
      </c>
      <c r="I160" s="12" t="inlineStr">
        <is>
          <t>Status</t>
        </is>
      </c>
      <c r="J160" s="503" t="n"/>
      <c r="K160" s="49" t="n"/>
      <c r="L160" s="13" t="inlineStr">
        <is>
          <t>Remarks/Notes</t>
        </is>
      </c>
      <c r="N160" s="1" t="n"/>
      <c r="O160" s="1" t="n"/>
      <c r="P160" s="1" t="n"/>
      <c r="Q160" s="1" t="n"/>
      <c r="R160" s="1" t="n"/>
      <c r="S160" s="1" t="n"/>
      <c r="T160" s="1" t="n"/>
      <c r="U160" s="1" t="n"/>
      <c r="V160" s="1" t="n"/>
      <c r="W160" s="1" t="n"/>
      <c r="X160" s="1" t="n"/>
      <c r="Y160" s="1" t="n"/>
      <c r="Z160" s="1" t="n"/>
      <c r="AA160" s="1" t="n"/>
      <c r="AB160" s="1" t="n"/>
      <c r="AC160" s="1" t="n"/>
      <c r="AD160" s="1" t="n"/>
      <c r="AE160" s="1" t="n"/>
      <c r="AF160" s="1" t="n"/>
      <c r="AG160" s="1" t="n"/>
      <c r="AH160" s="1" t="n"/>
      <c r="AI160" s="1" t="n"/>
      <c r="AJ160" s="1" t="n"/>
    </row>
    <row r="161" ht="15.75" customHeight="1">
      <c r="A161" s="445" t="inlineStr">
        <is>
          <t>Soft Services  Supervisor</t>
        </is>
      </c>
      <c r="B161" s="441" t="n">
        <v>12</v>
      </c>
      <c r="C161" s="441">
        <f>COUNTIF(E161:E172,"&lt;&gt;")</f>
        <v/>
      </c>
      <c r="D161" s="450">
        <f>C161-B161</f>
        <v/>
      </c>
      <c r="E161" s="32" t="inlineStr">
        <is>
          <t>Zia Ullah Afzal Muhammad Afzal</t>
        </is>
      </c>
      <c r="F161" s="55" t="inlineStr">
        <is>
          <t>Soft Service</t>
        </is>
      </c>
      <c r="G161" s="63" t="inlineStr">
        <is>
          <t>C00383</t>
        </is>
      </c>
      <c r="H161" s="64" t="n">
        <v>2580445027</v>
      </c>
      <c r="I161" s="425" t="inlineStr">
        <is>
          <t>Approved</t>
        </is>
      </c>
      <c r="J161" s="496" t="n">
        <v>45716</v>
      </c>
      <c r="K161" s="14" t="inlineStr">
        <is>
          <t>MEHAN VISA</t>
        </is>
      </c>
      <c r="L161" s="23" t="inlineStr">
        <is>
          <t>-</t>
        </is>
      </c>
      <c r="N161" s="1" t="n"/>
      <c r="O161" s="1" t="n"/>
      <c r="P161" s="1" t="n"/>
      <c r="Q161" s="1" t="n"/>
      <c r="R161" s="1" t="n"/>
      <c r="S161" s="1" t="n"/>
      <c r="T161" s="1" t="n"/>
      <c r="U161" s="1" t="n"/>
      <c r="V161" s="1" t="n"/>
      <c r="W161" s="1" t="n"/>
      <c r="X161" s="1" t="n"/>
      <c r="Y161" s="1" t="n"/>
      <c r="Z161" s="1" t="n"/>
      <c r="AA161" s="1" t="n"/>
      <c r="AB161" s="1" t="n"/>
      <c r="AC161" s="1" t="n"/>
      <c r="AD161" s="1" t="n"/>
      <c r="AE161" s="1" t="n"/>
      <c r="AF161" s="1" t="n"/>
      <c r="AG161" s="1" t="n"/>
      <c r="AH161" s="1" t="n"/>
      <c r="AI161" s="1" t="n"/>
      <c r="AJ161" s="1" t="n"/>
    </row>
    <row r="162" ht="15.75" customHeight="1">
      <c r="A162" s="429" t="n"/>
      <c r="B162" s="429" t="n"/>
      <c r="C162" s="429" t="n"/>
      <c r="D162" s="453" t="n"/>
      <c r="E162" s="32" t="inlineStr">
        <is>
          <t>Mohammad Imran Hussain</t>
        </is>
      </c>
      <c r="F162" s="55" t="inlineStr">
        <is>
          <t>Soft Service</t>
        </is>
      </c>
      <c r="G162" s="63" t="n">
        <v>701134</v>
      </c>
      <c r="H162" s="64" t="n">
        <v>2456151097</v>
      </c>
      <c r="I162" s="425" t="inlineStr">
        <is>
          <t>Approved</t>
        </is>
      </c>
      <c r="J162" s="496" t="n">
        <v>45930</v>
      </c>
      <c r="K162" s="14" t="inlineStr">
        <is>
          <t>FMCO</t>
        </is>
      </c>
      <c r="L162" s="23" t="inlineStr">
        <is>
          <t>-</t>
        </is>
      </c>
      <c r="N162" s="1" t="n"/>
      <c r="O162" s="1" t="n"/>
      <c r="P162" s="1" t="n"/>
      <c r="Q162" s="1" t="n"/>
      <c r="R162" s="1" t="n"/>
      <c r="S162" s="1" t="n"/>
      <c r="T162" s="1" t="n"/>
      <c r="U162" s="1" t="n"/>
      <c r="V162" s="1" t="n"/>
      <c r="W162" s="1" t="n"/>
      <c r="X162" s="1" t="n"/>
      <c r="Y162" s="1" t="n"/>
      <c r="Z162" s="1" t="n"/>
      <c r="AA162" s="1" t="n"/>
      <c r="AB162" s="1" t="n"/>
      <c r="AC162" s="1" t="n"/>
      <c r="AD162" s="1" t="n"/>
      <c r="AE162" s="1" t="n"/>
      <c r="AF162" s="1" t="n"/>
      <c r="AG162" s="1" t="n"/>
      <c r="AH162" s="1" t="n"/>
      <c r="AI162" s="1" t="n"/>
      <c r="AJ162" s="1" t="n"/>
    </row>
    <row r="163" ht="15.75" customHeight="1">
      <c r="A163" s="429" t="n"/>
      <c r="B163" s="429" t="n"/>
      <c r="C163" s="429" t="n"/>
      <c r="D163" s="453" t="n"/>
      <c r="E163" s="32" t="inlineStr">
        <is>
          <t>Manjar Quasimi</t>
        </is>
      </c>
      <c r="F163" s="55" t="inlineStr">
        <is>
          <t>Soft Service</t>
        </is>
      </c>
      <c r="G163" s="63" t="n">
        <v>218966</v>
      </c>
      <c r="H163" s="64" t="n">
        <v>2620429072</v>
      </c>
      <c r="I163" s="425" t="inlineStr">
        <is>
          <t>Approved</t>
        </is>
      </c>
      <c r="J163" s="496" t="n">
        <v>45974</v>
      </c>
      <c r="K163" s="14" t="inlineStr">
        <is>
          <t>MASSADAR VISA</t>
        </is>
      </c>
      <c r="L163" s="23" t="inlineStr">
        <is>
          <t>-</t>
        </is>
      </c>
      <c r="N163" s="1" t="n"/>
      <c r="O163" s="1" t="n"/>
      <c r="P163" s="1" t="n"/>
      <c r="Q163" s="1" t="n"/>
      <c r="R163" s="1" t="n"/>
      <c r="S163" s="1" t="n"/>
      <c r="T163" s="1" t="n"/>
      <c r="U163" s="1" t="n"/>
      <c r="V163" s="1" t="n"/>
      <c r="W163" s="1" t="n"/>
      <c r="X163" s="1" t="n"/>
      <c r="Y163" s="1" t="n"/>
      <c r="Z163" s="1" t="n"/>
      <c r="AA163" s="1" t="n"/>
      <c r="AB163" s="1" t="n"/>
      <c r="AC163" s="1" t="n"/>
      <c r="AD163" s="1" t="n"/>
      <c r="AE163" s="1" t="n"/>
      <c r="AF163" s="1" t="n"/>
      <c r="AG163" s="1" t="n"/>
      <c r="AH163" s="1" t="n"/>
      <c r="AI163" s="1" t="n"/>
      <c r="AJ163" s="1" t="n"/>
    </row>
    <row r="164" ht="15.75" customHeight="1">
      <c r="A164" s="429" t="n"/>
      <c r="B164" s="429" t="n"/>
      <c r="C164" s="429" t="n"/>
      <c r="D164" s="453" t="n"/>
      <c r="E164" s="32" t="inlineStr">
        <is>
          <t>Md Nadim Hashmi</t>
        </is>
      </c>
      <c r="F164" s="55" t="inlineStr">
        <is>
          <t>Soft Service</t>
        </is>
      </c>
      <c r="G164" s="63" t="n">
        <v>703081</v>
      </c>
      <c r="H164" s="64" t="n">
        <v>2570056263</v>
      </c>
      <c r="I164" s="425" t="inlineStr">
        <is>
          <t>Approved</t>
        </is>
      </c>
      <c r="J164" s="496" t="n">
        <v>45947</v>
      </c>
      <c r="K164" s="14" t="inlineStr">
        <is>
          <t>FMCO</t>
        </is>
      </c>
      <c r="L164" s="23" t="inlineStr">
        <is>
          <t>-</t>
        </is>
      </c>
      <c r="N164" s="1" t="n"/>
      <c r="O164" s="1" t="n"/>
      <c r="P164" s="1" t="n"/>
      <c r="Q164" s="1" t="n"/>
      <c r="R164" s="1" t="n"/>
      <c r="S164" s="1" t="n"/>
      <c r="T164" s="1" t="n"/>
      <c r="U164" s="1" t="n"/>
      <c r="V164" s="1" t="n"/>
      <c r="W164" s="1" t="n"/>
      <c r="X164" s="1" t="n"/>
      <c r="Y164" s="1" t="n"/>
      <c r="Z164" s="1" t="n"/>
      <c r="AA164" s="1" t="n"/>
      <c r="AB164" s="1" t="n"/>
      <c r="AC164" s="1" t="n"/>
      <c r="AD164" s="1" t="n"/>
      <c r="AE164" s="1" t="n"/>
      <c r="AF164" s="1" t="n"/>
      <c r="AG164" s="1" t="n"/>
      <c r="AH164" s="1" t="n"/>
      <c r="AI164" s="1" t="n"/>
      <c r="AJ164" s="1" t="n"/>
    </row>
    <row r="165" ht="15.75" customHeight="1">
      <c r="A165" s="429" t="n"/>
      <c r="B165" s="429" t="n"/>
      <c r="C165" s="429" t="n"/>
      <c r="D165" s="453" t="n"/>
      <c r="E165" s="32" t="inlineStr">
        <is>
          <t>Iqra Akbar Ali</t>
        </is>
      </c>
      <c r="F165" s="55" t="inlineStr">
        <is>
          <t>Soft Service</t>
        </is>
      </c>
      <c r="G165" s="63" t="n">
        <v>2630308704</v>
      </c>
      <c r="H165" s="64" t="n">
        <v>2630308704</v>
      </c>
      <c r="I165" s="425" t="inlineStr">
        <is>
          <t>Approved</t>
        </is>
      </c>
      <c r="J165" s="496" t="n">
        <v>46070</v>
      </c>
      <c r="K165" s="14" t="inlineStr">
        <is>
          <t>SCC (RENTAL)</t>
        </is>
      </c>
      <c r="L165" s="23" t="inlineStr">
        <is>
          <t>-</t>
        </is>
      </c>
      <c r="N165" s="1" t="n"/>
      <c r="O165" s="1" t="n"/>
      <c r="P165" s="1" t="n"/>
      <c r="Q165" s="1" t="n"/>
      <c r="R165" s="1" t="n"/>
      <c r="S165" s="1" t="n"/>
      <c r="T165" s="1" t="n"/>
      <c r="U165" s="1" t="n"/>
      <c r="V165" s="1" t="n"/>
      <c r="W165" s="1" t="n"/>
      <c r="X165" s="1" t="n"/>
      <c r="Y165" s="1" t="n"/>
      <c r="Z165" s="1" t="n"/>
      <c r="AA165" s="1" t="n"/>
      <c r="AB165" s="1" t="n"/>
      <c r="AC165" s="1" t="n"/>
      <c r="AD165" s="1" t="n"/>
      <c r="AE165" s="1" t="n"/>
      <c r="AF165" s="1" t="n"/>
      <c r="AG165" s="1" t="n"/>
      <c r="AH165" s="1" t="n"/>
      <c r="AI165" s="1" t="n"/>
      <c r="AJ165" s="1" t="n"/>
    </row>
    <row r="166" ht="15.75" customHeight="1">
      <c r="A166" s="429" t="n"/>
      <c r="B166" s="429" t="n"/>
      <c r="C166" s="429" t="n"/>
      <c r="D166" s="453" t="n"/>
      <c r="E166" s="32" t="inlineStr">
        <is>
          <t>Tar Muhammad</t>
        </is>
      </c>
      <c r="F166" s="55" t="inlineStr">
        <is>
          <t>Soft Service</t>
        </is>
      </c>
      <c r="G166" s="63" t="n">
        <v>703076</v>
      </c>
      <c r="H166" s="64" t="n">
        <v>2569953306</v>
      </c>
      <c r="I166" s="425" t="inlineStr">
        <is>
          <t>Approved</t>
        </is>
      </c>
      <c r="J166" s="496" t="n">
        <v>45947</v>
      </c>
      <c r="K166" s="14" t="inlineStr">
        <is>
          <t>FMCO</t>
        </is>
      </c>
      <c r="L166" s="23" t="inlineStr">
        <is>
          <t>-</t>
        </is>
      </c>
      <c r="N166" s="1" t="n"/>
      <c r="O166" s="1" t="n"/>
      <c r="P166" s="1" t="n"/>
      <c r="Q166" s="1" t="n"/>
      <c r="R166" s="1" t="n"/>
      <c r="S166" s="1" t="n"/>
      <c r="T166" s="1" t="n"/>
      <c r="U166" s="1" t="n"/>
      <c r="V166" s="1" t="n"/>
      <c r="W166" s="1" t="n"/>
      <c r="X166" s="1" t="n"/>
      <c r="Y166" s="1" t="n"/>
      <c r="Z166" s="1" t="n"/>
      <c r="AA166" s="1" t="n"/>
      <c r="AB166" s="1" t="n"/>
      <c r="AC166" s="1" t="n"/>
      <c r="AD166" s="1" t="n"/>
      <c r="AE166" s="1" t="n"/>
      <c r="AF166" s="1" t="n"/>
      <c r="AG166" s="1" t="n"/>
      <c r="AH166" s="1" t="n"/>
      <c r="AI166" s="1" t="n"/>
      <c r="AJ166" s="1" t="n"/>
    </row>
    <row r="167" ht="15.75" customHeight="1">
      <c r="A167" s="429" t="n"/>
      <c r="B167" s="429" t="n"/>
      <c r="C167" s="429" t="n"/>
      <c r="D167" s="453" t="n"/>
      <c r="E167" s="32" t="inlineStr">
        <is>
          <t>Md Habibullah</t>
        </is>
      </c>
      <c r="F167" s="55" t="inlineStr">
        <is>
          <t>Soft Service</t>
        </is>
      </c>
      <c r="G167" s="63" t="n">
        <v>703103</v>
      </c>
      <c r="H167" s="64" t="n">
        <v>2571852140</v>
      </c>
      <c r="I167" s="425" t="inlineStr">
        <is>
          <t>Approved</t>
        </is>
      </c>
      <c r="J167" s="496" t="n">
        <v>45586</v>
      </c>
      <c r="K167" s="14" t="inlineStr">
        <is>
          <t>FMCO</t>
        </is>
      </c>
      <c r="L167" s="23" t="inlineStr">
        <is>
          <t>-</t>
        </is>
      </c>
      <c r="N167" s="1" t="n"/>
      <c r="O167" s="1" t="n"/>
      <c r="P167" s="1" t="n"/>
      <c r="Q167" s="1" t="n"/>
      <c r="R167" s="1" t="n"/>
      <c r="S167" s="1" t="n"/>
      <c r="T167" s="1" t="n"/>
      <c r="U167" s="1" t="n"/>
      <c r="V167" s="1" t="n"/>
      <c r="W167" s="1" t="n"/>
      <c r="X167" s="1" t="n"/>
      <c r="Y167" s="1" t="n"/>
      <c r="Z167" s="1" t="n"/>
      <c r="AA167" s="1" t="n"/>
      <c r="AB167" s="1" t="n"/>
      <c r="AC167" s="1" t="n"/>
      <c r="AD167" s="1" t="n"/>
      <c r="AE167" s="1" t="n"/>
      <c r="AF167" s="1" t="n"/>
      <c r="AG167" s="1" t="n"/>
      <c r="AH167" s="1" t="n"/>
      <c r="AI167" s="1" t="n"/>
      <c r="AJ167" s="1" t="n"/>
    </row>
    <row r="168" ht="15.75" customHeight="1">
      <c r="A168" s="429" t="n"/>
      <c r="B168" s="429" t="n"/>
      <c r="C168" s="429" t="n"/>
      <c r="D168" s="453" t="n"/>
      <c r="E168" s="32" t="inlineStr">
        <is>
          <t>Shahrukh Hussain</t>
        </is>
      </c>
      <c r="F168" s="55" t="inlineStr">
        <is>
          <t>Soft Service</t>
        </is>
      </c>
      <c r="G168" s="63" t="inlineStr">
        <is>
          <t>EM-0002278</t>
        </is>
      </c>
      <c r="H168" s="64" t="n">
        <v>2581680846</v>
      </c>
      <c r="I168" s="425" t="inlineStr">
        <is>
          <t>Approved</t>
        </is>
      </c>
      <c r="J168" s="496" t="n">
        <v>45586</v>
      </c>
      <c r="K168" s="14" t="inlineStr">
        <is>
          <t>AL-FALAK VISA</t>
        </is>
      </c>
      <c r="L168" s="23" t="inlineStr">
        <is>
          <t>-</t>
        </is>
      </c>
      <c r="N168" s="1" t="n"/>
      <c r="O168" s="1" t="n"/>
      <c r="P168" s="1" t="n"/>
      <c r="Q168" s="1" t="n"/>
      <c r="R168" s="1" t="n"/>
      <c r="S168" s="1" t="n"/>
      <c r="T168" s="1" t="n"/>
      <c r="U168" s="1" t="n"/>
      <c r="V168" s="1" t="n"/>
      <c r="W168" s="1" t="n"/>
      <c r="X168" s="1" t="n"/>
      <c r="Y168" s="1" t="n"/>
      <c r="Z168" s="1" t="n"/>
      <c r="AA168" s="1" t="n"/>
      <c r="AB168" s="1" t="n"/>
      <c r="AC168" s="1" t="n"/>
      <c r="AD168" s="1" t="n"/>
      <c r="AE168" s="1" t="n"/>
      <c r="AF168" s="1" t="n"/>
      <c r="AG168" s="1" t="n"/>
      <c r="AH168" s="1" t="n"/>
      <c r="AI168" s="1" t="n"/>
      <c r="AJ168" s="1" t="n"/>
    </row>
    <row r="169" ht="15.75" customHeight="1">
      <c r="A169" s="429" t="n"/>
      <c r="B169" s="429" t="n"/>
      <c r="C169" s="429" t="n"/>
      <c r="D169" s="453" t="n"/>
      <c r="E169" s="32" t="inlineStr">
        <is>
          <t>Ahmad Ali</t>
        </is>
      </c>
      <c r="F169" s="55" t="inlineStr">
        <is>
          <t>Soft Service</t>
        </is>
      </c>
      <c r="G169" s="63" t="inlineStr">
        <is>
          <t>C00233</t>
        </is>
      </c>
      <c r="H169" s="64" t="n">
        <v>2580198162</v>
      </c>
      <c r="I169" s="425" t="inlineStr">
        <is>
          <t>Approved</t>
        </is>
      </c>
      <c r="J169" s="496" t="n">
        <v>46079</v>
      </c>
      <c r="K169" s="14" t="inlineStr">
        <is>
          <t>MEHAN VISA</t>
        </is>
      </c>
      <c r="L169" s="23" t="inlineStr">
        <is>
          <t>-</t>
        </is>
      </c>
      <c r="N169" s="1" t="n"/>
      <c r="O169" s="1" t="n"/>
      <c r="P169" s="1" t="n"/>
      <c r="Q169" s="1" t="n"/>
      <c r="R169" s="1" t="n"/>
      <c r="S169" s="1" t="n"/>
      <c r="T169" s="1" t="n"/>
      <c r="U169" s="1" t="n"/>
      <c r="V169" s="1" t="n"/>
      <c r="W169" s="1" t="n"/>
      <c r="X169" s="1" t="n"/>
      <c r="Y169" s="1" t="n"/>
      <c r="Z169" s="1" t="n"/>
      <c r="AA169" s="1" t="n"/>
      <c r="AB169" s="1" t="n"/>
      <c r="AC169" s="1" t="n"/>
      <c r="AD169" s="1" t="n"/>
      <c r="AE169" s="1" t="n"/>
      <c r="AF169" s="1" t="n"/>
      <c r="AG169" s="1" t="n"/>
      <c r="AH169" s="1" t="n"/>
      <c r="AI169" s="1" t="n"/>
      <c r="AJ169" s="1" t="n"/>
    </row>
    <row r="170" ht="15.75" customHeight="1">
      <c r="A170" s="429" t="n"/>
      <c r="B170" s="429" t="n"/>
      <c r="C170" s="429" t="n"/>
      <c r="D170" s="453" t="n"/>
      <c r="E170" s="32" t="inlineStr">
        <is>
          <t>Mohammad Ahmad Ul Hoda</t>
        </is>
      </c>
      <c r="F170" s="55" t="inlineStr">
        <is>
          <t>Soft Service</t>
        </is>
      </c>
      <c r="G170" s="63" t="n">
        <v>700687</v>
      </c>
      <c r="H170" s="64" t="n">
        <v>2516771926</v>
      </c>
      <c r="I170" s="425" t="inlineStr">
        <is>
          <t>Approved</t>
        </is>
      </c>
      <c r="J170" s="496" t="n">
        <v>45930</v>
      </c>
      <c r="K170" s="14" t="inlineStr">
        <is>
          <t>FMCO</t>
        </is>
      </c>
      <c r="L170" s="20" t="inlineStr">
        <is>
          <t>-</t>
        </is>
      </c>
      <c r="N170" s="1" t="n"/>
      <c r="O170" s="1" t="n"/>
      <c r="P170" s="1" t="n"/>
      <c r="Q170" s="1" t="n"/>
      <c r="R170" s="1" t="n"/>
      <c r="S170" s="1" t="n"/>
      <c r="T170" s="1" t="n"/>
      <c r="U170" s="1" t="n"/>
      <c r="V170" s="1" t="n"/>
      <c r="W170" s="1" t="n"/>
      <c r="X170" s="1" t="n"/>
      <c r="Y170" s="1" t="n"/>
      <c r="Z170" s="1" t="n"/>
      <c r="AA170" s="1" t="n"/>
      <c r="AB170" s="1" t="n"/>
      <c r="AC170" s="1" t="n"/>
      <c r="AD170" s="1" t="n"/>
      <c r="AE170" s="1" t="n"/>
      <c r="AF170" s="1" t="n"/>
      <c r="AG170" s="1" t="n"/>
      <c r="AH170" s="1" t="n"/>
      <c r="AI170" s="1" t="n"/>
      <c r="AJ170" s="1" t="n"/>
    </row>
    <row r="171" ht="15.75" customHeight="1">
      <c r="A171" s="429" t="n"/>
      <c r="B171" s="429" t="n"/>
      <c r="C171" s="429" t="n"/>
      <c r="D171" s="453" t="n"/>
      <c r="E171" s="65" t="n"/>
      <c r="F171" s="50" t="inlineStr">
        <is>
          <t>Soft Service</t>
        </is>
      </c>
      <c r="G171" s="33" t="inlineStr">
        <is>
          <t>-</t>
        </is>
      </c>
      <c r="H171" s="33" t="inlineStr">
        <is>
          <t>-</t>
        </is>
      </c>
      <c r="I171" s="425" t="inlineStr">
        <is>
          <t>Vacant</t>
        </is>
      </c>
      <c r="J171" s="504" t="n"/>
      <c r="K171" s="34" t="inlineStr">
        <is>
          <t>-</t>
        </is>
      </c>
      <c r="L171" s="23" t="inlineStr">
        <is>
          <t>-</t>
        </is>
      </c>
      <c r="N171" s="1" t="n"/>
      <c r="O171" s="1" t="n"/>
      <c r="P171" s="1" t="n"/>
      <c r="Q171" s="1" t="n"/>
      <c r="R171" s="1" t="n"/>
      <c r="S171" s="1" t="n"/>
      <c r="T171" s="1" t="n"/>
      <c r="U171" s="1" t="n"/>
      <c r="V171" s="1" t="n"/>
      <c r="W171" s="1" t="n"/>
      <c r="X171" s="1" t="n"/>
      <c r="Y171" s="1" t="n"/>
      <c r="Z171" s="1" t="n"/>
      <c r="AA171" s="1" t="n"/>
      <c r="AB171" s="1" t="n"/>
      <c r="AC171" s="1" t="n"/>
      <c r="AD171" s="1" t="n"/>
      <c r="AE171" s="1" t="n"/>
      <c r="AF171" s="1" t="n"/>
      <c r="AG171" s="1" t="n"/>
      <c r="AH171" s="1" t="n"/>
      <c r="AI171" s="1" t="n"/>
      <c r="AJ171" s="1" t="n"/>
    </row>
    <row r="172" ht="15.75" customHeight="1">
      <c r="A172" s="431" t="n"/>
      <c r="B172" s="431" t="n"/>
      <c r="C172" s="431" t="n"/>
      <c r="D172" s="451" t="n"/>
      <c r="E172" s="66" t="n"/>
      <c r="F172" s="55" t="inlineStr">
        <is>
          <t>Soft Service</t>
        </is>
      </c>
      <c r="G172" s="425" t="inlineStr">
        <is>
          <t>-</t>
        </is>
      </c>
      <c r="H172" s="29" t="inlineStr">
        <is>
          <t>-</t>
        </is>
      </c>
      <c r="I172" s="425" t="inlineStr">
        <is>
          <t>Vacant</t>
        </is>
      </c>
      <c r="J172" s="499" t="n"/>
      <c r="K172" s="14" t="inlineStr">
        <is>
          <t>-</t>
        </is>
      </c>
      <c r="L172" s="23" t="inlineStr">
        <is>
          <t>-</t>
        </is>
      </c>
      <c r="N172" s="1" t="n"/>
      <c r="O172" s="1" t="n"/>
      <c r="P172" s="1" t="n"/>
      <c r="Q172" s="1" t="n"/>
      <c r="R172" s="1" t="n"/>
      <c r="S172" s="1" t="n"/>
      <c r="T172" s="1" t="n"/>
      <c r="U172" s="1" t="n"/>
      <c r="V172" s="1" t="n"/>
      <c r="W172" s="1" t="n"/>
      <c r="X172" s="1" t="n"/>
      <c r="Y172" s="1" t="n"/>
      <c r="Z172" s="1" t="n"/>
      <c r="AA172" s="1" t="n"/>
      <c r="AB172" s="1" t="n"/>
      <c r="AC172" s="1" t="n"/>
      <c r="AD172" s="1" t="n"/>
      <c r="AE172" s="1" t="n"/>
      <c r="AF172" s="1" t="n"/>
      <c r="AG172" s="1" t="n"/>
      <c r="AH172" s="1" t="n"/>
      <c r="AI172" s="1" t="n"/>
      <c r="AJ172" s="1" t="n"/>
    </row>
    <row r="173" ht="15.75" customHeight="1">
      <c r="A173" s="445" t="inlineStr">
        <is>
          <t>SS Team Leader</t>
        </is>
      </c>
      <c r="B173" s="441" t="n">
        <v>2</v>
      </c>
      <c r="C173" s="441">
        <f>COUNTIF(E173:E174,"&lt;&gt;")</f>
        <v/>
      </c>
      <c r="D173" s="450">
        <f>C173-B173</f>
        <v/>
      </c>
      <c r="E173" s="18" t="n"/>
      <c r="F173" s="55" t="inlineStr">
        <is>
          <t>Soft Service</t>
        </is>
      </c>
      <c r="G173" s="63" t="inlineStr">
        <is>
          <t>-</t>
        </is>
      </c>
      <c r="H173" s="64" t="inlineStr">
        <is>
          <t>-</t>
        </is>
      </c>
      <c r="I173" s="425" t="inlineStr">
        <is>
          <t>Vacant</t>
        </is>
      </c>
      <c r="J173" s="499" t="n"/>
      <c r="K173" s="14" t="inlineStr">
        <is>
          <t>-</t>
        </is>
      </c>
      <c r="L173" s="23" t="inlineStr">
        <is>
          <t>-</t>
        </is>
      </c>
      <c r="N173" s="1" t="n"/>
      <c r="O173" s="1" t="n"/>
      <c r="P173" s="1" t="n"/>
      <c r="Q173" s="1" t="n"/>
      <c r="R173" s="1" t="n"/>
      <c r="S173" s="1" t="n"/>
      <c r="T173" s="1" t="n"/>
      <c r="U173" s="1" t="n"/>
      <c r="V173" s="1" t="n"/>
      <c r="W173" s="1" t="n"/>
      <c r="X173" s="1" t="n"/>
      <c r="Y173" s="1" t="n"/>
      <c r="Z173" s="1" t="n"/>
      <c r="AA173" s="1" t="n"/>
      <c r="AB173" s="1" t="n"/>
      <c r="AC173" s="1" t="n"/>
      <c r="AD173" s="1" t="n"/>
      <c r="AE173" s="1" t="n"/>
      <c r="AF173" s="1" t="n"/>
      <c r="AG173" s="1" t="n"/>
      <c r="AH173" s="1" t="n"/>
      <c r="AI173" s="1" t="n"/>
      <c r="AJ173" s="1" t="n"/>
    </row>
    <row r="174" ht="15.75" customHeight="1">
      <c r="A174" s="431" t="n"/>
      <c r="B174" s="431" t="n"/>
      <c r="C174" s="431" t="n"/>
      <c r="D174" s="451" t="n"/>
      <c r="E174" s="32" t="n"/>
      <c r="F174" s="55" t="inlineStr">
        <is>
          <t>Soft Service</t>
        </is>
      </c>
      <c r="G174" s="63" t="n"/>
      <c r="H174" s="64" t="n"/>
      <c r="I174" s="425" t="inlineStr">
        <is>
          <t>Vacant</t>
        </is>
      </c>
      <c r="J174" s="496" t="n"/>
      <c r="K174" s="14" t="n"/>
      <c r="L174" s="23" t="inlineStr">
        <is>
          <t>-</t>
        </is>
      </c>
      <c r="N174" s="1" t="n"/>
      <c r="O174" s="1" t="n"/>
      <c r="P174" s="1" t="n"/>
      <c r="Q174" s="1" t="n"/>
      <c r="R174" s="1" t="n"/>
      <c r="S174" s="1" t="n"/>
      <c r="T174" s="1" t="n"/>
      <c r="U174" s="1" t="n"/>
      <c r="V174" s="1" t="n"/>
      <c r="W174" s="1" t="n"/>
      <c r="X174" s="1" t="n"/>
      <c r="Y174" s="1" t="n"/>
      <c r="Z174" s="1" t="n"/>
      <c r="AA174" s="1" t="n"/>
      <c r="AB174" s="1" t="n"/>
      <c r="AC174" s="1" t="n"/>
      <c r="AD174" s="1" t="n"/>
      <c r="AE174" s="1" t="n"/>
      <c r="AF174" s="1" t="n"/>
      <c r="AG174" s="1" t="n"/>
      <c r="AH174" s="1" t="n"/>
      <c r="AI174" s="1" t="n"/>
      <c r="AJ174" s="1" t="n"/>
    </row>
    <row r="175" ht="15.75" customHeight="1">
      <c r="A175" s="445" t="inlineStr">
        <is>
          <t>Male Cleaners</t>
        </is>
      </c>
      <c r="B175" s="441" t="n">
        <v>16</v>
      </c>
      <c r="C175" s="441">
        <f>COUNTIF(E175:E190,"&lt;&gt;")</f>
        <v/>
      </c>
      <c r="D175" s="441">
        <f>C175-B175</f>
        <v/>
      </c>
      <c r="E175" s="67" t="inlineStr">
        <is>
          <t>Md Harun - Sarker</t>
        </is>
      </c>
      <c r="F175" s="50" t="inlineStr">
        <is>
          <t>Soft Service</t>
        </is>
      </c>
      <c r="G175" s="68" t="inlineStr">
        <is>
          <t>L00113</t>
        </is>
      </c>
      <c r="H175" s="460" t="n">
        <v>2626401570</v>
      </c>
      <c r="I175" s="425" t="inlineStr">
        <is>
          <t>Approved</t>
        </is>
      </c>
      <c r="J175" s="496" t="n">
        <v>46041</v>
      </c>
      <c r="K175" s="14" t="inlineStr">
        <is>
          <t>MEHAN (RENTAL)</t>
        </is>
      </c>
      <c r="L175" s="23" t="inlineStr">
        <is>
          <t>-</t>
        </is>
      </c>
      <c r="N175" s="1" t="n"/>
      <c r="O175" s="1" t="n"/>
      <c r="P175" s="1" t="n"/>
      <c r="Q175" s="1" t="n"/>
      <c r="R175" s="1" t="n"/>
      <c r="S175" s="1" t="n"/>
      <c r="T175" s="1" t="n"/>
      <c r="U175" s="1" t="n"/>
      <c r="V175" s="1" t="n"/>
      <c r="W175" s="1" t="n"/>
      <c r="X175" s="1" t="n"/>
      <c r="Y175" s="1" t="n"/>
      <c r="Z175" s="1" t="n"/>
      <c r="AA175" s="1" t="n"/>
      <c r="AB175" s="1" t="n"/>
      <c r="AC175" s="1" t="n"/>
      <c r="AD175" s="1" t="n"/>
      <c r="AE175" s="1" t="n"/>
      <c r="AF175" s="1" t="n"/>
      <c r="AG175" s="1" t="n"/>
      <c r="AH175" s="1" t="n"/>
      <c r="AI175" s="1" t="n"/>
      <c r="AJ175" s="1" t="n"/>
    </row>
    <row r="176" ht="15.75" customHeight="1">
      <c r="A176" s="429" t="n"/>
      <c r="B176" s="429" t="n"/>
      <c r="C176" s="429" t="n"/>
      <c r="D176" s="429" t="n"/>
      <c r="E176" s="69" t="inlineStr">
        <is>
          <t>Pappu   Chai</t>
        </is>
      </c>
      <c r="F176" s="50" t="inlineStr">
        <is>
          <t>Soft Service</t>
        </is>
      </c>
      <c r="G176" s="68" t="inlineStr">
        <is>
          <t>R05277</t>
        </is>
      </c>
      <c r="H176" s="460" t="n">
        <v>2519751495</v>
      </c>
      <c r="I176" s="425" t="inlineStr">
        <is>
          <t>Approved</t>
        </is>
      </c>
      <c r="J176" s="496" t="n">
        <v>45592</v>
      </c>
      <c r="K176" s="14" t="inlineStr">
        <is>
          <t>MEHAN (RENTAL)</t>
        </is>
      </c>
      <c r="L176" s="23" t="inlineStr">
        <is>
          <t>-</t>
        </is>
      </c>
      <c r="N176" s="1" t="n"/>
      <c r="O176" s="1" t="n"/>
      <c r="P176" s="1" t="n"/>
      <c r="Q176" s="1" t="n"/>
      <c r="R176" s="1" t="n"/>
      <c r="S176" s="1" t="n"/>
      <c r="T176" s="1" t="n"/>
      <c r="U176" s="1" t="n"/>
      <c r="V176" s="1" t="n"/>
      <c r="W176" s="1" t="n"/>
      <c r="X176" s="1" t="n"/>
      <c r="Y176" s="1" t="n"/>
      <c r="Z176" s="1" t="n"/>
      <c r="AA176" s="1" t="n"/>
      <c r="AB176" s="1" t="n"/>
      <c r="AC176" s="1" t="n"/>
      <c r="AD176" s="1" t="n"/>
      <c r="AE176" s="1" t="n"/>
      <c r="AF176" s="1" t="n"/>
      <c r="AG176" s="1" t="n"/>
      <c r="AH176" s="1" t="n"/>
      <c r="AI176" s="1" t="n"/>
      <c r="AJ176" s="1" t="n"/>
    </row>
    <row r="177" ht="15.75" customHeight="1">
      <c r="A177" s="429" t="n"/>
      <c r="B177" s="429" t="n"/>
      <c r="C177" s="429" t="n"/>
      <c r="D177" s="429" t="n"/>
      <c r="E177" s="69" t="inlineStr">
        <is>
          <t>Kumar Pawan</t>
        </is>
      </c>
      <c r="F177" s="50" t="inlineStr">
        <is>
          <t>Soft Service</t>
        </is>
      </c>
      <c r="G177" s="68" t="inlineStr">
        <is>
          <t>GV099</t>
        </is>
      </c>
      <c r="H177" s="460" t="n">
        <v>2582685208</v>
      </c>
      <c r="I177" s="425" t="inlineStr">
        <is>
          <t>Approved</t>
        </is>
      </c>
      <c r="J177" s="496" t="n">
        <v>45585</v>
      </c>
      <c r="K177" s="14" t="inlineStr">
        <is>
          <t>Gulf Vision ( RENTAL)</t>
        </is>
      </c>
      <c r="L177" s="23" t="inlineStr">
        <is>
          <t>-</t>
        </is>
      </c>
      <c r="N177" s="1" t="n"/>
      <c r="O177" s="1" t="n"/>
      <c r="P177" s="1" t="n"/>
      <c r="Q177" s="1" t="n"/>
      <c r="R177" s="1" t="n"/>
      <c r="S177" s="1" t="n"/>
      <c r="T177" s="1" t="n"/>
      <c r="U177" s="1" t="n"/>
      <c r="V177" s="1" t="n"/>
      <c r="W177" s="1" t="n"/>
      <c r="X177" s="1" t="n"/>
      <c r="Y177" s="1" t="n"/>
      <c r="Z177" s="1" t="n"/>
      <c r="AA177" s="1" t="n"/>
      <c r="AB177" s="1" t="n"/>
      <c r="AC177" s="1" t="n"/>
      <c r="AD177" s="1" t="n"/>
      <c r="AE177" s="1" t="n"/>
      <c r="AF177" s="1" t="n"/>
      <c r="AG177" s="1" t="n"/>
      <c r="AH177" s="1" t="n"/>
      <c r="AI177" s="1" t="n"/>
      <c r="AJ177" s="1" t="n"/>
    </row>
    <row r="178" ht="15.75" customHeight="1">
      <c r="A178" s="429" t="n"/>
      <c r="B178" s="429" t="n"/>
      <c r="C178" s="429" t="n"/>
      <c r="D178" s="429" t="n"/>
      <c r="E178" s="69" t="inlineStr">
        <is>
          <t>Md Abdur Rakib</t>
        </is>
      </c>
      <c r="F178" s="50" t="inlineStr">
        <is>
          <t>Soft Service</t>
        </is>
      </c>
      <c r="G178" s="68" t="n">
        <v>2600313890</v>
      </c>
      <c r="H178" s="460" t="n">
        <v>2600313890</v>
      </c>
      <c r="I178" s="425" t="inlineStr">
        <is>
          <t>Approved</t>
        </is>
      </c>
      <c r="J178" s="496" t="n">
        <v>45951</v>
      </c>
      <c r="K178" s="14" t="inlineStr">
        <is>
          <t>SCC (RENTAL)</t>
        </is>
      </c>
      <c r="L178" s="23" t="inlineStr">
        <is>
          <t>-</t>
        </is>
      </c>
      <c r="N178" s="1" t="n"/>
      <c r="O178" s="1" t="n"/>
      <c r="P178" s="1" t="n"/>
      <c r="Q178" s="1" t="n"/>
      <c r="R178" s="1" t="n"/>
      <c r="S178" s="1" t="n"/>
      <c r="T178" s="1" t="n"/>
      <c r="U178" s="1" t="n"/>
      <c r="V178" s="1" t="n"/>
      <c r="W178" s="1" t="n"/>
      <c r="X178" s="1" t="n"/>
      <c r="Y178" s="1" t="n"/>
      <c r="Z178" s="1" t="n"/>
      <c r="AA178" s="1" t="n"/>
      <c r="AB178" s="1" t="n"/>
      <c r="AC178" s="1" t="n"/>
      <c r="AD178" s="1" t="n"/>
      <c r="AE178" s="1" t="n"/>
      <c r="AF178" s="1" t="n"/>
      <c r="AG178" s="1" t="n"/>
      <c r="AH178" s="1" t="n"/>
      <c r="AI178" s="1" t="n"/>
      <c r="AJ178" s="1" t="n"/>
    </row>
    <row r="179" ht="15.75" customHeight="1">
      <c r="A179" s="429" t="n"/>
      <c r="B179" s="429" t="n"/>
      <c r="C179" s="429" t="n"/>
      <c r="D179" s="429" t="n"/>
      <c r="E179" s="69" t="inlineStr">
        <is>
          <t>Lache Ram Ahir</t>
        </is>
      </c>
      <c r="F179" s="50" t="inlineStr">
        <is>
          <t>Soft Service</t>
        </is>
      </c>
      <c r="G179" s="68" t="inlineStr">
        <is>
          <t>S311</t>
        </is>
      </c>
      <c r="H179" s="460" t="n">
        <v>2606912513</v>
      </c>
      <c r="I179" s="425" t="inlineStr">
        <is>
          <t>Approved</t>
        </is>
      </c>
      <c r="J179" s="496" t="n">
        <v>45957</v>
      </c>
      <c r="K179" s="14" t="inlineStr">
        <is>
          <t>SCC (RENTAL)</t>
        </is>
      </c>
      <c r="L179" s="23" t="inlineStr">
        <is>
          <t>-</t>
        </is>
      </c>
      <c r="N179" s="1" t="n"/>
      <c r="O179" s="1" t="n"/>
      <c r="P179" s="1" t="n"/>
      <c r="Q179" s="1" t="n"/>
      <c r="R179" s="1" t="n"/>
      <c r="S179" s="1" t="n"/>
      <c r="T179" s="1" t="n"/>
      <c r="U179" s="1" t="n"/>
      <c r="V179" s="1" t="n"/>
      <c r="W179" s="1" t="n"/>
      <c r="X179" s="1" t="n"/>
      <c r="Y179" s="1" t="n"/>
      <c r="Z179" s="1" t="n"/>
      <c r="AA179" s="1" t="n"/>
      <c r="AB179" s="1" t="n"/>
      <c r="AC179" s="1" t="n"/>
      <c r="AD179" s="1" t="n"/>
      <c r="AE179" s="1" t="n"/>
      <c r="AF179" s="1" t="n"/>
      <c r="AG179" s="1" t="n"/>
      <c r="AH179" s="1" t="n"/>
      <c r="AI179" s="1" t="n"/>
      <c r="AJ179" s="1" t="n"/>
    </row>
    <row r="180" ht="15.75" customHeight="1">
      <c r="A180" s="429" t="n"/>
      <c r="B180" s="429" t="n"/>
      <c r="C180" s="429" t="n"/>
      <c r="D180" s="429" t="n"/>
      <c r="E180" s="69" t="inlineStr">
        <is>
          <t>Mojammael Miah</t>
        </is>
      </c>
      <c r="F180" s="50" t="inlineStr">
        <is>
          <t>Soft Service</t>
        </is>
      </c>
      <c r="G180" s="68" t="inlineStr">
        <is>
          <t>S362</t>
        </is>
      </c>
      <c r="H180" s="460" t="n">
        <v>2605950472</v>
      </c>
      <c r="I180" s="425" t="inlineStr">
        <is>
          <t>Approved</t>
        </is>
      </c>
      <c r="J180" s="496" t="n">
        <v>45818</v>
      </c>
      <c r="K180" s="14" t="inlineStr">
        <is>
          <t>SCC (RENTAL)</t>
        </is>
      </c>
      <c r="L180" s="23" t="inlineStr">
        <is>
          <t>-</t>
        </is>
      </c>
      <c r="N180" s="1" t="n"/>
      <c r="O180" s="1" t="n"/>
      <c r="P180" s="1" t="n"/>
      <c r="Q180" s="1" t="n"/>
      <c r="R180" s="1" t="n"/>
      <c r="S180" s="1" t="n"/>
      <c r="T180" s="1" t="n"/>
      <c r="U180" s="1" t="n"/>
      <c r="V180" s="1" t="n"/>
      <c r="W180" s="1" t="n"/>
      <c r="X180" s="1" t="n"/>
      <c r="Y180" s="1" t="n"/>
      <c r="Z180" s="1" t="n"/>
      <c r="AA180" s="1" t="n"/>
      <c r="AB180" s="1" t="n"/>
      <c r="AC180" s="1" t="n"/>
      <c r="AD180" s="1" t="n"/>
      <c r="AE180" s="1" t="n"/>
      <c r="AF180" s="1" t="n"/>
      <c r="AG180" s="1" t="n"/>
      <c r="AH180" s="1" t="n"/>
      <c r="AI180" s="1" t="n"/>
      <c r="AJ180" s="1" t="n"/>
    </row>
    <row r="181" ht="15.75" customHeight="1">
      <c r="A181" s="429" t="n"/>
      <c r="B181" s="429" t="n"/>
      <c r="C181" s="429" t="n"/>
      <c r="D181" s="429" t="n"/>
      <c r="E181" s="69" t="inlineStr">
        <is>
          <t>Md Rayhan</t>
        </is>
      </c>
      <c r="F181" s="50" t="inlineStr">
        <is>
          <t>Soft Service</t>
        </is>
      </c>
      <c r="G181" s="68" t="n">
        <v>2621898358</v>
      </c>
      <c r="H181" s="460" t="n">
        <v>2621898358</v>
      </c>
      <c r="I181" s="425" t="inlineStr">
        <is>
          <t>Approved</t>
        </is>
      </c>
      <c r="J181" s="496" t="n">
        <v>45996</v>
      </c>
      <c r="K181" s="14" t="inlineStr">
        <is>
          <t>SCC (RENTAL)</t>
        </is>
      </c>
      <c r="L181" s="23" t="inlineStr">
        <is>
          <t>-</t>
        </is>
      </c>
      <c r="N181" s="1" t="n"/>
      <c r="O181" s="1" t="n"/>
      <c r="P181" s="1" t="n"/>
      <c r="Q181" s="1" t="n"/>
      <c r="R181" s="1" t="n"/>
      <c r="S181" s="1" t="n"/>
      <c r="T181" s="1" t="n"/>
      <c r="U181" s="1" t="n"/>
      <c r="V181" s="1" t="n"/>
      <c r="W181" s="1" t="n"/>
      <c r="X181" s="1" t="n"/>
      <c r="Y181" s="1" t="n"/>
      <c r="Z181" s="1" t="n"/>
      <c r="AA181" s="1" t="n"/>
      <c r="AB181" s="1" t="n"/>
      <c r="AC181" s="1" t="n"/>
      <c r="AD181" s="1" t="n"/>
      <c r="AE181" s="1" t="n"/>
      <c r="AF181" s="1" t="n"/>
      <c r="AG181" s="1" t="n"/>
      <c r="AH181" s="1" t="n"/>
      <c r="AI181" s="1" t="n"/>
      <c r="AJ181" s="1" t="n"/>
    </row>
    <row r="182" ht="15.75" customHeight="1">
      <c r="A182" s="429" t="n"/>
      <c r="B182" s="429" t="n"/>
      <c r="C182" s="429" t="n"/>
      <c r="D182" s="429" t="n"/>
      <c r="E182" s="69" t="inlineStr">
        <is>
          <t>Md Hasan Ali</t>
        </is>
      </c>
      <c r="F182" s="50" t="inlineStr">
        <is>
          <t>Soft Service</t>
        </is>
      </c>
      <c r="G182" s="68" t="n">
        <v>2624660672</v>
      </c>
      <c r="H182" s="460" t="n">
        <v>2624660672</v>
      </c>
      <c r="I182" s="425" t="inlineStr">
        <is>
          <t>Approved</t>
        </is>
      </c>
      <c r="J182" s="496" t="n">
        <v>46025</v>
      </c>
      <c r="K182" s="14" t="inlineStr">
        <is>
          <t>SCC (RENTAL)</t>
        </is>
      </c>
      <c r="L182" s="23" t="inlineStr">
        <is>
          <t>-</t>
        </is>
      </c>
      <c r="N182" s="1" t="n"/>
      <c r="O182" s="1" t="n"/>
      <c r="P182" s="1" t="n"/>
      <c r="Q182" s="1" t="n"/>
      <c r="R182" s="1" t="n"/>
      <c r="S182" s="1" t="n"/>
      <c r="T182" s="1" t="n"/>
      <c r="U182" s="1" t="n"/>
      <c r="V182" s="1" t="n"/>
      <c r="W182" s="1" t="n"/>
      <c r="X182" s="1" t="n"/>
      <c r="Y182" s="1" t="n"/>
      <c r="Z182" s="1" t="n"/>
      <c r="AA182" s="1" t="n"/>
      <c r="AB182" s="1" t="n"/>
      <c r="AC182" s="1" t="n"/>
      <c r="AD182" s="1" t="n"/>
      <c r="AE182" s="1" t="n"/>
      <c r="AF182" s="1" t="n"/>
      <c r="AG182" s="1" t="n"/>
      <c r="AH182" s="1" t="n"/>
      <c r="AI182" s="1" t="n"/>
      <c r="AJ182" s="1" t="n"/>
    </row>
    <row r="183" ht="15.75" customHeight="1">
      <c r="A183" s="429" t="n"/>
      <c r="B183" s="429" t="n"/>
      <c r="C183" s="429" t="n"/>
      <c r="D183" s="429" t="n"/>
      <c r="E183" s="69" t="inlineStr">
        <is>
          <t>Bijay Kumar Urav</t>
        </is>
      </c>
      <c r="F183" s="50" t="inlineStr">
        <is>
          <t>Soft Service</t>
        </is>
      </c>
      <c r="G183" s="68" t="n">
        <v>701191</v>
      </c>
      <c r="H183" s="460" t="n">
        <v>2529857704</v>
      </c>
      <c r="I183" s="425" t="inlineStr">
        <is>
          <t>Approved</t>
        </is>
      </c>
      <c r="J183" s="496" t="n">
        <v>46040</v>
      </c>
      <c r="K183" s="14" t="inlineStr">
        <is>
          <t>FMCO</t>
        </is>
      </c>
      <c r="L183" s="23" t="inlineStr">
        <is>
          <t>-</t>
        </is>
      </c>
      <c r="N183" s="1" t="n"/>
      <c r="O183" s="1" t="n"/>
      <c r="P183" s="1" t="n"/>
      <c r="Q183" s="1" t="n"/>
      <c r="R183" s="1" t="n"/>
      <c r="S183" s="1" t="n"/>
      <c r="T183" s="1" t="n"/>
      <c r="U183" s="1" t="n"/>
      <c r="V183" s="1" t="n"/>
      <c r="W183" s="1" t="n"/>
      <c r="X183" s="1" t="n"/>
      <c r="Y183" s="1" t="n"/>
      <c r="Z183" s="1" t="n"/>
      <c r="AA183" s="1" t="n"/>
      <c r="AB183" s="1" t="n"/>
      <c r="AC183" s="1" t="n"/>
      <c r="AD183" s="1" t="n"/>
      <c r="AE183" s="1" t="n"/>
      <c r="AF183" s="1" t="n"/>
      <c r="AG183" s="1" t="n"/>
      <c r="AH183" s="1" t="n"/>
      <c r="AI183" s="1" t="n"/>
      <c r="AJ183" s="1" t="n"/>
    </row>
    <row r="184" ht="15.75" customHeight="1">
      <c r="A184" s="429" t="n"/>
      <c r="B184" s="429" t="n"/>
      <c r="C184" s="429" t="n"/>
      <c r="D184" s="429" t="n"/>
      <c r="E184" s="69" t="inlineStr">
        <is>
          <t>Mohammad Danish</t>
        </is>
      </c>
      <c r="F184" s="50" t="inlineStr">
        <is>
          <t>Soft Service</t>
        </is>
      </c>
      <c r="G184" s="68" t="inlineStr">
        <is>
          <t>C00757</t>
        </is>
      </c>
      <c r="H184" s="460" t="n">
        <v>2583231432</v>
      </c>
      <c r="I184" s="425" t="inlineStr">
        <is>
          <t>Approved</t>
        </is>
      </c>
      <c r="J184" s="496" t="n">
        <v>45586</v>
      </c>
      <c r="K184" s="14" t="inlineStr">
        <is>
          <t>MEHAN VISA</t>
        </is>
      </c>
      <c r="L184" s="23" t="inlineStr">
        <is>
          <t>-</t>
        </is>
      </c>
      <c r="N184" s="1" t="n"/>
      <c r="O184" s="1" t="n"/>
      <c r="P184" s="1" t="n"/>
      <c r="Q184" s="1" t="n"/>
      <c r="R184" s="1" t="n"/>
      <c r="S184" s="1" t="n"/>
      <c r="T184" s="1" t="n"/>
      <c r="U184" s="1" t="n"/>
      <c r="V184" s="1" t="n"/>
      <c r="W184" s="1" t="n"/>
      <c r="X184" s="1" t="n"/>
      <c r="Y184" s="1" t="n"/>
      <c r="Z184" s="1" t="n"/>
      <c r="AA184" s="1" t="n"/>
      <c r="AB184" s="1" t="n"/>
      <c r="AC184" s="1" t="n"/>
      <c r="AD184" s="1" t="n"/>
      <c r="AE184" s="1" t="n"/>
      <c r="AF184" s="1" t="n"/>
      <c r="AG184" s="1" t="n"/>
      <c r="AH184" s="1" t="n"/>
      <c r="AI184" s="1" t="n"/>
      <c r="AJ184" s="1" t="n"/>
    </row>
    <row r="185" ht="15.75" customHeight="1">
      <c r="A185" s="429" t="n"/>
      <c r="B185" s="429" t="n"/>
      <c r="C185" s="429" t="n"/>
      <c r="D185" s="429" t="n"/>
      <c r="E185" s="69" t="inlineStr">
        <is>
          <t>Humayun Kabir Mazibur Rahman</t>
        </is>
      </c>
      <c r="F185" s="50" t="inlineStr">
        <is>
          <t>Soft Service</t>
        </is>
      </c>
      <c r="G185" s="68" t="n">
        <v>700371</v>
      </c>
      <c r="H185" s="460" t="n">
        <v>2355750163</v>
      </c>
      <c r="I185" s="425" t="inlineStr">
        <is>
          <t>Approved</t>
        </is>
      </c>
      <c r="J185" s="496" t="n">
        <v>45937</v>
      </c>
      <c r="K185" s="14" t="inlineStr">
        <is>
          <t>FMCO</t>
        </is>
      </c>
      <c r="L185" s="23" t="inlineStr">
        <is>
          <t>-</t>
        </is>
      </c>
      <c r="N185" s="1" t="n"/>
      <c r="O185" s="1" t="n"/>
      <c r="P185" s="1" t="n"/>
      <c r="Q185" s="1" t="n"/>
      <c r="R185" s="1" t="n"/>
      <c r="S185" s="1" t="n"/>
      <c r="T185" s="1" t="n"/>
      <c r="U185" s="1" t="n"/>
      <c r="V185" s="1" t="n"/>
      <c r="W185" s="1" t="n"/>
      <c r="X185" s="1" t="n"/>
      <c r="Y185" s="1" t="n"/>
      <c r="Z185" s="1" t="n"/>
      <c r="AA185" s="1" t="n"/>
      <c r="AB185" s="1" t="n"/>
      <c r="AC185" s="1" t="n"/>
      <c r="AD185" s="1" t="n"/>
      <c r="AE185" s="1" t="n"/>
      <c r="AF185" s="1" t="n"/>
      <c r="AG185" s="1" t="n"/>
      <c r="AH185" s="1" t="n"/>
      <c r="AI185" s="1" t="n"/>
      <c r="AJ185" s="1" t="n"/>
    </row>
    <row r="186" ht="15.75" customHeight="1">
      <c r="A186" s="429" t="n"/>
      <c r="B186" s="429" t="n"/>
      <c r="C186" s="429" t="n"/>
      <c r="D186" s="429" t="n"/>
      <c r="E186" s="69" t="inlineStr">
        <is>
          <t>MD ABDUL BAREK</t>
        </is>
      </c>
      <c r="F186" s="50" t="inlineStr">
        <is>
          <t>Soft Service</t>
        </is>
      </c>
      <c r="G186" s="68" t="n">
        <v>1082</v>
      </c>
      <c r="H186" s="460" t="inlineStr">
        <is>
          <t>2571559281</t>
        </is>
      </c>
      <c r="I186" s="425" t="inlineStr">
        <is>
          <t>Approved</t>
        </is>
      </c>
      <c r="J186" s="496" t="n">
        <v>45648</v>
      </c>
      <c r="K186" s="14" t="inlineStr">
        <is>
          <t>UCC RENTAL</t>
        </is>
      </c>
      <c r="L186" s="23" t="n"/>
      <c r="N186" s="1" t="n"/>
      <c r="O186" s="1" t="n"/>
      <c r="P186" s="1" t="n"/>
      <c r="Q186" s="1" t="n"/>
      <c r="R186" s="1" t="n"/>
      <c r="S186" s="1" t="n"/>
      <c r="T186" s="1" t="n"/>
      <c r="U186" s="1" t="n"/>
      <c r="V186" s="1" t="n"/>
      <c r="W186" s="1" t="n"/>
      <c r="X186" s="1" t="n"/>
      <c r="Y186" s="1" t="n"/>
      <c r="Z186" s="1" t="n"/>
      <c r="AA186" s="1" t="n"/>
      <c r="AB186" s="1" t="n"/>
      <c r="AC186" s="1" t="n"/>
      <c r="AD186" s="1" t="n"/>
      <c r="AE186" s="1" t="n"/>
      <c r="AF186" s="1" t="n"/>
      <c r="AG186" s="1" t="n"/>
      <c r="AH186" s="1" t="n"/>
      <c r="AI186" s="1" t="n"/>
      <c r="AJ186" s="1" t="n"/>
    </row>
    <row r="187" ht="15.75" customHeight="1">
      <c r="A187" s="429" t="n"/>
      <c r="B187" s="429" t="n"/>
      <c r="C187" s="429" t="n"/>
      <c r="D187" s="429" t="n"/>
      <c r="E187" s="69" t="inlineStr">
        <is>
          <t>RAFI MIAH</t>
        </is>
      </c>
      <c r="F187" s="50" t="inlineStr">
        <is>
          <t>Soft Service</t>
        </is>
      </c>
      <c r="G187" s="27" t="inlineStr">
        <is>
          <t>-</t>
        </is>
      </c>
      <c r="H187" s="27" t="inlineStr">
        <is>
          <t>-</t>
        </is>
      </c>
      <c r="I187" s="425" t="inlineStr">
        <is>
          <t>Approved</t>
        </is>
      </c>
      <c r="J187" s="496" t="n">
        <v>46246</v>
      </c>
      <c r="K187" s="27" t="inlineStr">
        <is>
          <t>-</t>
        </is>
      </c>
      <c r="L187" s="23" t="inlineStr">
        <is>
          <t>-</t>
        </is>
      </c>
      <c r="N187" s="1" t="n"/>
      <c r="O187" s="1" t="n"/>
      <c r="P187" s="1" t="n"/>
      <c r="Q187" s="1" t="n"/>
      <c r="R187" s="1" t="n"/>
      <c r="S187" s="1" t="n"/>
      <c r="T187" s="1" t="n"/>
      <c r="U187" s="1" t="n"/>
      <c r="V187" s="1" t="n"/>
      <c r="W187" s="1" t="n"/>
      <c r="X187" s="1" t="n"/>
      <c r="Y187" s="1" t="n"/>
      <c r="Z187" s="1" t="n"/>
      <c r="AA187" s="1" t="n"/>
      <c r="AB187" s="1" t="n"/>
      <c r="AC187" s="1" t="n"/>
      <c r="AD187" s="1" t="n"/>
      <c r="AE187" s="1" t="n"/>
      <c r="AF187" s="1" t="n"/>
      <c r="AG187" s="1" t="n"/>
      <c r="AH187" s="1" t="n"/>
      <c r="AI187" s="1" t="n"/>
      <c r="AJ187" s="1" t="n"/>
    </row>
    <row r="188" ht="15.75" customHeight="1">
      <c r="A188" s="429" t="n"/>
      <c r="B188" s="429" t="n"/>
      <c r="C188" s="429" t="n"/>
      <c r="D188" s="429" t="n"/>
      <c r="E188" s="284" t="inlineStr">
        <is>
          <t>MEHEDI HASAN</t>
        </is>
      </c>
      <c r="F188" s="425" t="inlineStr">
        <is>
          <t>Soft Service</t>
        </is>
      </c>
      <c r="G188" s="460" t="inlineStr">
        <is>
          <t>-</t>
        </is>
      </c>
      <c r="H188" s="460" t="inlineStr">
        <is>
          <t>-</t>
        </is>
      </c>
      <c r="I188" s="425" t="inlineStr">
        <is>
          <t>Approved</t>
        </is>
      </c>
      <c r="J188" s="496" t="inlineStr">
        <is>
          <t>26/08/2026</t>
        </is>
      </c>
      <c r="K188" s="14" t="inlineStr">
        <is>
          <t>-</t>
        </is>
      </c>
      <c r="L188" s="23" t="inlineStr">
        <is>
          <t>-</t>
        </is>
      </c>
      <c r="N188" s="1" t="n"/>
      <c r="O188" s="1" t="n"/>
      <c r="P188" s="1" t="n"/>
      <c r="Q188" s="1" t="n"/>
      <c r="R188" s="1" t="n"/>
      <c r="S188" s="1" t="n"/>
      <c r="T188" s="1" t="n"/>
      <c r="U188" s="1" t="n"/>
      <c r="V188" s="1" t="n"/>
      <c r="W188" s="1" t="n"/>
      <c r="X188" s="1" t="n"/>
      <c r="Y188" s="1" t="n"/>
      <c r="Z188" s="1" t="n"/>
      <c r="AA188" s="1" t="n"/>
      <c r="AB188" s="1" t="n"/>
      <c r="AC188" s="1" t="n"/>
      <c r="AD188" s="1" t="n"/>
      <c r="AE188" s="1" t="n"/>
      <c r="AF188" s="1" t="n"/>
      <c r="AG188" s="1" t="n"/>
      <c r="AH188" s="1" t="n"/>
      <c r="AI188" s="1" t="n"/>
      <c r="AJ188" s="1" t="n"/>
    </row>
    <row r="189" ht="15.75" customHeight="1">
      <c r="A189" s="429" t="n"/>
      <c r="B189" s="429" t="n"/>
      <c r="C189" s="429" t="n"/>
      <c r="D189" s="429" t="n"/>
      <c r="E189" s="69" t="inlineStr">
        <is>
          <t>MD JISAN AHAMAD</t>
        </is>
      </c>
      <c r="F189" s="50" t="inlineStr">
        <is>
          <t>Soft Service</t>
        </is>
      </c>
      <c r="G189" s="27" t="inlineStr">
        <is>
          <t>-</t>
        </is>
      </c>
      <c r="H189" s="27" t="inlineStr">
        <is>
          <t>-</t>
        </is>
      </c>
      <c r="I189" s="425" t="inlineStr">
        <is>
          <t>Approved</t>
        </is>
      </c>
      <c r="J189" s="496" t="n">
        <v>46246</v>
      </c>
      <c r="K189" s="27" t="inlineStr">
        <is>
          <t>-</t>
        </is>
      </c>
      <c r="L189" s="23" t="inlineStr">
        <is>
          <t>-</t>
        </is>
      </c>
      <c r="N189" s="1" t="n"/>
      <c r="O189" s="1" t="n"/>
      <c r="P189" s="1" t="n"/>
      <c r="Q189" s="1" t="n"/>
      <c r="R189" s="1" t="n"/>
      <c r="S189" s="1" t="n"/>
      <c r="T189" s="1" t="n"/>
      <c r="U189" s="1" t="n"/>
      <c r="V189" s="1" t="n"/>
      <c r="W189" s="1" t="n"/>
      <c r="X189" s="1" t="n"/>
      <c r="Y189" s="1" t="n"/>
      <c r="Z189" s="1" t="n"/>
      <c r="AA189" s="1" t="n"/>
      <c r="AB189" s="1" t="n"/>
      <c r="AC189" s="1" t="n"/>
      <c r="AD189" s="1" t="n"/>
      <c r="AE189" s="1" t="n"/>
      <c r="AF189" s="1" t="n"/>
      <c r="AG189" s="1" t="n"/>
      <c r="AH189" s="1" t="n"/>
      <c r="AI189" s="1" t="n"/>
      <c r="AJ189" s="1" t="n"/>
    </row>
    <row r="190" ht="15.75" customHeight="1">
      <c r="A190" s="431" t="n"/>
      <c r="B190" s="431" t="n"/>
      <c r="C190" s="431" t="n"/>
      <c r="D190" s="431" t="n"/>
      <c r="E190" s="69" t="inlineStr">
        <is>
          <t>MD SYEDUL ISLAM</t>
        </is>
      </c>
      <c r="F190" s="50" t="inlineStr">
        <is>
          <t>Soft Service</t>
        </is>
      </c>
      <c r="G190" s="27" t="inlineStr">
        <is>
          <t>-</t>
        </is>
      </c>
      <c r="H190" s="27" t="inlineStr">
        <is>
          <t>-</t>
        </is>
      </c>
      <c r="I190" s="425" t="inlineStr">
        <is>
          <t>Approved</t>
        </is>
      </c>
      <c r="J190" s="27" t="inlineStr">
        <is>
          <t>-</t>
        </is>
      </c>
      <c r="K190" s="27" t="inlineStr">
        <is>
          <t>-</t>
        </is>
      </c>
      <c r="L190" s="23" t="inlineStr">
        <is>
          <t>-</t>
        </is>
      </c>
      <c r="N190" s="1" t="n"/>
      <c r="O190" s="1" t="n"/>
      <c r="P190" s="1" t="n"/>
      <c r="Q190" s="1" t="n"/>
      <c r="R190" s="1" t="n"/>
      <c r="S190" s="1" t="n"/>
      <c r="T190" s="1" t="n"/>
      <c r="U190" s="1" t="n"/>
      <c r="V190" s="1" t="n"/>
      <c r="W190" s="1" t="n"/>
      <c r="X190" s="1" t="n"/>
      <c r="Y190" s="1" t="n"/>
      <c r="Z190" s="1" t="n"/>
      <c r="AA190" s="1" t="n"/>
      <c r="AB190" s="1" t="n"/>
      <c r="AC190" s="1" t="n"/>
      <c r="AD190" s="1" t="n"/>
      <c r="AE190" s="1" t="n"/>
      <c r="AF190" s="1" t="n"/>
      <c r="AG190" s="1" t="n"/>
      <c r="AH190" s="1" t="n"/>
      <c r="AI190" s="1" t="n"/>
      <c r="AJ190" s="1" t="n"/>
    </row>
    <row r="191" ht="15.75" customHeight="1">
      <c r="A191" s="447" t="inlineStr">
        <is>
          <t>Male- Housekeepers</t>
        </is>
      </c>
      <c r="B191" s="448" t="n">
        <v>92</v>
      </c>
      <c r="C191" s="448">
        <f>COUNTIF(E191:E282,"&lt;&gt;")</f>
        <v/>
      </c>
      <c r="D191" s="428">
        <f>C191-B191</f>
        <v/>
      </c>
      <c r="E191" s="22" t="inlineStr">
        <is>
          <t>Shahadat Hossain</t>
        </is>
      </c>
      <c r="F191" s="26" t="inlineStr">
        <is>
          <t>Soft Service</t>
        </is>
      </c>
      <c r="G191" s="27" t="inlineStr">
        <is>
          <t>-</t>
        </is>
      </c>
      <c r="H191" s="19" t="n">
        <v>2590440455</v>
      </c>
      <c r="I191" s="425" t="inlineStr">
        <is>
          <t>Approved</t>
        </is>
      </c>
      <c r="J191" s="496" t="n">
        <v>46199</v>
      </c>
      <c r="K191" s="28" t="inlineStr">
        <is>
          <t>JAWAD AL DUWAIL</t>
        </is>
      </c>
      <c r="L191" s="23" t="inlineStr">
        <is>
          <t>-</t>
        </is>
      </c>
      <c r="N191" s="1" t="n"/>
      <c r="O191" s="1" t="n"/>
      <c r="P191" s="1" t="n"/>
      <c r="Q191" s="1" t="n"/>
      <c r="R191" s="1" t="n"/>
      <c r="S191" s="1" t="n"/>
      <c r="T191" s="1" t="n"/>
      <c r="U191" s="1" t="n"/>
      <c r="V191" s="1" t="n"/>
      <c r="W191" s="1" t="n"/>
      <c r="X191" s="1" t="n"/>
      <c r="Y191" s="1" t="n"/>
      <c r="Z191" s="1" t="n"/>
      <c r="AA191" s="1" t="n"/>
      <c r="AB191" s="1" t="n"/>
      <c r="AC191" s="1" t="n"/>
      <c r="AD191" s="1" t="n"/>
      <c r="AE191" s="1" t="n"/>
      <c r="AF191" s="1" t="n"/>
      <c r="AG191" s="1" t="n"/>
      <c r="AH191" s="1" t="n"/>
      <c r="AI191" s="1" t="n"/>
      <c r="AJ191" s="1" t="n"/>
    </row>
    <row r="192" ht="15.75" customHeight="1">
      <c r="A192" s="429" t="n"/>
      <c r="B192" s="429" t="n"/>
      <c r="C192" s="429" t="n"/>
      <c r="D192" s="429" t="n"/>
      <c r="E192" s="69" t="inlineStr">
        <is>
          <t>Md Hossain Ahmed</t>
        </is>
      </c>
      <c r="F192" s="50" t="inlineStr">
        <is>
          <t>Soft Service</t>
        </is>
      </c>
      <c r="G192" s="68" t="n">
        <v>1287</v>
      </c>
      <c r="H192" s="460" t="n">
        <v>2600217968</v>
      </c>
      <c r="I192" s="425" t="inlineStr">
        <is>
          <t>Approved</t>
        </is>
      </c>
      <c r="J192" s="496" t="n">
        <v>45769</v>
      </c>
      <c r="K192" s="14" t="inlineStr">
        <is>
          <t>UCC( RENTAL)</t>
        </is>
      </c>
      <c r="L192" s="23" t="inlineStr">
        <is>
          <t>-</t>
        </is>
      </c>
      <c r="N192" s="1" t="n"/>
      <c r="O192" s="1" t="n"/>
      <c r="P192" s="1" t="n"/>
      <c r="Q192" s="1" t="n"/>
      <c r="R192" s="1" t="n"/>
      <c r="S192" s="1" t="n"/>
      <c r="T192" s="1" t="n"/>
      <c r="U192" s="1" t="n"/>
      <c r="V192" s="1" t="n"/>
      <c r="W192" s="1" t="n"/>
      <c r="X192" s="1" t="n"/>
      <c r="Y192" s="1" t="n"/>
      <c r="Z192" s="1" t="n"/>
      <c r="AA192" s="1" t="n"/>
      <c r="AB192" s="1" t="n"/>
      <c r="AC192" s="1" t="n"/>
      <c r="AD192" s="1" t="n"/>
      <c r="AE192" s="1" t="n"/>
      <c r="AF192" s="1" t="n"/>
      <c r="AG192" s="1" t="n"/>
      <c r="AH192" s="1" t="n"/>
      <c r="AI192" s="1" t="n"/>
      <c r="AJ192" s="1" t="n"/>
    </row>
    <row r="193" ht="15.75" customHeight="1">
      <c r="A193" s="429" t="n"/>
      <c r="B193" s="429" t="n"/>
      <c r="C193" s="429" t="n"/>
      <c r="D193" s="429" t="n"/>
      <c r="E193" s="69" t="inlineStr">
        <is>
          <t>Pramod Ray - Yadav</t>
        </is>
      </c>
      <c r="F193" s="50" t="inlineStr">
        <is>
          <t>Soft Service</t>
        </is>
      </c>
      <c r="G193" s="68" t="inlineStr">
        <is>
          <t>R09050</t>
        </is>
      </c>
      <c r="H193" s="460" t="n">
        <v>2609903642</v>
      </c>
      <c r="I193" s="425" t="inlineStr">
        <is>
          <t>Approved</t>
        </is>
      </c>
      <c r="J193" s="496" t="n">
        <v>46041</v>
      </c>
      <c r="K193" s="14" t="inlineStr">
        <is>
          <t>MEHAN (RENTAL)</t>
        </is>
      </c>
      <c r="L193" s="23" t="inlineStr">
        <is>
          <t>-</t>
        </is>
      </c>
      <c r="N193" s="1" t="n"/>
      <c r="O193" s="1" t="n"/>
      <c r="P193" s="1" t="n"/>
      <c r="Q193" s="1" t="n"/>
      <c r="R193" s="1" t="n"/>
      <c r="S193" s="1" t="n"/>
      <c r="T193" s="1" t="n"/>
      <c r="U193" s="1" t="n"/>
      <c r="V193" s="1" t="n"/>
      <c r="W193" s="1" t="n"/>
      <c r="X193" s="1" t="n"/>
      <c r="Y193" s="1" t="n"/>
      <c r="Z193" s="1" t="n"/>
      <c r="AA193" s="1" t="n"/>
      <c r="AB193" s="1" t="n"/>
      <c r="AC193" s="1" t="n"/>
      <c r="AD193" s="1" t="n"/>
      <c r="AE193" s="1" t="n"/>
      <c r="AF193" s="1" t="n"/>
      <c r="AG193" s="1" t="n"/>
      <c r="AH193" s="1" t="n"/>
      <c r="AI193" s="1" t="n"/>
      <c r="AJ193" s="1" t="n"/>
    </row>
    <row r="194" ht="15.75" customHeight="1">
      <c r="A194" s="429" t="n"/>
      <c r="B194" s="429" t="n"/>
      <c r="C194" s="429" t="n"/>
      <c r="D194" s="429" t="n"/>
      <c r="E194" s="69" t="inlineStr">
        <is>
          <t>Shemul Biswas</t>
        </is>
      </c>
      <c r="F194" s="50" t="inlineStr">
        <is>
          <t>Soft Service</t>
        </is>
      </c>
      <c r="G194" s="68" t="n">
        <v>2621753884</v>
      </c>
      <c r="H194" s="460" t="n">
        <v>2621753884</v>
      </c>
      <c r="I194" s="425" t="inlineStr">
        <is>
          <t>Approved</t>
        </is>
      </c>
      <c r="J194" s="496" t="n">
        <v>45996</v>
      </c>
      <c r="K194" s="14" t="inlineStr">
        <is>
          <t>SCC (RENTAL)</t>
        </is>
      </c>
      <c r="L194" s="23" t="inlineStr">
        <is>
          <t>-</t>
        </is>
      </c>
      <c r="N194" s="1" t="n"/>
      <c r="O194" s="1" t="n"/>
      <c r="P194" s="1" t="n"/>
      <c r="Q194" s="1" t="n"/>
      <c r="R194" s="1" t="n"/>
      <c r="S194" s="1" t="n"/>
      <c r="T194" s="1" t="n"/>
      <c r="U194" s="1" t="n"/>
      <c r="V194" s="1" t="n"/>
      <c r="W194" s="1" t="n"/>
      <c r="X194" s="1" t="n"/>
      <c r="Y194" s="1" t="n"/>
      <c r="Z194" s="1" t="n"/>
      <c r="AA194" s="1" t="n"/>
      <c r="AB194" s="1" t="n"/>
      <c r="AC194" s="1" t="n"/>
      <c r="AD194" s="1" t="n"/>
      <c r="AE194" s="1" t="n"/>
      <c r="AF194" s="1" t="n"/>
      <c r="AG194" s="1" t="n"/>
      <c r="AH194" s="1" t="n"/>
      <c r="AI194" s="1" t="n"/>
      <c r="AJ194" s="1" t="n"/>
    </row>
    <row r="195" ht="15.75" customHeight="1">
      <c r="A195" s="429" t="n"/>
      <c r="B195" s="429" t="n"/>
      <c r="C195" s="429" t="n"/>
      <c r="D195" s="429" t="n"/>
      <c r="E195" s="69" t="inlineStr">
        <is>
          <t>ROWSAD HOSAN</t>
        </is>
      </c>
      <c r="F195" s="50" t="inlineStr">
        <is>
          <t>Soft Service</t>
        </is>
      </c>
      <c r="G195" s="68" t="inlineStr">
        <is>
          <t>-</t>
        </is>
      </c>
      <c r="H195" s="460" t="inlineStr">
        <is>
          <t>-</t>
        </is>
      </c>
      <c r="I195" s="425" t="inlineStr">
        <is>
          <t>Approved</t>
        </is>
      </c>
      <c r="J195" s="496" t="n">
        <v>46246</v>
      </c>
      <c r="K195" s="14" t="inlineStr">
        <is>
          <t>-</t>
        </is>
      </c>
      <c r="L195" s="23" t="inlineStr">
        <is>
          <t>-</t>
        </is>
      </c>
      <c r="N195" s="1" t="n"/>
      <c r="O195" s="1" t="n"/>
      <c r="P195" s="1" t="n"/>
      <c r="Q195" s="1" t="n"/>
      <c r="R195" s="1" t="n"/>
      <c r="S195" s="1" t="n"/>
      <c r="T195" s="1" t="n"/>
      <c r="U195" s="1" t="n"/>
      <c r="V195" s="1" t="n"/>
      <c r="W195" s="1" t="n"/>
      <c r="X195" s="1" t="n"/>
      <c r="Y195" s="1" t="n"/>
      <c r="Z195" s="1" t="n"/>
      <c r="AA195" s="1" t="n"/>
      <c r="AB195" s="1" t="n"/>
      <c r="AC195" s="1" t="n"/>
      <c r="AD195" s="1" t="n"/>
      <c r="AE195" s="1" t="n"/>
      <c r="AF195" s="1" t="n"/>
      <c r="AG195" s="1" t="n"/>
      <c r="AH195" s="1" t="n"/>
      <c r="AI195" s="1" t="n"/>
      <c r="AJ195" s="1" t="n"/>
    </row>
    <row r="196" ht="15.75" customHeight="1">
      <c r="A196" s="429" t="n"/>
      <c r="B196" s="429" t="n"/>
      <c r="C196" s="429" t="n"/>
      <c r="D196" s="429" t="n"/>
      <c r="E196" s="69" t="inlineStr">
        <is>
          <t>Dilip Mandal - Khatwe</t>
        </is>
      </c>
      <c r="F196" s="50" t="inlineStr">
        <is>
          <t>Soft Service</t>
        </is>
      </c>
      <c r="G196" s="68" t="inlineStr">
        <is>
          <t>R05550</t>
        </is>
      </c>
      <c r="H196" s="460" t="n">
        <v>2523404776</v>
      </c>
      <c r="I196" s="425" t="inlineStr">
        <is>
          <t>Approved</t>
        </is>
      </c>
      <c r="J196" s="496" t="n">
        <v>46041</v>
      </c>
      <c r="K196" s="14" t="inlineStr">
        <is>
          <t>MEHAN (RENTAL)</t>
        </is>
      </c>
      <c r="L196" s="23" t="inlineStr">
        <is>
          <t>-</t>
        </is>
      </c>
      <c r="N196" s="1" t="n"/>
      <c r="O196" s="1" t="n"/>
      <c r="P196" s="1" t="n"/>
      <c r="Q196" s="1" t="n"/>
      <c r="R196" s="1" t="n"/>
      <c r="S196" s="1" t="n"/>
      <c r="T196" s="1" t="n"/>
      <c r="U196" s="1" t="n"/>
      <c r="V196" s="1" t="n"/>
      <c r="W196" s="1" t="n"/>
      <c r="X196" s="1" t="n"/>
      <c r="Y196" s="1" t="n"/>
      <c r="Z196" s="1" t="n"/>
      <c r="AA196" s="1" t="n"/>
      <c r="AB196" s="1" t="n"/>
      <c r="AC196" s="1" t="n"/>
      <c r="AD196" s="1" t="n"/>
      <c r="AE196" s="1" t="n"/>
      <c r="AF196" s="1" t="n"/>
      <c r="AG196" s="1" t="n"/>
      <c r="AH196" s="1" t="n"/>
      <c r="AI196" s="1" t="n"/>
      <c r="AJ196" s="1" t="n"/>
    </row>
    <row r="197" ht="15.75" customHeight="1">
      <c r="A197" s="429" t="n"/>
      <c r="B197" s="429" t="n"/>
      <c r="C197" s="429" t="n"/>
      <c r="D197" s="429" t="n"/>
      <c r="E197" s="69" t="inlineStr">
        <is>
          <t>Md Al Amin</t>
        </is>
      </c>
      <c r="F197" s="50" t="inlineStr">
        <is>
          <t>Soft Service</t>
        </is>
      </c>
      <c r="G197" s="68" t="n">
        <v>2626835835</v>
      </c>
      <c r="H197" s="460" t="n">
        <v>2626835835</v>
      </c>
      <c r="I197" s="425" t="inlineStr">
        <is>
          <t>Approved</t>
        </is>
      </c>
      <c r="J197" s="496" t="n">
        <v>46161</v>
      </c>
      <c r="K197" s="14" t="inlineStr">
        <is>
          <t>SCC (RENTAL)</t>
        </is>
      </c>
      <c r="L197" s="23" t="inlineStr">
        <is>
          <t>-</t>
        </is>
      </c>
      <c r="N197" s="1" t="n"/>
      <c r="O197" s="1" t="n"/>
      <c r="P197" s="1" t="n"/>
      <c r="Q197" s="1" t="n"/>
      <c r="R197" s="1" t="n"/>
      <c r="S197" s="1" t="n"/>
      <c r="T197" s="1" t="n"/>
      <c r="U197" s="1" t="n"/>
      <c r="V197" s="1" t="n"/>
      <c r="W197" s="1" t="n"/>
      <c r="X197" s="1" t="n"/>
      <c r="Y197" s="1" t="n"/>
      <c r="Z197" s="1" t="n"/>
      <c r="AA197" s="1" t="n"/>
      <c r="AB197" s="1" t="n"/>
      <c r="AC197" s="1" t="n"/>
      <c r="AD197" s="1" t="n"/>
      <c r="AE197" s="1" t="n"/>
      <c r="AF197" s="1" t="n"/>
      <c r="AG197" s="1" t="n"/>
      <c r="AH197" s="1" t="n"/>
      <c r="AI197" s="1" t="n"/>
      <c r="AJ197" s="1" t="n"/>
    </row>
    <row r="198" ht="15.75" customHeight="1">
      <c r="A198" s="429" t="n"/>
      <c r="B198" s="429" t="n"/>
      <c r="C198" s="429" t="n"/>
      <c r="D198" s="429" t="n"/>
      <c r="E198" s="69" t="inlineStr">
        <is>
          <t>Briju</t>
        </is>
      </c>
      <c r="F198" s="50" t="inlineStr">
        <is>
          <t>Soft Service</t>
        </is>
      </c>
      <c r="G198" s="68" t="inlineStr">
        <is>
          <t>R07470</t>
        </is>
      </c>
      <c r="H198" s="460" t="n">
        <v>2587196714</v>
      </c>
      <c r="I198" s="425" t="inlineStr">
        <is>
          <t>Approved</t>
        </is>
      </c>
      <c r="J198" s="496" t="n">
        <v>45592</v>
      </c>
      <c r="K198" s="14" t="inlineStr">
        <is>
          <t>MEHAN (RENTAL)</t>
        </is>
      </c>
      <c r="L198" s="23" t="inlineStr">
        <is>
          <t>-</t>
        </is>
      </c>
      <c r="N198" s="1" t="n"/>
      <c r="O198" s="1" t="n"/>
      <c r="P198" s="1" t="n"/>
      <c r="Q198" s="1" t="n"/>
      <c r="R198" s="1" t="n"/>
      <c r="S198" s="1" t="n"/>
      <c r="T198" s="1" t="n"/>
      <c r="U198" s="1" t="n"/>
      <c r="V198" s="1" t="n"/>
      <c r="W198" s="1" t="n"/>
      <c r="X198" s="1" t="n"/>
      <c r="Y198" s="1" t="n"/>
      <c r="Z198" s="1" t="n"/>
      <c r="AA198" s="1" t="n"/>
      <c r="AB198" s="1" t="n"/>
      <c r="AC198" s="1" t="n"/>
      <c r="AD198" s="1" t="n"/>
      <c r="AE198" s="1" t="n"/>
      <c r="AF198" s="1" t="n"/>
      <c r="AG198" s="1" t="n"/>
      <c r="AH198" s="1" t="n"/>
      <c r="AI198" s="1" t="n"/>
      <c r="AJ198" s="1" t="n"/>
    </row>
    <row r="199" ht="15.75" customHeight="1">
      <c r="A199" s="429" t="n"/>
      <c r="B199" s="429" t="n"/>
      <c r="C199" s="429" t="n"/>
      <c r="D199" s="429" t="n"/>
      <c r="E199" s="69" t="inlineStr">
        <is>
          <t>Showrob Hossain</t>
        </is>
      </c>
      <c r="F199" s="50" t="inlineStr">
        <is>
          <t>Soft Service</t>
        </is>
      </c>
      <c r="G199" s="68" t="inlineStr">
        <is>
          <t>S066</t>
        </is>
      </c>
      <c r="H199" s="460" t="n">
        <v>2588708061</v>
      </c>
      <c r="I199" s="425" t="inlineStr">
        <is>
          <t>Approved</t>
        </is>
      </c>
      <c r="J199" s="496" t="n">
        <v>45585</v>
      </c>
      <c r="K199" s="14" t="inlineStr">
        <is>
          <t>SCC (RENTAL)</t>
        </is>
      </c>
      <c r="L199" s="23" t="inlineStr">
        <is>
          <t>-</t>
        </is>
      </c>
      <c r="N199" s="1" t="n"/>
      <c r="O199" s="1" t="n"/>
      <c r="P199" s="1" t="n"/>
      <c r="Q199" s="1" t="n"/>
      <c r="R199" s="1" t="n"/>
      <c r="S199" s="1" t="n"/>
      <c r="T199" s="1" t="n"/>
      <c r="U199" s="1" t="n"/>
      <c r="V199" s="1" t="n"/>
      <c r="W199" s="1" t="n"/>
      <c r="X199" s="1" t="n"/>
      <c r="Y199" s="1" t="n"/>
      <c r="Z199" s="1" t="n"/>
      <c r="AA199" s="1" t="n"/>
      <c r="AB199" s="1" t="n"/>
      <c r="AC199" s="1" t="n"/>
      <c r="AD199" s="1" t="n"/>
      <c r="AE199" s="1" t="n"/>
      <c r="AF199" s="1" t="n"/>
      <c r="AG199" s="1" t="n"/>
      <c r="AH199" s="1" t="n"/>
      <c r="AI199" s="1" t="n"/>
      <c r="AJ199" s="1" t="n"/>
    </row>
    <row r="200" ht="15.75" customHeight="1">
      <c r="A200" s="429" t="n"/>
      <c r="B200" s="429" t="n"/>
      <c r="C200" s="429" t="n"/>
      <c r="D200" s="429" t="n"/>
      <c r="E200" s="69" t="inlineStr">
        <is>
          <t>Md Jamirul Islam</t>
        </is>
      </c>
      <c r="F200" s="50" t="inlineStr">
        <is>
          <t>Soft Service</t>
        </is>
      </c>
      <c r="G200" s="68" t="inlineStr">
        <is>
          <t>S071</t>
        </is>
      </c>
      <c r="H200" s="460" t="n">
        <v>2588710083</v>
      </c>
      <c r="I200" s="425" t="inlineStr">
        <is>
          <t>Approved</t>
        </is>
      </c>
      <c r="J200" s="496" t="n">
        <v>45585</v>
      </c>
      <c r="K200" s="14" t="inlineStr">
        <is>
          <t>SCC (RENTAL)</t>
        </is>
      </c>
      <c r="L200" s="23" t="inlineStr">
        <is>
          <t>-</t>
        </is>
      </c>
      <c r="N200" s="1" t="n"/>
      <c r="O200" s="1" t="n"/>
      <c r="P200" s="1" t="n"/>
      <c r="Q200" s="1" t="n"/>
      <c r="R200" s="1" t="n"/>
      <c r="S200" s="1" t="n"/>
      <c r="T200" s="1" t="n"/>
      <c r="U200" s="1" t="n"/>
      <c r="V200" s="1" t="n"/>
      <c r="W200" s="1" t="n"/>
      <c r="X200" s="1" t="n"/>
      <c r="Y200" s="1" t="n"/>
      <c r="Z200" s="1" t="n"/>
      <c r="AA200" s="1" t="n"/>
      <c r="AB200" s="1" t="n"/>
      <c r="AC200" s="1" t="n"/>
      <c r="AD200" s="1" t="n"/>
      <c r="AE200" s="1" t="n"/>
      <c r="AF200" s="1" t="n"/>
      <c r="AG200" s="1" t="n"/>
      <c r="AH200" s="1" t="n"/>
      <c r="AI200" s="1" t="n"/>
      <c r="AJ200" s="1" t="n"/>
    </row>
    <row r="201" ht="15.75" customHeight="1">
      <c r="A201" s="429" t="n"/>
      <c r="B201" s="429" t="n"/>
      <c r="C201" s="429" t="n"/>
      <c r="D201" s="429" t="n"/>
      <c r="E201" s="69" t="inlineStr">
        <is>
          <t>Nazrul Islam</t>
        </is>
      </c>
      <c r="F201" s="50" t="inlineStr">
        <is>
          <t>Soft Service</t>
        </is>
      </c>
      <c r="G201" s="68" t="n">
        <v>2621897046</v>
      </c>
      <c r="H201" s="460" t="n">
        <v>2621897046</v>
      </c>
      <c r="I201" s="425" t="inlineStr">
        <is>
          <t>Approved</t>
        </is>
      </c>
      <c r="J201" s="496" t="n">
        <v>45996</v>
      </c>
      <c r="K201" s="14" t="inlineStr">
        <is>
          <t>SCC (RENTAL)</t>
        </is>
      </c>
      <c r="L201" s="23" t="inlineStr">
        <is>
          <t>-</t>
        </is>
      </c>
      <c r="N201" s="1" t="n"/>
      <c r="O201" s="1" t="n"/>
      <c r="P201" s="1" t="n"/>
      <c r="Q201" s="1" t="n"/>
      <c r="R201" s="1" t="n"/>
      <c r="S201" s="1" t="n"/>
      <c r="T201" s="1" t="n"/>
      <c r="U201" s="1" t="n"/>
      <c r="V201" s="1" t="n"/>
      <c r="W201" s="1" t="n"/>
      <c r="X201" s="1" t="n"/>
      <c r="Y201" s="1" t="n"/>
      <c r="Z201" s="1" t="n"/>
      <c r="AA201" s="1" t="n"/>
      <c r="AB201" s="1" t="n"/>
      <c r="AC201" s="1" t="n"/>
      <c r="AD201" s="1" t="n"/>
      <c r="AE201" s="1" t="n"/>
      <c r="AF201" s="1" t="n"/>
      <c r="AG201" s="1" t="n"/>
      <c r="AH201" s="1" t="n"/>
      <c r="AI201" s="1" t="n"/>
      <c r="AJ201" s="1" t="n"/>
    </row>
    <row r="202" ht="15.75" customHeight="1">
      <c r="A202" s="429" t="n"/>
      <c r="B202" s="429" t="n"/>
      <c r="C202" s="429" t="n"/>
      <c r="D202" s="429" t="n"/>
      <c r="E202" s="69" t="inlineStr">
        <is>
          <t>Abul Khaer</t>
        </is>
      </c>
      <c r="F202" s="50" t="inlineStr">
        <is>
          <t>Soft Service</t>
        </is>
      </c>
      <c r="G202" s="68" t="n">
        <v>2621898440</v>
      </c>
      <c r="H202" s="460" t="n">
        <v>2621898440</v>
      </c>
      <c r="I202" s="425" t="inlineStr">
        <is>
          <t>Approved</t>
        </is>
      </c>
      <c r="J202" s="496" t="n">
        <v>45996</v>
      </c>
      <c r="K202" s="14" t="inlineStr">
        <is>
          <t>SCC (RENTAL)</t>
        </is>
      </c>
      <c r="L202" s="23" t="inlineStr">
        <is>
          <t>-</t>
        </is>
      </c>
      <c r="N202" s="1" t="n"/>
      <c r="O202" s="1" t="n"/>
      <c r="P202" s="1" t="n"/>
      <c r="Q202" s="1" t="n"/>
      <c r="R202" s="1" t="n"/>
      <c r="S202" s="1" t="n"/>
      <c r="T202" s="1" t="n"/>
      <c r="U202" s="1" t="n"/>
      <c r="V202" s="1" t="n"/>
      <c r="W202" s="1" t="n"/>
      <c r="X202" s="1" t="n"/>
      <c r="Y202" s="1" t="n"/>
      <c r="Z202" s="1" t="n"/>
      <c r="AA202" s="1" t="n"/>
      <c r="AB202" s="1" t="n"/>
      <c r="AC202" s="1" t="n"/>
      <c r="AD202" s="1" t="n"/>
      <c r="AE202" s="1" t="n"/>
      <c r="AF202" s="1" t="n"/>
      <c r="AG202" s="1" t="n"/>
      <c r="AH202" s="1" t="n"/>
      <c r="AI202" s="1" t="n"/>
      <c r="AJ202" s="1" t="n"/>
    </row>
    <row r="203" ht="15.75" customHeight="1">
      <c r="A203" s="429" t="n"/>
      <c r="B203" s="429" t="n"/>
      <c r="C203" s="429" t="n"/>
      <c r="D203" s="429" t="n"/>
      <c r="E203" s="69" t="inlineStr">
        <is>
          <t>Monir Khan</t>
        </is>
      </c>
      <c r="F203" s="50" t="inlineStr">
        <is>
          <t>Soft Service</t>
        </is>
      </c>
      <c r="G203" s="68" t="inlineStr">
        <is>
          <t>S364</t>
        </is>
      </c>
      <c r="H203" s="460" t="n">
        <v>2606022867</v>
      </c>
      <c r="I203" s="425" t="inlineStr">
        <is>
          <t>Approved</t>
        </is>
      </c>
      <c r="J203" s="496" t="n">
        <v>45818</v>
      </c>
      <c r="K203" s="14" t="inlineStr">
        <is>
          <t>SCC (RENTAL)</t>
        </is>
      </c>
      <c r="L203" s="23" t="inlineStr">
        <is>
          <t>-</t>
        </is>
      </c>
      <c r="N203" s="1" t="n"/>
      <c r="O203" s="1" t="n"/>
      <c r="P203" s="1" t="n"/>
      <c r="Q203" s="1" t="n"/>
      <c r="R203" s="1" t="n"/>
      <c r="S203" s="1" t="n"/>
      <c r="T203" s="1" t="n"/>
      <c r="U203" s="1" t="n"/>
      <c r="V203" s="1" t="n"/>
      <c r="W203" s="1" t="n"/>
      <c r="X203" s="1" t="n"/>
      <c r="Y203" s="1" t="n"/>
      <c r="Z203" s="1" t="n"/>
      <c r="AA203" s="1" t="n"/>
      <c r="AB203" s="1" t="n"/>
      <c r="AC203" s="1" t="n"/>
      <c r="AD203" s="1" t="n"/>
      <c r="AE203" s="1" t="n"/>
      <c r="AF203" s="1" t="n"/>
      <c r="AG203" s="1" t="n"/>
      <c r="AH203" s="1" t="n"/>
      <c r="AI203" s="1" t="n"/>
      <c r="AJ203" s="1" t="n"/>
    </row>
    <row r="204" ht="15.75" customHeight="1">
      <c r="A204" s="429" t="n"/>
      <c r="B204" s="429" t="n"/>
      <c r="C204" s="429" t="n"/>
      <c r="D204" s="429" t="n"/>
      <c r="E204" s="69" t="inlineStr">
        <is>
          <t>Mohd Imtiyaz</t>
        </is>
      </c>
      <c r="F204" s="50" t="inlineStr">
        <is>
          <t>Soft Service</t>
        </is>
      </c>
      <c r="G204" s="68" t="inlineStr">
        <is>
          <t>GV100</t>
        </is>
      </c>
      <c r="H204" s="460" t="n">
        <v>2582684920</v>
      </c>
      <c r="I204" s="425" t="inlineStr">
        <is>
          <t>Approved</t>
        </is>
      </c>
      <c r="J204" s="496" t="n">
        <v>45585</v>
      </c>
      <c r="K204" s="14" t="inlineStr">
        <is>
          <t>Gulf Vision ( RENTAL)</t>
        </is>
      </c>
      <c r="L204" s="23" t="inlineStr">
        <is>
          <t>-</t>
        </is>
      </c>
      <c r="N204" s="1" t="n"/>
      <c r="O204" s="1" t="n"/>
      <c r="P204" s="1" t="n"/>
      <c r="Q204" s="1" t="n"/>
      <c r="R204" s="1" t="n"/>
      <c r="S204" s="1" t="n"/>
      <c r="T204" s="1" t="n"/>
      <c r="U204" s="1" t="n"/>
      <c r="V204" s="1" t="n"/>
      <c r="W204" s="1" t="n"/>
      <c r="X204" s="1" t="n"/>
      <c r="Y204" s="1" t="n"/>
      <c r="Z204" s="1" t="n"/>
      <c r="AA204" s="1" t="n"/>
      <c r="AB204" s="1" t="n"/>
      <c r="AC204" s="1" t="n"/>
      <c r="AD204" s="1" t="n"/>
      <c r="AE204" s="1" t="n"/>
      <c r="AF204" s="1" t="n"/>
      <c r="AG204" s="1" t="n"/>
      <c r="AH204" s="1" t="n"/>
      <c r="AI204" s="1" t="n"/>
      <c r="AJ204" s="1" t="n"/>
    </row>
    <row r="205" ht="15.75" customHeight="1">
      <c r="A205" s="429" t="n"/>
      <c r="B205" s="429" t="n"/>
      <c r="C205" s="429" t="n"/>
      <c r="D205" s="429" t="n"/>
      <c r="E205" s="69" t="inlineStr">
        <is>
          <t>Parshuram Yadav</t>
        </is>
      </c>
      <c r="F205" s="50" t="inlineStr">
        <is>
          <t>Soft Service</t>
        </is>
      </c>
      <c r="G205" s="68" t="inlineStr">
        <is>
          <t>S347</t>
        </is>
      </c>
      <c r="H205" s="460" t="n">
        <v>2605353602</v>
      </c>
      <c r="I205" s="425" t="inlineStr">
        <is>
          <t>Approved</t>
        </is>
      </c>
      <c r="J205" s="496" t="n">
        <v>45809</v>
      </c>
      <c r="K205" s="14" t="inlineStr">
        <is>
          <t>SCC (RENTAL)</t>
        </is>
      </c>
      <c r="L205" s="23" t="inlineStr">
        <is>
          <t>-</t>
        </is>
      </c>
      <c r="N205" s="1" t="n"/>
      <c r="O205" s="1" t="n"/>
      <c r="P205" s="1" t="n"/>
      <c r="Q205" s="1" t="n"/>
      <c r="R205" s="1" t="n"/>
      <c r="S205" s="1" t="n"/>
      <c r="T205" s="1" t="n"/>
      <c r="U205" s="1" t="n"/>
      <c r="V205" s="1" t="n"/>
      <c r="W205" s="1" t="n"/>
      <c r="X205" s="1" t="n"/>
      <c r="Y205" s="1" t="n"/>
      <c r="Z205" s="1" t="n"/>
      <c r="AA205" s="1" t="n"/>
      <c r="AB205" s="1" t="n"/>
      <c r="AC205" s="1" t="n"/>
      <c r="AD205" s="1" t="n"/>
      <c r="AE205" s="1" t="n"/>
      <c r="AF205" s="1" t="n"/>
      <c r="AG205" s="1" t="n"/>
      <c r="AH205" s="1" t="n"/>
      <c r="AI205" s="1" t="n"/>
      <c r="AJ205" s="1" t="n"/>
    </row>
    <row r="206" ht="15.75" customHeight="1">
      <c r="A206" s="429" t="n"/>
      <c r="B206" s="429" t="n"/>
      <c r="C206" s="429" t="n"/>
      <c r="D206" s="429" t="n"/>
      <c r="E206" s="69" t="inlineStr">
        <is>
          <t>Aman - - Lama</t>
        </is>
      </c>
      <c r="F206" s="50" t="inlineStr">
        <is>
          <t>Soft Service</t>
        </is>
      </c>
      <c r="G206" s="68" t="inlineStr">
        <is>
          <t>R07990</t>
        </is>
      </c>
      <c r="H206" s="460" t="n">
        <v>2597485149</v>
      </c>
      <c r="I206" s="425" t="inlineStr">
        <is>
          <t>Approved</t>
        </is>
      </c>
      <c r="J206" s="496" t="n">
        <v>46041</v>
      </c>
      <c r="K206" s="14" t="inlineStr">
        <is>
          <t>MEHAN (RENTAL)</t>
        </is>
      </c>
      <c r="L206" s="23" t="inlineStr">
        <is>
          <t>-</t>
        </is>
      </c>
      <c r="N206" s="1" t="n"/>
      <c r="O206" s="1" t="n"/>
      <c r="P206" s="1" t="n"/>
      <c r="Q206" s="1" t="n"/>
      <c r="R206" s="1" t="n"/>
      <c r="S206" s="1" t="n"/>
      <c r="T206" s="1" t="n"/>
      <c r="U206" s="1" t="n"/>
      <c r="V206" s="1" t="n"/>
      <c r="W206" s="1" t="n"/>
      <c r="X206" s="1" t="n"/>
      <c r="Y206" s="1" t="n"/>
      <c r="Z206" s="1" t="n"/>
      <c r="AA206" s="1" t="n"/>
      <c r="AB206" s="1" t="n"/>
      <c r="AC206" s="1" t="n"/>
      <c r="AD206" s="1" t="n"/>
      <c r="AE206" s="1" t="n"/>
      <c r="AF206" s="1" t="n"/>
      <c r="AG206" s="1" t="n"/>
      <c r="AH206" s="1" t="n"/>
      <c r="AI206" s="1" t="n"/>
      <c r="AJ206" s="1" t="n"/>
    </row>
    <row r="207" ht="15.75" customHeight="1">
      <c r="A207" s="429" t="n"/>
      <c r="B207" s="429" t="n"/>
      <c r="C207" s="429" t="n"/>
      <c r="D207" s="429" t="n"/>
      <c r="E207" s="69" t="inlineStr">
        <is>
          <t>KOUWSAR ISLAM</t>
        </is>
      </c>
      <c r="F207" s="50" t="inlineStr">
        <is>
          <t>Soft Service</t>
        </is>
      </c>
      <c r="G207" s="68" t="inlineStr">
        <is>
          <t>-</t>
        </is>
      </c>
      <c r="H207" s="460" t="inlineStr">
        <is>
          <t>-</t>
        </is>
      </c>
      <c r="I207" s="425" t="inlineStr">
        <is>
          <t>Approved</t>
        </is>
      </c>
      <c r="J207" s="496" t="n">
        <v>46246</v>
      </c>
      <c r="K207" s="14" t="inlineStr">
        <is>
          <t>-</t>
        </is>
      </c>
      <c r="L207" s="23" t="inlineStr">
        <is>
          <t>-</t>
        </is>
      </c>
      <c r="N207" s="1" t="n"/>
      <c r="O207" s="1" t="n"/>
      <c r="P207" s="1" t="n"/>
      <c r="Q207" s="1" t="n"/>
      <c r="R207" s="1" t="n"/>
      <c r="S207" s="1" t="n"/>
      <c r="T207" s="1" t="n"/>
      <c r="U207" s="1" t="n"/>
      <c r="V207" s="1" t="n"/>
      <c r="W207" s="1" t="n"/>
      <c r="X207" s="1" t="n"/>
      <c r="Y207" s="1" t="n"/>
      <c r="Z207" s="1" t="n"/>
      <c r="AA207" s="1" t="n"/>
      <c r="AB207" s="1" t="n"/>
      <c r="AC207" s="1" t="n"/>
      <c r="AD207" s="1" t="n"/>
      <c r="AE207" s="1" t="n"/>
      <c r="AF207" s="1" t="n"/>
      <c r="AG207" s="1" t="n"/>
      <c r="AH207" s="1" t="n"/>
      <c r="AI207" s="1" t="n"/>
      <c r="AJ207" s="1" t="n"/>
    </row>
    <row r="208" ht="15.75" customHeight="1">
      <c r="A208" s="429" t="n"/>
      <c r="B208" s="429" t="n"/>
      <c r="C208" s="429" t="n"/>
      <c r="D208" s="429" t="n"/>
      <c r="E208" s="69" t="inlineStr">
        <is>
          <t>Ramesh Ray</t>
        </is>
      </c>
      <c r="F208" s="50" t="inlineStr">
        <is>
          <t>Soft Service</t>
        </is>
      </c>
      <c r="G208" s="68" t="n">
        <v>2603240678</v>
      </c>
      <c r="H208" s="460" t="n">
        <v>2603240678</v>
      </c>
      <c r="I208" s="425" t="inlineStr">
        <is>
          <t>Approved</t>
        </is>
      </c>
      <c r="J208" s="496" t="n">
        <v>45951</v>
      </c>
      <c r="K208" s="14" t="inlineStr">
        <is>
          <t>SCC (RENTAL)</t>
        </is>
      </c>
      <c r="L208" s="23" t="inlineStr">
        <is>
          <t>-</t>
        </is>
      </c>
      <c r="N208" s="1" t="n"/>
      <c r="O208" s="1" t="n"/>
      <c r="P208" s="1" t="n"/>
      <c r="Q208" s="1" t="n"/>
      <c r="R208" s="1" t="n"/>
      <c r="S208" s="1" t="n"/>
      <c r="T208" s="1" t="n"/>
      <c r="U208" s="1" t="n"/>
      <c r="V208" s="1" t="n"/>
      <c r="W208" s="1" t="n"/>
      <c r="X208" s="1" t="n"/>
      <c r="Y208" s="1" t="n"/>
      <c r="Z208" s="1" t="n"/>
      <c r="AA208" s="1" t="n"/>
      <c r="AB208" s="1" t="n"/>
      <c r="AC208" s="1" t="n"/>
      <c r="AD208" s="1" t="n"/>
      <c r="AE208" s="1" t="n"/>
      <c r="AF208" s="1" t="n"/>
      <c r="AG208" s="1" t="n"/>
      <c r="AH208" s="1" t="n"/>
      <c r="AI208" s="1" t="n"/>
      <c r="AJ208" s="1" t="n"/>
    </row>
    <row r="209" ht="15.75" customHeight="1">
      <c r="A209" s="429" t="n"/>
      <c r="B209" s="429" t="n"/>
      <c r="C209" s="429" t="n"/>
      <c r="D209" s="429" t="n"/>
      <c r="E209" s="32" t="inlineStr">
        <is>
          <t>Md Mostafa</t>
        </is>
      </c>
      <c r="F209" s="50" t="inlineStr">
        <is>
          <t>Soft Service</t>
        </is>
      </c>
      <c r="G209" s="68" t="n">
        <v>700883</v>
      </c>
      <c r="H209" s="460" t="n">
        <v>2511412401</v>
      </c>
      <c r="I209" s="425" t="inlineStr">
        <is>
          <t>Approved</t>
        </is>
      </c>
      <c r="J209" s="496" t="n">
        <v>45937</v>
      </c>
      <c r="K209" s="14" t="inlineStr">
        <is>
          <t>FMCO</t>
        </is>
      </c>
      <c r="L209" s="23" t="inlineStr">
        <is>
          <t>-</t>
        </is>
      </c>
      <c r="N209" s="1" t="n"/>
      <c r="O209" s="1" t="n"/>
      <c r="P209" s="1" t="n"/>
      <c r="Q209" s="1" t="n"/>
      <c r="R209" s="1" t="n"/>
      <c r="S209" s="1" t="n"/>
      <c r="T209" s="1" t="n"/>
      <c r="U209" s="1" t="n"/>
      <c r="V209" s="1" t="n"/>
      <c r="W209" s="1" t="n"/>
      <c r="X209" s="1" t="n"/>
      <c r="Y209" s="1" t="n"/>
      <c r="Z209" s="1" t="n"/>
      <c r="AA209" s="1" t="n"/>
      <c r="AB209" s="1" t="n"/>
      <c r="AC209" s="1" t="n"/>
      <c r="AD209" s="1" t="n"/>
      <c r="AE209" s="1" t="n"/>
      <c r="AF209" s="1" t="n"/>
      <c r="AG209" s="1" t="n"/>
      <c r="AH209" s="1" t="n"/>
      <c r="AI209" s="1" t="n"/>
      <c r="AJ209" s="1" t="n"/>
    </row>
    <row r="210" ht="15.75" customHeight="1">
      <c r="A210" s="429" t="n"/>
      <c r="B210" s="429" t="n"/>
      <c r="C210" s="429" t="n"/>
      <c r="D210" s="429" t="n"/>
      <c r="E210" s="30" t="inlineStr">
        <is>
          <t>Rupali Akhter</t>
        </is>
      </c>
      <c r="F210" s="425" t="inlineStr">
        <is>
          <t>Soft Service</t>
        </is>
      </c>
      <c r="G210" s="460" t="inlineStr">
        <is>
          <t>-</t>
        </is>
      </c>
      <c r="H210" s="460" t="inlineStr">
        <is>
          <t>-</t>
        </is>
      </c>
      <c r="I210" s="425" t="inlineStr">
        <is>
          <t>Approved</t>
        </is>
      </c>
      <c r="J210" s="496" t="n">
        <v>46236</v>
      </c>
      <c r="K210" s="14" t="inlineStr">
        <is>
          <t>AL-FALAK VISA</t>
        </is>
      </c>
      <c r="L210" s="23" t="inlineStr">
        <is>
          <t>-</t>
        </is>
      </c>
      <c r="N210" s="1" t="n"/>
      <c r="O210" s="1" t="n"/>
      <c r="P210" s="1" t="n"/>
      <c r="Q210" s="1" t="n"/>
      <c r="R210" s="1" t="n"/>
      <c r="S210" s="1" t="n"/>
      <c r="T210" s="1" t="n"/>
      <c r="U210" s="1" t="n"/>
      <c r="V210" s="1" t="n"/>
      <c r="W210" s="1" t="n"/>
      <c r="X210" s="1" t="n"/>
      <c r="Y210" s="1" t="n"/>
      <c r="Z210" s="1" t="n"/>
      <c r="AA210" s="1" t="n"/>
      <c r="AB210" s="1" t="n"/>
      <c r="AC210" s="1" t="n"/>
      <c r="AD210" s="1" t="n"/>
      <c r="AE210" s="1" t="n"/>
      <c r="AF210" s="1" t="n"/>
      <c r="AG210" s="1" t="n"/>
      <c r="AH210" s="1" t="n"/>
      <c r="AI210" s="1" t="n"/>
      <c r="AJ210" s="1" t="n"/>
    </row>
    <row r="211" ht="15.75" customHeight="1">
      <c r="A211" s="429" t="n"/>
      <c r="B211" s="429" t="n"/>
      <c r="C211" s="429" t="n"/>
      <c r="D211" s="429" t="n"/>
      <c r="E211" s="69" t="inlineStr">
        <is>
          <t>Abu Ahammed Joy</t>
        </is>
      </c>
      <c r="F211" s="50" t="inlineStr">
        <is>
          <t>Soft Service</t>
        </is>
      </c>
      <c r="G211" s="68" t="n">
        <v>700888</v>
      </c>
      <c r="H211" s="460" t="n">
        <v>2505382917</v>
      </c>
      <c r="I211" s="425" t="inlineStr">
        <is>
          <t>Approved</t>
        </is>
      </c>
      <c r="J211" s="496" t="n">
        <v>46030</v>
      </c>
      <c r="K211" s="14" t="inlineStr">
        <is>
          <t>FMCO</t>
        </is>
      </c>
      <c r="L211" s="23" t="inlineStr">
        <is>
          <t>-</t>
        </is>
      </c>
      <c r="N211" s="1" t="n"/>
      <c r="O211" s="1" t="n"/>
      <c r="P211" s="1" t="n"/>
      <c r="Q211" s="1" t="n"/>
      <c r="R211" s="1" t="n"/>
      <c r="S211" s="1" t="n"/>
      <c r="T211" s="1" t="n"/>
      <c r="U211" s="1" t="n"/>
      <c r="V211" s="1" t="n"/>
      <c r="W211" s="1" t="n"/>
      <c r="X211" s="1" t="n"/>
      <c r="Y211" s="1" t="n"/>
      <c r="Z211" s="1" t="n"/>
      <c r="AA211" s="1" t="n"/>
      <c r="AB211" s="1" t="n"/>
      <c r="AC211" s="1" t="n"/>
      <c r="AD211" s="1" t="n"/>
      <c r="AE211" s="1" t="n"/>
      <c r="AF211" s="1" t="n"/>
      <c r="AG211" s="1" t="n"/>
      <c r="AH211" s="1" t="n"/>
      <c r="AI211" s="1" t="n"/>
      <c r="AJ211" s="1" t="n"/>
    </row>
    <row r="212" ht="15.75" customHeight="1">
      <c r="A212" s="429" t="n"/>
      <c r="B212" s="429" t="n"/>
      <c r="C212" s="429" t="n"/>
      <c r="D212" s="429" t="n"/>
      <c r="E212" s="69" t="inlineStr">
        <is>
          <t>Md Abdullah Molla</t>
        </is>
      </c>
      <c r="F212" s="50" t="inlineStr">
        <is>
          <t>Soft Service</t>
        </is>
      </c>
      <c r="G212" s="68" t="n">
        <v>700783</v>
      </c>
      <c r="H212" s="460" t="n">
        <v>2499440192</v>
      </c>
      <c r="I212" s="425" t="inlineStr">
        <is>
          <t>Approved</t>
        </is>
      </c>
      <c r="J212" s="496" t="n">
        <v>46030</v>
      </c>
      <c r="K212" s="14" t="inlineStr">
        <is>
          <t>FMCO</t>
        </is>
      </c>
      <c r="L212" s="23" t="inlineStr">
        <is>
          <t>-</t>
        </is>
      </c>
      <c r="N212" s="1" t="n"/>
      <c r="O212" s="1" t="n"/>
      <c r="P212" s="1" t="n"/>
      <c r="Q212" s="1" t="n"/>
      <c r="R212" s="1" t="n"/>
      <c r="S212" s="1" t="n"/>
      <c r="T212" s="1" t="n"/>
      <c r="U212" s="1" t="n"/>
      <c r="V212" s="1" t="n"/>
      <c r="W212" s="1" t="n"/>
      <c r="X212" s="1" t="n"/>
      <c r="Y212" s="1" t="n"/>
      <c r="Z212" s="1" t="n"/>
      <c r="AA212" s="1" t="n"/>
      <c r="AB212" s="1" t="n"/>
      <c r="AC212" s="1" t="n"/>
      <c r="AD212" s="1" t="n"/>
      <c r="AE212" s="1" t="n"/>
      <c r="AF212" s="1" t="n"/>
      <c r="AG212" s="1" t="n"/>
      <c r="AH212" s="1" t="n"/>
      <c r="AI212" s="1" t="n"/>
      <c r="AJ212" s="1" t="n"/>
    </row>
    <row r="213" ht="15.75" customHeight="1">
      <c r="A213" s="429" t="n"/>
      <c r="B213" s="429" t="n"/>
      <c r="C213" s="429" t="n"/>
      <c r="D213" s="429" t="n"/>
      <c r="E213" s="69" t="inlineStr">
        <is>
          <t>Md Jony</t>
        </is>
      </c>
      <c r="F213" s="50" t="inlineStr">
        <is>
          <t>Soft Service</t>
        </is>
      </c>
      <c r="G213" s="68" t="inlineStr">
        <is>
          <t>S503</t>
        </is>
      </c>
      <c r="H213" s="460" t="n">
        <v>2624251050</v>
      </c>
      <c r="I213" s="425" t="inlineStr">
        <is>
          <t>Approved</t>
        </is>
      </c>
      <c r="J213" s="496" t="n">
        <v>46043</v>
      </c>
      <c r="K213" s="14" t="inlineStr">
        <is>
          <t>SCC (RENTAL)</t>
        </is>
      </c>
      <c r="L213" s="23" t="inlineStr">
        <is>
          <t>-</t>
        </is>
      </c>
      <c r="N213" s="1" t="n"/>
      <c r="O213" s="1" t="n"/>
      <c r="P213" s="1" t="n"/>
      <c r="Q213" s="1" t="n"/>
      <c r="R213" s="1" t="n"/>
      <c r="S213" s="1" t="n"/>
      <c r="T213" s="1" t="n"/>
      <c r="U213" s="1" t="n"/>
      <c r="V213" s="1" t="n"/>
      <c r="W213" s="1" t="n"/>
      <c r="X213" s="1" t="n"/>
      <c r="Y213" s="1" t="n"/>
      <c r="Z213" s="1" t="n"/>
      <c r="AA213" s="1" t="n"/>
      <c r="AB213" s="1" t="n"/>
      <c r="AC213" s="1" t="n"/>
      <c r="AD213" s="1" t="n"/>
      <c r="AE213" s="1" t="n"/>
      <c r="AF213" s="1" t="n"/>
      <c r="AG213" s="1" t="n"/>
      <c r="AH213" s="1" t="n"/>
      <c r="AI213" s="1" t="n"/>
      <c r="AJ213" s="1" t="n"/>
    </row>
    <row r="214" ht="15.75" customHeight="1">
      <c r="A214" s="429" t="n"/>
      <c r="B214" s="429" t="n"/>
      <c r="C214" s="429" t="n"/>
      <c r="D214" s="429" t="n"/>
      <c r="E214" s="69" t="inlineStr">
        <is>
          <t>KAMRUL ISLAM</t>
        </is>
      </c>
      <c r="F214" s="50" t="inlineStr">
        <is>
          <t>Soft Service</t>
        </is>
      </c>
      <c r="G214" s="68" t="inlineStr">
        <is>
          <t>-</t>
        </is>
      </c>
      <c r="H214" s="460" t="inlineStr">
        <is>
          <t>-</t>
        </is>
      </c>
      <c r="I214" s="425" t="inlineStr">
        <is>
          <t>Approved</t>
        </is>
      </c>
      <c r="J214" s="496" t="n">
        <v>46246</v>
      </c>
      <c r="K214" s="14" t="inlineStr">
        <is>
          <t>-</t>
        </is>
      </c>
      <c r="L214" s="20" t="inlineStr">
        <is>
          <t>On vacation</t>
        </is>
      </c>
      <c r="N214" s="1" t="n"/>
      <c r="O214" s="1" t="n"/>
      <c r="P214" s="1" t="n"/>
      <c r="Q214" s="1" t="n"/>
      <c r="R214" s="1" t="n"/>
      <c r="S214" s="1" t="n"/>
      <c r="T214" s="1" t="n"/>
      <c r="U214" s="1" t="n"/>
      <c r="V214" s="1" t="n"/>
      <c r="W214" s="1" t="n"/>
      <c r="X214" s="1" t="n"/>
      <c r="Y214" s="1" t="n"/>
      <c r="Z214" s="1" t="n"/>
      <c r="AA214" s="1" t="n"/>
      <c r="AB214" s="1" t="n"/>
      <c r="AC214" s="1" t="n"/>
      <c r="AD214" s="1" t="n"/>
      <c r="AE214" s="1" t="n"/>
      <c r="AF214" s="1" t="n"/>
      <c r="AG214" s="1" t="n"/>
      <c r="AH214" s="1" t="n"/>
      <c r="AI214" s="1" t="n"/>
      <c r="AJ214" s="1" t="n"/>
    </row>
    <row r="215" ht="15.75" customHeight="1">
      <c r="A215" s="429" t="n"/>
      <c r="B215" s="429" t="n"/>
      <c r="C215" s="429" t="n"/>
      <c r="D215" s="429" t="n"/>
      <c r="E215" s="69" t="inlineStr">
        <is>
          <t>Narayan Prasad  Mandal</t>
        </is>
      </c>
      <c r="F215" s="50" t="inlineStr">
        <is>
          <t>Soft Service</t>
        </is>
      </c>
      <c r="G215" s="68" t="n">
        <v>106242</v>
      </c>
      <c r="H215" s="460" t="n">
        <v>2456550454</v>
      </c>
      <c r="I215" s="425" t="inlineStr">
        <is>
          <t>Approved</t>
        </is>
      </c>
      <c r="J215" s="496" t="n">
        <v>46163</v>
      </c>
      <c r="K215" s="14" t="inlineStr">
        <is>
          <t>MEHAN (RENTAL)</t>
        </is>
      </c>
      <c r="L215" s="23" t="inlineStr">
        <is>
          <t>-</t>
        </is>
      </c>
      <c r="N215" s="1" t="n"/>
      <c r="O215" s="1" t="n"/>
      <c r="P215" s="1" t="n"/>
      <c r="Q215" s="1" t="n"/>
      <c r="R215" s="1" t="n"/>
      <c r="S215" s="1" t="n"/>
      <c r="T215" s="1" t="n"/>
      <c r="U215" s="1" t="n"/>
      <c r="V215" s="1" t="n"/>
      <c r="W215" s="1" t="n"/>
      <c r="X215" s="1" t="n"/>
      <c r="Y215" s="1" t="n"/>
      <c r="Z215" s="1" t="n"/>
      <c r="AA215" s="1" t="n"/>
      <c r="AB215" s="1" t="n"/>
      <c r="AC215" s="1" t="n"/>
      <c r="AD215" s="1" t="n"/>
      <c r="AE215" s="1" t="n"/>
      <c r="AF215" s="1" t="n"/>
      <c r="AG215" s="1" t="n"/>
      <c r="AH215" s="1" t="n"/>
      <c r="AI215" s="1" t="n"/>
      <c r="AJ215" s="1" t="n"/>
    </row>
    <row r="216" ht="15.75" customHeight="1">
      <c r="A216" s="429" t="n"/>
      <c r="B216" s="429" t="n"/>
      <c r="C216" s="429" t="n"/>
      <c r="D216" s="429" t="n"/>
      <c r="E216" s="69" t="inlineStr">
        <is>
          <t>Rahul Miah</t>
        </is>
      </c>
      <c r="F216" s="50" t="inlineStr">
        <is>
          <t>Soft Service</t>
        </is>
      </c>
      <c r="G216" s="68" t="n">
        <v>1063</v>
      </c>
      <c r="H216" s="460" t="n">
        <v>2569678473</v>
      </c>
      <c r="I216" s="425" t="inlineStr">
        <is>
          <t>Approved</t>
        </is>
      </c>
      <c r="J216" s="496" t="n">
        <v>45648</v>
      </c>
      <c r="K216" s="14" t="inlineStr">
        <is>
          <t>UCC( RENTAL)</t>
        </is>
      </c>
      <c r="L216" s="23" t="inlineStr">
        <is>
          <t>-</t>
        </is>
      </c>
      <c r="N216" s="1" t="n"/>
      <c r="O216" s="1" t="n"/>
      <c r="P216" s="1" t="n"/>
      <c r="Q216" s="1" t="n"/>
      <c r="R216" s="1" t="n"/>
      <c r="S216" s="1" t="n"/>
      <c r="T216" s="1" t="n"/>
      <c r="U216" s="1" t="n"/>
      <c r="V216" s="1" t="n"/>
      <c r="W216" s="1" t="n"/>
      <c r="X216" s="1" t="n"/>
      <c r="Y216" s="1" t="n"/>
      <c r="Z216" s="1" t="n"/>
      <c r="AA216" s="1" t="n"/>
      <c r="AB216" s="1" t="n"/>
      <c r="AC216" s="1" t="n"/>
      <c r="AD216" s="1" t="n"/>
      <c r="AE216" s="1" t="n"/>
      <c r="AF216" s="1" t="n"/>
      <c r="AG216" s="1" t="n"/>
      <c r="AH216" s="1" t="n"/>
      <c r="AI216" s="1" t="n"/>
      <c r="AJ216" s="1" t="n"/>
    </row>
    <row r="217" ht="15.75" customHeight="1">
      <c r="A217" s="429" t="n"/>
      <c r="B217" s="429" t="n"/>
      <c r="C217" s="429" t="n"/>
      <c r="D217" s="429" t="n"/>
      <c r="E217" s="69" t="inlineStr">
        <is>
          <t>Md Sumon Miah</t>
        </is>
      </c>
      <c r="F217" s="50" t="inlineStr">
        <is>
          <t>Soft Service</t>
        </is>
      </c>
      <c r="G217" s="68" t="n">
        <v>1032</v>
      </c>
      <c r="H217" s="460" t="n">
        <v>2570653259</v>
      </c>
      <c r="I217" s="425" t="inlineStr">
        <is>
          <t>Approved</t>
        </is>
      </c>
      <c r="J217" s="496" t="n">
        <v>45648</v>
      </c>
      <c r="K217" s="14" t="inlineStr">
        <is>
          <t>UCC( RENTAL)</t>
        </is>
      </c>
      <c r="L217" s="23" t="inlineStr">
        <is>
          <t>-</t>
        </is>
      </c>
      <c r="N217" s="1" t="n"/>
      <c r="O217" s="1" t="n"/>
      <c r="P217" s="1" t="n"/>
      <c r="Q217" s="1" t="n"/>
      <c r="R217" s="1" t="n"/>
      <c r="S217" s="1" t="n"/>
      <c r="T217" s="1" t="n"/>
      <c r="U217" s="1" t="n"/>
      <c r="V217" s="1" t="n"/>
      <c r="W217" s="1" t="n"/>
      <c r="X217" s="1" t="n"/>
      <c r="Y217" s="1" t="n"/>
      <c r="Z217" s="1" t="n"/>
      <c r="AA217" s="1" t="n"/>
      <c r="AB217" s="1" t="n"/>
      <c r="AC217" s="1" t="n"/>
      <c r="AD217" s="1" t="n"/>
      <c r="AE217" s="1" t="n"/>
      <c r="AF217" s="1" t="n"/>
      <c r="AG217" s="1" t="n"/>
      <c r="AH217" s="1" t="n"/>
      <c r="AI217" s="1" t="n"/>
      <c r="AJ217" s="1" t="n"/>
    </row>
    <row r="218" ht="15.75" customHeight="1">
      <c r="A218" s="429" t="n"/>
      <c r="B218" s="429" t="n"/>
      <c r="C218" s="429" t="n"/>
      <c r="D218" s="429" t="n"/>
      <c r="E218" s="69" t="inlineStr">
        <is>
          <t>Yubaraj Bhattarai</t>
        </is>
      </c>
      <c r="F218" s="50" t="inlineStr">
        <is>
          <t>Soft Service</t>
        </is>
      </c>
      <c r="G218" s="68" t="inlineStr">
        <is>
          <t>S310</t>
        </is>
      </c>
      <c r="H218" s="460" t="n">
        <v>2606911572</v>
      </c>
      <c r="I218" s="425" t="inlineStr">
        <is>
          <t>Approved</t>
        </is>
      </c>
      <c r="J218" s="496" t="n">
        <v>45957</v>
      </c>
      <c r="K218" s="14" t="inlineStr">
        <is>
          <t>SCC (RENTAL)</t>
        </is>
      </c>
      <c r="L218" s="20" t="inlineStr">
        <is>
          <t>-</t>
        </is>
      </c>
      <c r="N218" s="1" t="n"/>
      <c r="O218" s="1" t="n"/>
      <c r="P218" s="1" t="n"/>
      <c r="Q218" s="1" t="n"/>
      <c r="R218" s="1" t="n"/>
      <c r="S218" s="1" t="n"/>
      <c r="T218" s="1" t="n"/>
      <c r="U218" s="1" t="n"/>
      <c r="V218" s="1" t="n"/>
      <c r="W218" s="1" t="n"/>
      <c r="X218" s="1" t="n"/>
      <c r="Y218" s="1" t="n"/>
      <c r="Z218" s="1" t="n"/>
      <c r="AA218" s="1" t="n"/>
      <c r="AB218" s="1" t="n"/>
      <c r="AC218" s="1" t="n"/>
      <c r="AD218" s="1" t="n"/>
      <c r="AE218" s="1" t="n"/>
      <c r="AF218" s="1" t="n"/>
      <c r="AG218" s="1" t="n"/>
      <c r="AH218" s="1" t="n"/>
      <c r="AI218" s="1" t="n"/>
      <c r="AJ218" s="1" t="n"/>
    </row>
    <row r="219" ht="15.75" customHeight="1">
      <c r="A219" s="429" t="n"/>
      <c r="B219" s="429" t="n"/>
      <c r="C219" s="429" t="n"/>
      <c r="D219" s="429" t="n"/>
      <c r="E219" s="69" t="inlineStr">
        <is>
          <t>Md Kabir Khan</t>
        </is>
      </c>
      <c r="F219" s="50" t="inlineStr">
        <is>
          <t>Soft Service</t>
        </is>
      </c>
      <c r="G219" s="68" t="inlineStr">
        <is>
          <t>S273</t>
        </is>
      </c>
      <c r="H219" s="460" t="n">
        <v>2600806380</v>
      </c>
      <c r="I219" s="425" t="inlineStr">
        <is>
          <t>Approved</t>
        </is>
      </c>
      <c r="J219" s="496" t="n">
        <v>45754</v>
      </c>
      <c r="K219" s="14" t="inlineStr">
        <is>
          <t>SCC (RENTAL)</t>
        </is>
      </c>
      <c r="L219" s="23" t="inlineStr">
        <is>
          <t>-</t>
        </is>
      </c>
      <c r="N219" s="1" t="n"/>
      <c r="O219" s="1" t="n"/>
      <c r="P219" s="1" t="n"/>
      <c r="Q219" s="1" t="n"/>
      <c r="R219" s="1" t="n"/>
      <c r="S219" s="1" t="n"/>
      <c r="T219" s="1" t="n"/>
      <c r="U219" s="1" t="n"/>
      <c r="V219" s="1" t="n"/>
      <c r="W219" s="1" t="n"/>
      <c r="X219" s="1" t="n"/>
      <c r="Y219" s="1" t="n"/>
      <c r="Z219" s="1" t="n"/>
      <c r="AA219" s="1" t="n"/>
      <c r="AB219" s="1" t="n"/>
      <c r="AC219" s="1" t="n"/>
      <c r="AD219" s="1" t="n"/>
      <c r="AE219" s="1" t="n"/>
      <c r="AF219" s="1" t="n"/>
      <c r="AG219" s="1" t="n"/>
      <c r="AH219" s="1" t="n"/>
      <c r="AI219" s="1" t="n"/>
      <c r="AJ219" s="1" t="n"/>
    </row>
    <row r="220" ht="15.75" customHeight="1">
      <c r="A220" s="429" t="n"/>
      <c r="B220" s="429" t="n"/>
      <c r="C220" s="429" t="n"/>
      <c r="D220" s="429" t="n"/>
      <c r="E220" s="69" t="inlineStr">
        <is>
          <t>MD NAJMUL HAQUE BAPARI</t>
        </is>
      </c>
      <c r="F220" s="50" t="inlineStr">
        <is>
          <t>Soft Service</t>
        </is>
      </c>
      <c r="G220" s="68" t="inlineStr">
        <is>
          <t>-</t>
        </is>
      </c>
      <c r="H220" s="460" t="inlineStr">
        <is>
          <t>-</t>
        </is>
      </c>
      <c r="I220" s="425" t="inlineStr">
        <is>
          <t>Approved</t>
        </is>
      </c>
      <c r="J220" s="496" t="n">
        <v>46246</v>
      </c>
      <c r="K220" s="14" t="inlineStr">
        <is>
          <t>-</t>
        </is>
      </c>
      <c r="L220" s="23" t="inlineStr">
        <is>
          <t>-</t>
        </is>
      </c>
      <c r="N220" s="1" t="n"/>
      <c r="O220" s="1" t="n"/>
      <c r="P220" s="1" t="n"/>
      <c r="Q220" s="1" t="n"/>
      <c r="R220" s="1" t="n"/>
      <c r="S220" s="1" t="n"/>
      <c r="T220" s="1" t="n"/>
      <c r="U220" s="1" t="n"/>
      <c r="V220" s="1" t="n"/>
      <c r="W220" s="1" t="n"/>
      <c r="X220" s="1" t="n"/>
      <c r="Y220" s="1" t="n"/>
      <c r="Z220" s="1" t="n"/>
      <c r="AA220" s="1" t="n"/>
      <c r="AB220" s="1" t="n"/>
      <c r="AC220" s="1" t="n"/>
      <c r="AD220" s="1" t="n"/>
      <c r="AE220" s="1" t="n"/>
      <c r="AF220" s="1" t="n"/>
      <c r="AG220" s="1" t="n"/>
      <c r="AH220" s="1" t="n"/>
      <c r="AI220" s="1" t="n"/>
      <c r="AJ220" s="1" t="n"/>
    </row>
    <row r="221" ht="15.75" customHeight="1">
      <c r="A221" s="429" t="n"/>
      <c r="B221" s="429" t="n"/>
      <c r="C221" s="429" t="n"/>
      <c r="D221" s="429" t="n"/>
      <c r="E221" s="69" t="inlineStr">
        <is>
          <t>Samsuddin  Miya</t>
        </is>
      </c>
      <c r="F221" s="50" t="inlineStr">
        <is>
          <t>Soft Service</t>
        </is>
      </c>
      <c r="G221" s="68" t="inlineStr">
        <is>
          <t>L01300</t>
        </is>
      </c>
      <c r="H221" s="460" t="n">
        <v>2636720647</v>
      </c>
      <c r="I221" s="425" t="inlineStr">
        <is>
          <t>Approved</t>
        </is>
      </c>
      <c r="J221" s="496" t="n">
        <v>46163</v>
      </c>
      <c r="K221" s="14" t="inlineStr">
        <is>
          <t>MEHAN (RENTAL)</t>
        </is>
      </c>
      <c r="L221" s="23" t="inlineStr">
        <is>
          <t>-</t>
        </is>
      </c>
      <c r="N221" s="1" t="n"/>
      <c r="O221" s="1" t="n"/>
      <c r="P221" s="1" t="n"/>
      <c r="Q221" s="1" t="n"/>
      <c r="R221" s="1" t="n"/>
      <c r="S221" s="1" t="n"/>
      <c r="T221" s="1" t="n"/>
      <c r="U221" s="1" t="n"/>
      <c r="V221" s="1" t="n"/>
      <c r="W221" s="1" t="n"/>
      <c r="X221" s="1" t="n"/>
      <c r="Y221" s="1" t="n"/>
      <c r="Z221" s="1" t="n"/>
      <c r="AA221" s="1" t="n"/>
      <c r="AB221" s="1" t="n"/>
      <c r="AC221" s="1" t="n"/>
      <c r="AD221" s="1" t="n"/>
      <c r="AE221" s="1" t="n"/>
      <c r="AF221" s="1" t="n"/>
      <c r="AG221" s="1" t="n"/>
      <c r="AH221" s="1" t="n"/>
      <c r="AI221" s="1" t="n"/>
      <c r="AJ221" s="1" t="n"/>
    </row>
    <row r="222" ht="15.75" customHeight="1">
      <c r="A222" s="429" t="n"/>
      <c r="B222" s="429" t="n"/>
      <c r="C222" s="429" t="n"/>
      <c r="D222" s="429" t="n"/>
      <c r="E222" s="69" t="inlineStr">
        <is>
          <t>Mahfooz Alam Mo Jaki</t>
        </is>
      </c>
      <c r="F222" s="50" t="inlineStr">
        <is>
          <t>Soft Service</t>
        </is>
      </c>
      <c r="G222" s="68" t="inlineStr">
        <is>
          <t>R09594</t>
        </is>
      </c>
      <c r="H222" s="460" t="n">
        <v>2616698813</v>
      </c>
      <c r="I222" s="425" t="inlineStr">
        <is>
          <t>Approved</t>
        </is>
      </c>
      <c r="J222" s="496" t="n">
        <v>46041</v>
      </c>
      <c r="K222" s="14" t="inlineStr">
        <is>
          <t>MEHAN (RENTAL)</t>
        </is>
      </c>
      <c r="L222" s="23" t="inlineStr">
        <is>
          <t>-</t>
        </is>
      </c>
      <c r="N222" s="1" t="n"/>
      <c r="O222" s="1" t="n"/>
      <c r="P222" s="1" t="n"/>
      <c r="Q222" s="1" t="n"/>
      <c r="R222" s="1" t="n"/>
      <c r="S222" s="1" t="n"/>
      <c r="T222" s="1" t="n"/>
      <c r="U222" s="1" t="n"/>
      <c r="V222" s="1" t="n"/>
      <c r="W222" s="1" t="n"/>
      <c r="X222" s="1" t="n"/>
      <c r="Y222" s="1" t="n"/>
      <c r="Z222" s="1" t="n"/>
      <c r="AA222" s="1" t="n"/>
      <c r="AB222" s="1" t="n"/>
      <c r="AC222" s="1" t="n"/>
      <c r="AD222" s="1" t="n"/>
      <c r="AE222" s="1" t="n"/>
      <c r="AF222" s="1" t="n"/>
      <c r="AG222" s="1" t="n"/>
      <c r="AH222" s="1" t="n"/>
      <c r="AI222" s="1" t="n"/>
      <c r="AJ222" s="1" t="n"/>
    </row>
    <row r="223" ht="15.75" customHeight="1">
      <c r="A223" s="429" t="n"/>
      <c r="B223" s="429" t="n"/>
      <c r="C223" s="429" t="n"/>
      <c r="D223" s="429" t="n"/>
      <c r="E223" s="69" t="inlineStr">
        <is>
          <t>Samsudoha - - Khan</t>
        </is>
      </c>
      <c r="F223" s="50" t="inlineStr">
        <is>
          <t>Soft Service</t>
        </is>
      </c>
      <c r="G223" s="68" t="inlineStr">
        <is>
          <t>L01324</t>
        </is>
      </c>
      <c r="H223" s="460" t="n">
        <v>2636632883</v>
      </c>
      <c r="I223" s="425" t="inlineStr">
        <is>
          <t>Approved</t>
        </is>
      </c>
      <c r="J223" s="496" t="n">
        <v>46163</v>
      </c>
      <c r="K223" s="14" t="inlineStr">
        <is>
          <t>MEHAN (RENTAL)</t>
        </is>
      </c>
      <c r="L223" s="23" t="inlineStr">
        <is>
          <t>-</t>
        </is>
      </c>
      <c r="N223" s="1" t="n"/>
      <c r="O223" s="1" t="n"/>
      <c r="P223" s="1" t="n"/>
      <c r="Q223" s="1" t="n"/>
      <c r="R223" s="1" t="n"/>
      <c r="S223" s="1" t="n"/>
      <c r="T223" s="1" t="n"/>
      <c r="U223" s="1" t="n"/>
      <c r="V223" s="1" t="n"/>
      <c r="W223" s="1" t="n"/>
      <c r="X223" s="1" t="n"/>
      <c r="Y223" s="1" t="n"/>
      <c r="Z223" s="1" t="n"/>
      <c r="AA223" s="1" t="n"/>
      <c r="AB223" s="1" t="n"/>
      <c r="AC223" s="1" t="n"/>
      <c r="AD223" s="1" t="n"/>
      <c r="AE223" s="1" t="n"/>
      <c r="AF223" s="1" t="n"/>
      <c r="AG223" s="1" t="n"/>
      <c r="AH223" s="1" t="n"/>
      <c r="AI223" s="1" t="n"/>
      <c r="AJ223" s="1" t="n"/>
    </row>
    <row r="224" ht="15.75" customHeight="1">
      <c r="A224" s="429" t="n"/>
      <c r="B224" s="429" t="n"/>
      <c r="C224" s="429" t="n"/>
      <c r="D224" s="429" t="n"/>
      <c r="E224" s="69" t="inlineStr">
        <is>
          <t>Faruk Mia</t>
        </is>
      </c>
      <c r="F224" s="50" t="inlineStr">
        <is>
          <t>Soft Service</t>
        </is>
      </c>
      <c r="G224" s="68" t="inlineStr">
        <is>
          <t>R07467</t>
        </is>
      </c>
      <c r="H224" s="460" t="n">
        <v>2587196466</v>
      </c>
      <c r="I224" s="425" t="inlineStr">
        <is>
          <t>Approved</t>
        </is>
      </c>
      <c r="J224" s="496" t="n">
        <v>45592</v>
      </c>
      <c r="K224" s="14" t="inlineStr">
        <is>
          <t>MEHAN (RENTAL)</t>
        </is>
      </c>
      <c r="L224" s="23" t="inlineStr">
        <is>
          <t>-</t>
        </is>
      </c>
      <c r="N224" s="1" t="n"/>
      <c r="O224" s="1" t="n"/>
      <c r="P224" s="1" t="n"/>
      <c r="Q224" s="1" t="n"/>
      <c r="R224" s="1" t="n"/>
      <c r="S224" s="1" t="n"/>
      <c r="T224" s="1" t="n"/>
      <c r="U224" s="1" t="n"/>
      <c r="V224" s="1" t="n"/>
      <c r="W224" s="1" t="n"/>
      <c r="X224" s="1" t="n"/>
      <c r="Y224" s="1" t="n"/>
      <c r="Z224" s="1" t="n"/>
      <c r="AA224" s="1" t="n"/>
      <c r="AB224" s="1" t="n"/>
      <c r="AC224" s="1" t="n"/>
      <c r="AD224" s="1" t="n"/>
      <c r="AE224" s="1" t="n"/>
      <c r="AF224" s="1" t="n"/>
      <c r="AG224" s="1" t="n"/>
      <c r="AH224" s="1" t="n"/>
      <c r="AI224" s="1" t="n"/>
      <c r="AJ224" s="1" t="n"/>
    </row>
    <row r="225" ht="15.75" customHeight="1">
      <c r="A225" s="429" t="n"/>
      <c r="B225" s="429" t="n"/>
      <c r="C225" s="429" t="n"/>
      <c r="D225" s="429" t="n"/>
      <c r="E225" s="69" t="inlineStr">
        <is>
          <t>Dhiraj Paswan</t>
        </is>
      </c>
      <c r="F225" s="50" t="inlineStr">
        <is>
          <t>Soft Service</t>
        </is>
      </c>
      <c r="G225" s="68" t="inlineStr">
        <is>
          <t>S350</t>
        </is>
      </c>
      <c r="H225" s="460" t="n">
        <v>2605352638</v>
      </c>
      <c r="I225" s="425" t="inlineStr">
        <is>
          <t>Approved</t>
        </is>
      </c>
      <c r="J225" s="496" t="n">
        <v>45809</v>
      </c>
      <c r="K225" s="14" t="inlineStr">
        <is>
          <t>SCC (RENTAL)</t>
        </is>
      </c>
      <c r="L225" s="23" t="inlineStr">
        <is>
          <t>-</t>
        </is>
      </c>
      <c r="N225" s="1" t="n"/>
      <c r="O225" s="1" t="n"/>
      <c r="P225" s="1" t="n"/>
      <c r="Q225" s="1" t="n"/>
      <c r="R225" s="1" t="n"/>
      <c r="S225" s="1" t="n"/>
      <c r="T225" s="1" t="n"/>
      <c r="U225" s="1" t="n"/>
      <c r="V225" s="1" t="n"/>
      <c r="W225" s="1" t="n"/>
      <c r="X225" s="1" t="n"/>
      <c r="Y225" s="1" t="n"/>
      <c r="Z225" s="1" t="n"/>
      <c r="AA225" s="1" t="n"/>
      <c r="AB225" s="1" t="n"/>
      <c r="AC225" s="1" t="n"/>
      <c r="AD225" s="1" t="n"/>
      <c r="AE225" s="1" t="n"/>
      <c r="AF225" s="1" t="n"/>
      <c r="AG225" s="1" t="n"/>
      <c r="AH225" s="1" t="n"/>
      <c r="AI225" s="1" t="n"/>
      <c r="AJ225" s="1" t="n"/>
    </row>
    <row r="226" ht="15.75" customHeight="1">
      <c r="A226" s="429" t="n"/>
      <c r="B226" s="429" t="n"/>
      <c r="C226" s="429" t="n"/>
      <c r="D226" s="429" t="n"/>
      <c r="E226" s="69" t="inlineStr">
        <is>
          <t>Afsar Fulman</t>
        </is>
      </c>
      <c r="F226" s="50" t="inlineStr">
        <is>
          <t>Soft Service</t>
        </is>
      </c>
      <c r="G226" s="68" t="inlineStr">
        <is>
          <t>R04600</t>
        </is>
      </c>
      <c r="H226" s="460" t="n">
        <v>2515996284</v>
      </c>
      <c r="I226" s="425" t="inlineStr">
        <is>
          <t>Approved</t>
        </is>
      </c>
      <c r="J226" s="496" t="n">
        <v>45592</v>
      </c>
      <c r="K226" s="14" t="inlineStr">
        <is>
          <t>MEHAN (RENTAL)</t>
        </is>
      </c>
      <c r="L226" s="23" t="inlineStr">
        <is>
          <t>-</t>
        </is>
      </c>
      <c r="N226" s="1" t="n"/>
      <c r="O226" s="1" t="n"/>
      <c r="P226" s="1" t="n"/>
      <c r="Q226" s="1" t="n"/>
      <c r="R226" s="1" t="n"/>
      <c r="S226" s="1" t="n"/>
      <c r="T226" s="1" t="n"/>
      <c r="U226" s="1" t="n"/>
      <c r="V226" s="1" t="n"/>
      <c r="W226" s="1" t="n"/>
      <c r="X226" s="1" t="n"/>
      <c r="Y226" s="1" t="n"/>
      <c r="Z226" s="1" t="n"/>
      <c r="AA226" s="1" t="n"/>
      <c r="AB226" s="1" t="n"/>
      <c r="AC226" s="1" t="n"/>
      <c r="AD226" s="1" t="n"/>
      <c r="AE226" s="1" t="n"/>
      <c r="AF226" s="1" t="n"/>
      <c r="AG226" s="1" t="n"/>
      <c r="AH226" s="1" t="n"/>
      <c r="AI226" s="1" t="n"/>
      <c r="AJ226" s="1" t="n"/>
    </row>
    <row r="227" ht="15.75" customHeight="1">
      <c r="A227" s="429" t="n"/>
      <c r="B227" s="429" t="n"/>
      <c r="C227" s="429" t="n"/>
      <c r="D227" s="429" t="n"/>
      <c r="E227" s="69" t="inlineStr">
        <is>
          <t>Rasadul Islam</t>
        </is>
      </c>
      <c r="F227" s="50" t="inlineStr">
        <is>
          <t>Soft Service</t>
        </is>
      </c>
      <c r="G227" s="68" t="inlineStr">
        <is>
          <t>S063</t>
        </is>
      </c>
      <c r="H227" s="460" t="n">
        <v>2590555237</v>
      </c>
      <c r="I227" s="425" t="inlineStr">
        <is>
          <t>Approved</t>
        </is>
      </c>
      <c r="J227" s="496" t="n">
        <v>45585</v>
      </c>
      <c r="K227" s="14" t="inlineStr">
        <is>
          <t>SCC (RENTAL)</t>
        </is>
      </c>
      <c r="L227" s="23" t="inlineStr">
        <is>
          <t>-</t>
        </is>
      </c>
      <c r="N227" s="1" t="n"/>
      <c r="O227" s="1" t="n"/>
      <c r="P227" s="1" t="n"/>
      <c r="Q227" s="1" t="n"/>
      <c r="R227" s="1" t="n"/>
      <c r="S227" s="1" t="n"/>
      <c r="T227" s="1" t="n"/>
      <c r="U227" s="1" t="n"/>
      <c r="V227" s="1" t="n"/>
      <c r="W227" s="1" t="n"/>
      <c r="X227" s="1" t="n"/>
      <c r="Y227" s="1" t="n"/>
      <c r="Z227" s="1" t="n"/>
      <c r="AA227" s="1" t="n"/>
      <c r="AB227" s="1" t="n"/>
      <c r="AC227" s="1" t="n"/>
      <c r="AD227" s="1" t="n"/>
      <c r="AE227" s="1" t="n"/>
      <c r="AF227" s="1" t="n"/>
      <c r="AG227" s="1" t="n"/>
      <c r="AH227" s="1" t="n"/>
      <c r="AI227" s="1" t="n"/>
      <c r="AJ227" s="1" t="n"/>
    </row>
    <row r="228" ht="15.75" customHeight="1">
      <c r="A228" s="429" t="n"/>
      <c r="B228" s="429" t="n"/>
      <c r="C228" s="429" t="n"/>
      <c r="D228" s="429" t="n"/>
      <c r="E228" s="69" t="inlineStr">
        <is>
          <t>Md Mohir Uddin</t>
        </is>
      </c>
      <c r="F228" s="50" t="inlineStr">
        <is>
          <t>Soft Service</t>
        </is>
      </c>
      <c r="G228" s="68" t="n">
        <v>2602236602</v>
      </c>
      <c r="H228" s="460" t="n">
        <v>2602236602</v>
      </c>
      <c r="I228" s="425" t="inlineStr">
        <is>
          <t>Approved</t>
        </is>
      </c>
      <c r="J228" s="496" t="n">
        <v>45951</v>
      </c>
      <c r="K228" s="14" t="inlineStr">
        <is>
          <t>SCC (RENTAL)</t>
        </is>
      </c>
      <c r="L228" s="23" t="inlineStr">
        <is>
          <t>-</t>
        </is>
      </c>
      <c r="N228" s="1" t="n"/>
      <c r="O228" s="1" t="n"/>
      <c r="P228" s="1" t="n"/>
      <c r="Q228" s="1" t="n"/>
      <c r="R228" s="1" t="n"/>
      <c r="S228" s="1" t="n"/>
      <c r="T228" s="1" t="n"/>
      <c r="U228" s="1" t="n"/>
      <c r="V228" s="1" t="n"/>
      <c r="W228" s="1" t="n"/>
      <c r="X228" s="1" t="n"/>
      <c r="Y228" s="1" t="n"/>
      <c r="Z228" s="1" t="n"/>
      <c r="AA228" s="1" t="n"/>
      <c r="AB228" s="1" t="n"/>
      <c r="AC228" s="1" t="n"/>
      <c r="AD228" s="1" t="n"/>
      <c r="AE228" s="1" t="n"/>
      <c r="AF228" s="1" t="n"/>
      <c r="AG228" s="1" t="n"/>
      <c r="AH228" s="1" t="n"/>
      <c r="AI228" s="1" t="n"/>
      <c r="AJ228" s="1" t="n"/>
    </row>
    <row r="229" ht="15.75" customHeight="1">
      <c r="A229" s="429" t="n"/>
      <c r="B229" s="429" t="n"/>
      <c r="C229" s="429" t="n"/>
      <c r="D229" s="429" t="n"/>
      <c r="E229" s="69" t="inlineStr">
        <is>
          <t>Robi Ullah</t>
        </is>
      </c>
      <c r="F229" s="50" t="inlineStr">
        <is>
          <t>Soft Service</t>
        </is>
      </c>
      <c r="G229" s="68" t="n">
        <v>700954</v>
      </c>
      <c r="H229" s="460" t="n">
        <v>2499713580</v>
      </c>
      <c r="I229" s="425" t="inlineStr">
        <is>
          <t>Approved</t>
        </is>
      </c>
      <c r="J229" s="496" t="n">
        <v>45937</v>
      </c>
      <c r="K229" s="14" t="inlineStr">
        <is>
          <t>FMCO</t>
        </is>
      </c>
      <c r="L229" s="23" t="inlineStr">
        <is>
          <t>-</t>
        </is>
      </c>
      <c r="N229" s="1" t="n"/>
      <c r="O229" s="1" t="n"/>
      <c r="P229" s="1" t="n"/>
      <c r="Q229" s="1" t="n"/>
      <c r="R229" s="1" t="n"/>
      <c r="S229" s="1" t="n"/>
      <c r="T229" s="1" t="n"/>
      <c r="U229" s="1" t="n"/>
      <c r="V229" s="1" t="n"/>
      <c r="W229" s="1" t="n"/>
      <c r="X229" s="1" t="n"/>
      <c r="Y229" s="1" t="n"/>
      <c r="Z229" s="1" t="n"/>
      <c r="AA229" s="1" t="n"/>
      <c r="AB229" s="1" t="n"/>
      <c r="AC229" s="1" t="n"/>
      <c r="AD229" s="1" t="n"/>
      <c r="AE229" s="1" t="n"/>
      <c r="AF229" s="1" t="n"/>
      <c r="AG229" s="1" t="n"/>
      <c r="AH229" s="1" t="n"/>
      <c r="AI229" s="1" t="n"/>
      <c r="AJ229" s="1" t="n"/>
    </row>
    <row r="230" ht="15.75" customHeight="1">
      <c r="A230" s="429" t="n"/>
      <c r="B230" s="429" t="n"/>
      <c r="C230" s="429" t="n"/>
      <c r="D230" s="429" t="n"/>
      <c r="E230" s="69" t="inlineStr">
        <is>
          <t>Md Jahangir Hossain</t>
        </is>
      </c>
      <c r="F230" s="50" t="inlineStr">
        <is>
          <t>Soft Service</t>
        </is>
      </c>
      <c r="G230" s="68" t="n">
        <v>702588</v>
      </c>
      <c r="H230" s="460" t="n">
        <v>2539674743</v>
      </c>
      <c r="I230" s="425" t="inlineStr">
        <is>
          <t>Approved</t>
        </is>
      </c>
      <c r="J230" s="496" t="n">
        <v>45937</v>
      </c>
      <c r="K230" s="14" t="inlineStr">
        <is>
          <t>FMCO</t>
        </is>
      </c>
      <c r="L230" s="23" t="inlineStr">
        <is>
          <t>-</t>
        </is>
      </c>
      <c r="N230" s="1" t="n"/>
      <c r="O230" s="1" t="n"/>
      <c r="P230" s="1" t="n"/>
      <c r="Q230" s="1" t="n"/>
      <c r="R230" s="1" t="n"/>
      <c r="S230" s="1" t="n"/>
      <c r="T230" s="1" t="n"/>
      <c r="U230" s="1" t="n"/>
      <c r="V230" s="1" t="n"/>
      <c r="W230" s="1" t="n"/>
      <c r="X230" s="1" t="n"/>
      <c r="Y230" s="1" t="n"/>
      <c r="Z230" s="1" t="n"/>
      <c r="AA230" s="1" t="n"/>
      <c r="AB230" s="1" t="n"/>
      <c r="AC230" s="1" t="n"/>
      <c r="AD230" s="1" t="n"/>
      <c r="AE230" s="1" t="n"/>
      <c r="AF230" s="1" t="n"/>
      <c r="AG230" s="1" t="n"/>
      <c r="AH230" s="1" t="n"/>
      <c r="AI230" s="1" t="n"/>
      <c r="AJ230" s="1" t="n"/>
    </row>
    <row r="231" ht="15.75" customHeight="1">
      <c r="A231" s="429" t="n"/>
      <c r="B231" s="429" t="n"/>
      <c r="C231" s="429" t="n"/>
      <c r="D231" s="429" t="n"/>
      <c r="E231" s="22" t="inlineStr">
        <is>
          <t>Md Amir Hossain</t>
        </is>
      </c>
      <c r="F231" s="26" t="inlineStr">
        <is>
          <t>Soft Service</t>
        </is>
      </c>
      <c r="G231" s="27" t="inlineStr">
        <is>
          <t>-</t>
        </is>
      </c>
      <c r="H231" s="19" t="n">
        <v>2630566830</v>
      </c>
      <c r="I231" s="425" t="inlineStr">
        <is>
          <t>Approved</t>
        </is>
      </c>
      <c r="J231" s="496" t="n">
        <v>46199</v>
      </c>
      <c r="K231" s="28" t="inlineStr">
        <is>
          <t>JAWAD AL DUWAIL</t>
        </is>
      </c>
      <c r="L231" s="23" t="inlineStr">
        <is>
          <t>-</t>
        </is>
      </c>
      <c r="N231" s="1" t="n"/>
      <c r="O231" s="1" t="n"/>
      <c r="P231" s="1" t="n"/>
      <c r="Q231" s="1" t="n"/>
      <c r="R231" s="1" t="n"/>
      <c r="S231" s="1" t="n"/>
      <c r="T231" s="1" t="n"/>
      <c r="U231" s="1" t="n"/>
      <c r="V231" s="1" t="n"/>
      <c r="W231" s="1" t="n"/>
      <c r="X231" s="1" t="n"/>
      <c r="Y231" s="1" t="n"/>
      <c r="Z231" s="1" t="n"/>
      <c r="AA231" s="1" t="n"/>
      <c r="AB231" s="1" t="n"/>
      <c r="AC231" s="1" t="n"/>
      <c r="AD231" s="1" t="n"/>
      <c r="AE231" s="1" t="n"/>
      <c r="AF231" s="1" t="n"/>
      <c r="AG231" s="1" t="n"/>
      <c r="AH231" s="1" t="n"/>
      <c r="AI231" s="1" t="n"/>
      <c r="AJ231" s="1" t="n"/>
    </row>
    <row r="232" ht="15.75" customHeight="1">
      <c r="A232" s="429" t="n"/>
      <c r="B232" s="429" t="n"/>
      <c r="C232" s="429" t="n"/>
      <c r="D232" s="429" t="n"/>
      <c r="E232" s="69" t="inlineStr">
        <is>
          <t>Sharif Mahmud</t>
        </is>
      </c>
      <c r="F232" s="50" t="inlineStr">
        <is>
          <t>Soft Service</t>
        </is>
      </c>
      <c r="G232" s="68" t="n">
        <v>2621898580</v>
      </c>
      <c r="H232" s="460" t="n">
        <v>2621898580</v>
      </c>
      <c r="I232" s="425" t="inlineStr">
        <is>
          <t>Approved</t>
        </is>
      </c>
      <c r="J232" s="496" t="n">
        <v>45996</v>
      </c>
      <c r="K232" s="14" t="inlineStr">
        <is>
          <t>SCC (RENTAL)</t>
        </is>
      </c>
      <c r="L232" s="23" t="inlineStr">
        <is>
          <t>-</t>
        </is>
      </c>
      <c r="N232" s="1" t="n"/>
      <c r="O232" s="1" t="n"/>
      <c r="P232" s="1" t="n"/>
      <c r="Q232" s="1" t="n"/>
      <c r="R232" s="1" t="n"/>
      <c r="S232" s="1" t="n"/>
      <c r="T232" s="1" t="n"/>
      <c r="U232" s="1" t="n"/>
      <c r="V232" s="1" t="n"/>
      <c r="W232" s="1" t="n"/>
      <c r="X232" s="1" t="n"/>
      <c r="Y232" s="1" t="n"/>
      <c r="Z232" s="1" t="n"/>
      <c r="AA232" s="1" t="n"/>
      <c r="AB232" s="1" t="n"/>
      <c r="AC232" s="1" t="n"/>
      <c r="AD232" s="1" t="n"/>
      <c r="AE232" s="1" t="n"/>
      <c r="AF232" s="1" t="n"/>
      <c r="AG232" s="1" t="n"/>
      <c r="AH232" s="1" t="n"/>
      <c r="AI232" s="1" t="n"/>
      <c r="AJ232" s="1" t="n"/>
    </row>
    <row r="233" ht="15.75" customHeight="1">
      <c r="A233" s="429" t="n"/>
      <c r="B233" s="429" t="n"/>
      <c r="C233" s="429" t="n"/>
      <c r="D233" s="429" t="n"/>
      <c r="E233" s="69" t="inlineStr">
        <is>
          <t>Mohammad Hossain</t>
        </is>
      </c>
      <c r="F233" s="50" t="inlineStr">
        <is>
          <t>Soft Service</t>
        </is>
      </c>
      <c r="G233" s="68" t="n">
        <v>2624253817</v>
      </c>
      <c r="H233" s="460" t="n">
        <v>2624253817</v>
      </c>
      <c r="I233" s="425" t="inlineStr">
        <is>
          <t>Approved</t>
        </is>
      </c>
      <c r="J233" s="496" t="n">
        <v>46025</v>
      </c>
      <c r="K233" s="14" t="inlineStr">
        <is>
          <t>SCC (RENTAL)</t>
        </is>
      </c>
      <c r="L233" s="23" t="inlineStr">
        <is>
          <t>-</t>
        </is>
      </c>
      <c r="N233" s="1" t="n"/>
      <c r="O233" s="1" t="n"/>
      <c r="P233" s="1" t="n"/>
      <c r="Q233" s="1" t="n"/>
      <c r="R233" s="1" t="n"/>
      <c r="S233" s="1" t="n"/>
      <c r="T233" s="1" t="n"/>
      <c r="U233" s="1" t="n"/>
      <c r="V233" s="1" t="n"/>
      <c r="W233" s="1" t="n"/>
      <c r="X233" s="1" t="n"/>
      <c r="Y233" s="1" t="n"/>
      <c r="Z233" s="1" t="n"/>
      <c r="AA233" s="1" t="n"/>
      <c r="AB233" s="1" t="n"/>
      <c r="AC233" s="1" t="n"/>
      <c r="AD233" s="1" t="n"/>
      <c r="AE233" s="1" t="n"/>
      <c r="AF233" s="1" t="n"/>
      <c r="AG233" s="1" t="n"/>
      <c r="AH233" s="1" t="n"/>
      <c r="AI233" s="1" t="n"/>
      <c r="AJ233" s="1" t="n"/>
    </row>
    <row r="234" ht="15.75" customHeight="1">
      <c r="A234" s="429" t="n"/>
      <c r="B234" s="429" t="n"/>
      <c r="C234" s="429" t="n"/>
      <c r="D234" s="429" t="n"/>
      <c r="E234" s="69" t="inlineStr">
        <is>
          <t>Jay Prakash Chaudhary</t>
        </is>
      </c>
      <c r="F234" s="50" t="inlineStr">
        <is>
          <t>Soft Service</t>
        </is>
      </c>
      <c r="G234" s="68" t="n">
        <v>701650</v>
      </c>
      <c r="H234" s="460" t="n">
        <v>2535973271</v>
      </c>
      <c r="I234" s="425" t="inlineStr">
        <is>
          <t>Approved</t>
        </is>
      </c>
      <c r="J234" s="496" t="n">
        <v>46040</v>
      </c>
      <c r="K234" s="14" t="inlineStr">
        <is>
          <t>FMCO</t>
        </is>
      </c>
      <c r="L234" s="23" t="inlineStr">
        <is>
          <t>-</t>
        </is>
      </c>
      <c r="N234" s="1" t="n"/>
      <c r="O234" s="1" t="n"/>
      <c r="P234" s="1" t="n"/>
      <c r="Q234" s="1" t="n"/>
      <c r="R234" s="1" t="n"/>
      <c r="S234" s="1" t="n"/>
      <c r="T234" s="1" t="n"/>
      <c r="U234" s="1" t="n"/>
      <c r="V234" s="1" t="n"/>
      <c r="W234" s="1" t="n"/>
      <c r="X234" s="1" t="n"/>
      <c r="Y234" s="1" t="n"/>
      <c r="Z234" s="1" t="n"/>
      <c r="AA234" s="1" t="n"/>
      <c r="AB234" s="1" t="n"/>
      <c r="AC234" s="1" t="n"/>
      <c r="AD234" s="1" t="n"/>
      <c r="AE234" s="1" t="n"/>
      <c r="AF234" s="1" t="n"/>
      <c r="AG234" s="1" t="n"/>
      <c r="AH234" s="1" t="n"/>
      <c r="AI234" s="1" t="n"/>
      <c r="AJ234" s="1" t="n"/>
    </row>
    <row r="235" ht="15.75" customHeight="1">
      <c r="A235" s="429" t="n"/>
      <c r="B235" s="429" t="n"/>
      <c r="C235" s="429" t="n"/>
      <c r="D235" s="429" t="n"/>
      <c r="E235" s="69" t="inlineStr">
        <is>
          <t>Sushil Chandra  Das</t>
        </is>
      </c>
      <c r="F235" s="50" t="inlineStr">
        <is>
          <t>Soft Service</t>
        </is>
      </c>
      <c r="G235" s="68" t="inlineStr">
        <is>
          <t>R02283</t>
        </is>
      </c>
      <c r="H235" s="460" t="n">
        <v>2476280546</v>
      </c>
      <c r="I235" s="425" t="inlineStr">
        <is>
          <t>Approved</t>
        </is>
      </c>
      <c r="J235" s="496" t="n">
        <v>46041</v>
      </c>
      <c r="K235" s="14" t="inlineStr">
        <is>
          <t>MEHAN (RENTAL)</t>
        </is>
      </c>
      <c r="L235" s="23" t="inlineStr">
        <is>
          <t>-</t>
        </is>
      </c>
      <c r="N235" s="1" t="n"/>
      <c r="O235" s="1" t="n"/>
      <c r="P235" s="1" t="n"/>
      <c r="Q235" s="1" t="n"/>
      <c r="R235" s="1" t="n"/>
      <c r="S235" s="1" t="n"/>
      <c r="T235" s="1" t="n"/>
      <c r="U235" s="1" t="n"/>
      <c r="V235" s="1" t="n"/>
      <c r="W235" s="1" t="n"/>
      <c r="X235" s="1" t="n"/>
      <c r="Y235" s="1" t="n"/>
      <c r="Z235" s="1" t="n"/>
      <c r="AA235" s="1" t="n"/>
      <c r="AB235" s="1" t="n"/>
      <c r="AC235" s="1" t="n"/>
      <c r="AD235" s="1" t="n"/>
      <c r="AE235" s="1" t="n"/>
      <c r="AF235" s="1" t="n"/>
      <c r="AG235" s="1" t="n"/>
      <c r="AH235" s="1" t="n"/>
      <c r="AI235" s="1" t="n"/>
      <c r="AJ235" s="1" t="n"/>
    </row>
    <row r="236" ht="15.75" customHeight="1">
      <c r="A236" s="429" t="n"/>
      <c r="B236" s="429" t="n"/>
      <c r="C236" s="429" t="n"/>
      <c r="D236" s="429" t="n"/>
      <c r="E236" s="69" t="inlineStr">
        <is>
          <t>Maribel Parchamento</t>
        </is>
      </c>
      <c r="F236" s="50" t="inlineStr">
        <is>
          <t>Soft Service</t>
        </is>
      </c>
      <c r="G236" s="68" t="inlineStr">
        <is>
          <t>S352</t>
        </is>
      </c>
      <c r="H236" s="460" t="n">
        <v>2549430003</v>
      </c>
      <c r="I236" s="425" t="inlineStr">
        <is>
          <t>Approved</t>
        </is>
      </c>
      <c r="J236" s="496" t="n">
        <v>45812</v>
      </c>
      <c r="K236" s="14" t="inlineStr">
        <is>
          <t>SCC (RENTAL)</t>
        </is>
      </c>
      <c r="L236" s="23" t="inlineStr">
        <is>
          <t>-</t>
        </is>
      </c>
      <c r="N236" s="1" t="n"/>
      <c r="O236" s="1" t="n"/>
      <c r="P236" s="1" t="n"/>
      <c r="Q236" s="1" t="n"/>
      <c r="R236" s="1" t="n"/>
      <c r="S236" s="1" t="n"/>
      <c r="T236" s="1" t="n"/>
      <c r="U236" s="1" t="n"/>
      <c r="V236" s="1" t="n"/>
      <c r="W236" s="1" t="n"/>
      <c r="X236" s="1" t="n"/>
      <c r="Y236" s="1" t="n"/>
      <c r="Z236" s="1" t="n"/>
      <c r="AA236" s="1" t="n"/>
      <c r="AB236" s="1" t="n"/>
      <c r="AC236" s="1" t="n"/>
      <c r="AD236" s="1" t="n"/>
      <c r="AE236" s="1" t="n"/>
      <c r="AF236" s="1" t="n"/>
      <c r="AG236" s="1" t="n"/>
      <c r="AH236" s="1" t="n"/>
      <c r="AI236" s="1" t="n"/>
      <c r="AJ236" s="1" t="n"/>
    </row>
    <row r="237" ht="15.75" customHeight="1">
      <c r="A237" s="429" t="n"/>
      <c r="B237" s="429" t="n"/>
      <c r="C237" s="429" t="n"/>
      <c r="D237" s="429" t="n"/>
      <c r="E237" s="69" t="inlineStr">
        <is>
          <t>Abegay P. Monutul</t>
        </is>
      </c>
      <c r="F237" s="50" t="inlineStr">
        <is>
          <t>Soft Service</t>
        </is>
      </c>
      <c r="G237" s="68" t="inlineStr">
        <is>
          <t>S373</t>
        </is>
      </c>
      <c r="H237" s="460" t="n">
        <v>2603238979</v>
      </c>
      <c r="I237" s="425" t="inlineStr">
        <is>
          <t>Approved</t>
        </is>
      </c>
      <c r="J237" s="496" t="n">
        <v>45828</v>
      </c>
      <c r="K237" s="14" t="inlineStr">
        <is>
          <t>SCC (RENTAL)</t>
        </is>
      </c>
      <c r="L237" s="23" t="inlineStr">
        <is>
          <t>-</t>
        </is>
      </c>
      <c r="N237" s="1" t="n"/>
      <c r="O237" s="1" t="n"/>
      <c r="P237" s="1" t="n"/>
      <c r="Q237" s="1" t="n"/>
      <c r="R237" s="1" t="n"/>
      <c r="S237" s="1" t="n"/>
      <c r="T237" s="1" t="n"/>
      <c r="U237" s="1" t="n"/>
      <c r="V237" s="1" t="n"/>
      <c r="W237" s="1" t="n"/>
      <c r="X237" s="1" t="n"/>
      <c r="Y237" s="1" t="n"/>
      <c r="Z237" s="1" t="n"/>
      <c r="AA237" s="1" t="n"/>
      <c r="AB237" s="1" t="n"/>
      <c r="AC237" s="1" t="n"/>
      <c r="AD237" s="1" t="n"/>
      <c r="AE237" s="1" t="n"/>
      <c r="AF237" s="1" t="n"/>
      <c r="AG237" s="1" t="n"/>
      <c r="AH237" s="1" t="n"/>
      <c r="AI237" s="1" t="n"/>
      <c r="AJ237" s="1" t="n"/>
    </row>
    <row r="238" ht="15.75" customHeight="1">
      <c r="A238" s="429" t="n"/>
      <c r="B238" s="429" t="n"/>
      <c r="C238" s="429" t="n"/>
      <c r="D238" s="429" t="n"/>
      <c r="E238" s="22" t="inlineStr">
        <is>
          <t>Sima Akter</t>
        </is>
      </c>
      <c r="F238" s="50" t="inlineStr">
        <is>
          <t>Soft Service</t>
        </is>
      </c>
      <c r="G238" s="27" t="inlineStr">
        <is>
          <t>-</t>
        </is>
      </c>
      <c r="H238" s="19" t="n">
        <v>2612699195</v>
      </c>
      <c r="I238" s="425" t="inlineStr">
        <is>
          <t>Additional</t>
        </is>
      </c>
      <c r="J238" s="496" t="n">
        <v>46183</v>
      </c>
      <c r="K238" s="28" t="inlineStr">
        <is>
          <t>AB-HOOR RENTAL</t>
        </is>
      </c>
      <c r="L238" s="23" t="inlineStr">
        <is>
          <t>-</t>
        </is>
      </c>
      <c r="N238" s="1" t="n"/>
      <c r="O238" s="1" t="n"/>
      <c r="P238" s="1" t="n"/>
      <c r="Q238" s="1" t="n"/>
      <c r="R238" s="1" t="n"/>
      <c r="S238" s="1" t="n"/>
      <c r="T238" s="1" t="n"/>
      <c r="U238" s="1" t="n"/>
      <c r="V238" s="1" t="n"/>
      <c r="W238" s="1" t="n"/>
      <c r="X238" s="1" t="n"/>
      <c r="Y238" s="1" t="n"/>
      <c r="Z238" s="1" t="n"/>
      <c r="AA238" s="1" t="n"/>
      <c r="AB238" s="1" t="n"/>
      <c r="AC238" s="1" t="n"/>
      <c r="AD238" s="1" t="n"/>
      <c r="AE238" s="1" t="n"/>
      <c r="AF238" s="1" t="n"/>
      <c r="AG238" s="1" t="n"/>
      <c r="AH238" s="1" t="n"/>
      <c r="AI238" s="1" t="n"/>
      <c r="AJ238" s="1" t="n"/>
    </row>
    <row r="239" ht="15.75" customHeight="1">
      <c r="A239" s="429" t="n"/>
      <c r="B239" s="429" t="n"/>
      <c r="C239" s="429" t="n"/>
      <c r="D239" s="429" t="n"/>
      <c r="E239" s="69" t="inlineStr">
        <is>
          <t>Sharmin Akter</t>
        </is>
      </c>
      <c r="F239" s="50" t="inlineStr">
        <is>
          <t>Soft Service</t>
        </is>
      </c>
      <c r="G239" s="68" t="inlineStr">
        <is>
          <t>S375</t>
        </is>
      </c>
      <c r="H239" s="460" t="n">
        <v>2558581159</v>
      </c>
      <c r="I239" s="425" t="inlineStr">
        <is>
          <t>Approved</t>
        </is>
      </c>
      <c r="J239" s="496" t="n">
        <v>45828</v>
      </c>
      <c r="K239" s="14" t="inlineStr">
        <is>
          <t>SCC (RENTAL)</t>
        </is>
      </c>
      <c r="L239" s="23" t="inlineStr">
        <is>
          <t>-</t>
        </is>
      </c>
      <c r="N239" s="1" t="n"/>
      <c r="O239" s="1" t="n"/>
      <c r="P239" s="1" t="n"/>
      <c r="Q239" s="1" t="n"/>
      <c r="R239" s="1" t="n"/>
      <c r="S239" s="1" t="n"/>
      <c r="T239" s="1" t="n"/>
      <c r="U239" s="1" t="n"/>
      <c r="V239" s="1" t="n"/>
      <c r="W239" s="1" t="n"/>
      <c r="X239" s="1" t="n"/>
      <c r="Y239" s="1" t="n"/>
      <c r="Z239" s="1" t="n"/>
      <c r="AA239" s="1" t="n"/>
      <c r="AB239" s="1" t="n"/>
      <c r="AC239" s="1" t="n"/>
      <c r="AD239" s="1" t="n"/>
      <c r="AE239" s="1" t="n"/>
      <c r="AF239" s="1" t="n"/>
      <c r="AG239" s="1" t="n"/>
      <c r="AH239" s="1" t="n"/>
      <c r="AI239" s="1" t="n"/>
      <c r="AJ239" s="1" t="n"/>
    </row>
    <row r="240" ht="15.75" customHeight="1">
      <c r="A240" s="429" t="n"/>
      <c r="B240" s="429" t="n"/>
      <c r="C240" s="429" t="n"/>
      <c r="D240" s="429" t="n"/>
      <c r="E240" s="22" t="inlineStr">
        <is>
          <t>Amena Akter</t>
        </is>
      </c>
      <c r="F240" s="26" t="inlineStr">
        <is>
          <t>Soft Service</t>
        </is>
      </c>
      <c r="G240" s="27" t="inlineStr">
        <is>
          <t>-</t>
        </is>
      </c>
      <c r="H240" s="19" t="n">
        <v>2595656097</v>
      </c>
      <c r="I240" s="425" t="inlineStr">
        <is>
          <t>Approved</t>
        </is>
      </c>
      <c r="J240" s="496" t="n">
        <v>46183</v>
      </c>
      <c r="K240" s="28" t="inlineStr">
        <is>
          <t>AB-HOOR RENTAL</t>
        </is>
      </c>
      <c r="L240" s="23" t="inlineStr">
        <is>
          <t>-</t>
        </is>
      </c>
      <c r="N240" s="1" t="n"/>
      <c r="O240" s="1" t="n"/>
      <c r="P240" s="1" t="n"/>
      <c r="Q240" s="1" t="n"/>
      <c r="R240" s="1" t="n"/>
      <c r="S240" s="1" t="n"/>
      <c r="T240" s="1" t="n"/>
      <c r="U240" s="1" t="n"/>
      <c r="V240" s="1" t="n"/>
      <c r="W240" s="1" t="n"/>
      <c r="X240" s="1" t="n"/>
      <c r="Y240" s="1" t="n"/>
      <c r="Z240" s="1" t="n"/>
      <c r="AA240" s="1" t="n"/>
      <c r="AB240" s="1" t="n"/>
      <c r="AC240" s="1" t="n"/>
      <c r="AD240" s="1" t="n"/>
      <c r="AE240" s="1" t="n"/>
      <c r="AF240" s="1" t="n"/>
      <c r="AG240" s="1" t="n"/>
      <c r="AH240" s="1" t="n"/>
      <c r="AI240" s="1" t="n"/>
      <c r="AJ240" s="1" t="n"/>
    </row>
    <row r="241" ht="15.75" customHeight="1">
      <c r="A241" s="429" t="n"/>
      <c r="B241" s="429" t="n"/>
      <c r="C241" s="429" t="n"/>
      <c r="D241" s="429" t="n"/>
      <c r="E241" s="69" t="inlineStr">
        <is>
          <t>Erlyn B.Evangelio</t>
        </is>
      </c>
      <c r="F241" s="50" t="inlineStr">
        <is>
          <t>Soft Service</t>
        </is>
      </c>
      <c r="G241" s="68" t="inlineStr">
        <is>
          <t>S392</t>
        </is>
      </c>
      <c r="H241" s="460" t="n">
        <v>2603243508</v>
      </c>
      <c r="I241" s="425" t="inlineStr">
        <is>
          <t>Approved</t>
        </is>
      </c>
      <c r="J241" s="496" t="n">
        <v>45854</v>
      </c>
      <c r="K241" s="14" t="inlineStr">
        <is>
          <t>SCC (RENTAL)</t>
        </is>
      </c>
      <c r="L241" s="23" t="inlineStr">
        <is>
          <t>-</t>
        </is>
      </c>
      <c r="N241" s="1" t="n"/>
      <c r="O241" s="1" t="n"/>
      <c r="P241" s="1" t="n"/>
      <c r="Q241" s="1" t="n"/>
      <c r="R241" s="1" t="n"/>
      <c r="S241" s="1" t="n"/>
      <c r="T241" s="1" t="n"/>
      <c r="U241" s="1" t="n"/>
      <c r="V241" s="1" t="n"/>
      <c r="W241" s="1" t="n"/>
      <c r="X241" s="1" t="n"/>
      <c r="Y241" s="1" t="n"/>
      <c r="Z241" s="1" t="n"/>
      <c r="AA241" s="1" t="n"/>
      <c r="AB241" s="1" t="n"/>
      <c r="AC241" s="1" t="n"/>
      <c r="AD241" s="1" t="n"/>
      <c r="AE241" s="1" t="n"/>
      <c r="AF241" s="1" t="n"/>
      <c r="AG241" s="1" t="n"/>
      <c r="AH241" s="1" t="n"/>
      <c r="AI241" s="1" t="n"/>
      <c r="AJ241" s="1" t="n"/>
    </row>
    <row r="242" ht="15.75" customHeight="1">
      <c r="A242" s="429" t="n"/>
      <c r="B242" s="429" t="n"/>
      <c r="C242" s="429" t="n"/>
      <c r="D242" s="429" t="n"/>
      <c r="E242" s="69" t="inlineStr">
        <is>
          <t>Cheenee Nae L. Radoc</t>
        </is>
      </c>
      <c r="F242" s="50" t="inlineStr">
        <is>
          <t>Soft Service</t>
        </is>
      </c>
      <c r="G242" s="68" t="inlineStr">
        <is>
          <t>S372</t>
        </is>
      </c>
      <c r="H242" s="460" t="n">
        <v>2601026178</v>
      </c>
      <c r="I242" s="425" t="inlineStr">
        <is>
          <t>Approved</t>
        </is>
      </c>
      <c r="J242" s="496" t="n">
        <v>45828</v>
      </c>
      <c r="K242" s="14" t="inlineStr">
        <is>
          <t>SCC (RENTAL)</t>
        </is>
      </c>
      <c r="L242" s="23" t="inlineStr">
        <is>
          <t>-</t>
        </is>
      </c>
      <c r="N242" s="1" t="n"/>
      <c r="O242" s="1" t="n"/>
      <c r="P242" s="1" t="n"/>
      <c r="Q242" s="1" t="n"/>
      <c r="R242" s="1" t="n"/>
      <c r="S242" s="1" t="n"/>
      <c r="T242" s="1" t="n"/>
      <c r="U242" s="1" t="n"/>
      <c r="V242" s="1" t="n"/>
      <c r="W242" s="1" t="n"/>
      <c r="X242" s="1" t="n"/>
      <c r="Y242" s="1" t="n"/>
      <c r="Z242" s="1" t="n"/>
      <c r="AA242" s="1" t="n"/>
      <c r="AB242" s="1" t="n"/>
      <c r="AC242" s="1" t="n"/>
      <c r="AD242" s="1" t="n"/>
      <c r="AE242" s="1" t="n"/>
      <c r="AF242" s="1" t="n"/>
      <c r="AG242" s="1" t="n"/>
      <c r="AH242" s="1" t="n"/>
      <c r="AI242" s="1" t="n"/>
      <c r="AJ242" s="1" t="n"/>
    </row>
    <row r="243" ht="15.75" customHeight="1">
      <c r="A243" s="429" t="n"/>
      <c r="B243" s="429" t="n"/>
      <c r="C243" s="429" t="n"/>
      <c r="D243" s="429" t="n"/>
      <c r="E243" s="69" t="inlineStr">
        <is>
          <t>Janice Pasco</t>
        </is>
      </c>
      <c r="F243" s="50" t="inlineStr">
        <is>
          <t>Soft Service</t>
        </is>
      </c>
      <c r="G243" s="68" t="inlineStr">
        <is>
          <t>S417</t>
        </is>
      </c>
      <c r="H243" s="460" t="n">
        <v>2603242682</v>
      </c>
      <c r="I243" s="425" t="inlineStr">
        <is>
          <t>Approved</t>
        </is>
      </c>
      <c r="J243" s="496" t="n">
        <v>45887</v>
      </c>
      <c r="K243" s="14" t="inlineStr">
        <is>
          <t>SCC (RENTAL)</t>
        </is>
      </c>
      <c r="L243" s="23" t="inlineStr">
        <is>
          <t>-</t>
        </is>
      </c>
      <c r="N243" s="1" t="n"/>
      <c r="O243" s="1" t="n"/>
      <c r="P243" s="1" t="n"/>
      <c r="Q243" s="1" t="n"/>
      <c r="R243" s="1" t="n"/>
      <c r="S243" s="1" t="n"/>
      <c r="T243" s="1" t="n"/>
      <c r="U243" s="1" t="n"/>
      <c r="V243" s="1" t="n"/>
      <c r="W243" s="1" t="n"/>
      <c r="X243" s="1" t="n"/>
      <c r="Y243" s="1" t="n"/>
      <c r="Z243" s="1" t="n"/>
      <c r="AA243" s="1" t="n"/>
      <c r="AB243" s="1" t="n"/>
      <c r="AC243" s="1" t="n"/>
      <c r="AD243" s="1" t="n"/>
      <c r="AE243" s="1" t="n"/>
      <c r="AF243" s="1" t="n"/>
      <c r="AG243" s="1" t="n"/>
      <c r="AH243" s="1" t="n"/>
      <c r="AI243" s="1" t="n"/>
      <c r="AJ243" s="1" t="n"/>
    </row>
    <row r="244" ht="15.75" customHeight="1">
      <c r="A244" s="429" t="n"/>
      <c r="B244" s="429" t="n"/>
      <c r="C244" s="429" t="n"/>
      <c r="D244" s="429" t="n"/>
      <c r="E244" s="69" t="inlineStr">
        <is>
          <t>Bergie P. Morera</t>
        </is>
      </c>
      <c r="F244" s="50" t="inlineStr">
        <is>
          <t>Soft Service</t>
        </is>
      </c>
      <c r="G244" s="68" t="inlineStr">
        <is>
          <t>S371</t>
        </is>
      </c>
      <c r="H244" s="460" t="n">
        <v>2597494547</v>
      </c>
      <c r="I244" s="425" t="inlineStr">
        <is>
          <t>Approved</t>
        </is>
      </c>
      <c r="J244" s="496" t="n">
        <v>45828</v>
      </c>
      <c r="K244" s="14" t="inlineStr">
        <is>
          <t>SCC (RENTAL)</t>
        </is>
      </c>
      <c r="L244" s="23" t="inlineStr">
        <is>
          <t>-</t>
        </is>
      </c>
      <c r="N244" s="1" t="n"/>
      <c r="O244" s="1" t="n"/>
      <c r="P244" s="1" t="n"/>
      <c r="Q244" s="1" t="n"/>
      <c r="R244" s="1" t="n"/>
      <c r="S244" s="1" t="n"/>
      <c r="T244" s="1" t="n"/>
      <c r="U244" s="1" t="n"/>
      <c r="V244" s="1" t="n"/>
      <c r="W244" s="1" t="n"/>
      <c r="X244" s="1" t="n"/>
      <c r="Y244" s="1" t="n"/>
      <c r="Z244" s="1" t="n"/>
      <c r="AA244" s="1" t="n"/>
      <c r="AB244" s="1" t="n"/>
      <c r="AC244" s="1" t="n"/>
      <c r="AD244" s="1" t="n"/>
      <c r="AE244" s="1" t="n"/>
      <c r="AF244" s="1" t="n"/>
      <c r="AG244" s="1" t="n"/>
      <c r="AH244" s="1" t="n"/>
      <c r="AI244" s="1" t="n"/>
      <c r="AJ244" s="1" t="n"/>
    </row>
    <row r="245" ht="15.75" customHeight="1">
      <c r="A245" s="429" t="n"/>
      <c r="B245" s="429" t="n"/>
      <c r="C245" s="429" t="n"/>
      <c r="D245" s="429" t="n"/>
      <c r="E245" s="69" t="inlineStr">
        <is>
          <t>Hazel Ruth Guzman</t>
        </is>
      </c>
      <c r="F245" s="50" t="inlineStr">
        <is>
          <t>Soft Service</t>
        </is>
      </c>
      <c r="G245" s="68" t="inlineStr">
        <is>
          <t>RN 423</t>
        </is>
      </c>
      <c r="H245" s="460" t="n">
        <v>2610561686</v>
      </c>
      <c r="I245" s="425" t="inlineStr">
        <is>
          <t>Approved</t>
        </is>
      </c>
      <c r="J245" s="496" t="n">
        <v>45958</v>
      </c>
      <c r="K245" s="14" t="inlineStr">
        <is>
          <t>RIADA RENTAL</t>
        </is>
      </c>
      <c r="L245" s="23" t="inlineStr">
        <is>
          <t>-</t>
        </is>
      </c>
      <c r="N245" s="1" t="n"/>
      <c r="O245" s="1" t="n"/>
      <c r="P245" s="1" t="n"/>
      <c r="Q245" s="1" t="n"/>
      <c r="R245" s="1" t="n"/>
      <c r="S245" s="1" t="n"/>
      <c r="T245" s="1" t="n"/>
      <c r="U245" s="1" t="n"/>
      <c r="V245" s="1" t="n"/>
      <c r="W245" s="1" t="n"/>
      <c r="X245" s="1" t="n"/>
      <c r="Y245" s="1" t="n"/>
      <c r="Z245" s="1" t="n"/>
      <c r="AA245" s="1" t="n"/>
      <c r="AB245" s="1" t="n"/>
      <c r="AC245" s="1" t="n"/>
      <c r="AD245" s="1" t="n"/>
      <c r="AE245" s="1" t="n"/>
      <c r="AF245" s="1" t="n"/>
      <c r="AG245" s="1" t="n"/>
      <c r="AH245" s="1" t="n"/>
      <c r="AI245" s="1" t="n"/>
      <c r="AJ245" s="1" t="n"/>
    </row>
    <row r="246" ht="15.75" customHeight="1">
      <c r="A246" s="429" t="n"/>
      <c r="B246" s="429" t="n"/>
      <c r="C246" s="429" t="n"/>
      <c r="D246" s="429" t="n"/>
      <c r="E246" s="69" t="inlineStr">
        <is>
          <t>Johaina Solaiman Tarusan</t>
        </is>
      </c>
      <c r="F246" s="50" t="inlineStr">
        <is>
          <t>Soft Service</t>
        </is>
      </c>
      <c r="G246" s="68" t="inlineStr">
        <is>
          <t>R 963</t>
        </is>
      </c>
      <c r="H246" s="460" t="n">
        <v>2561692357</v>
      </c>
      <c r="I246" s="425" t="inlineStr">
        <is>
          <t>Approved</t>
        </is>
      </c>
      <c r="J246" s="496" t="n">
        <v>45958</v>
      </c>
      <c r="K246" s="14" t="inlineStr">
        <is>
          <t>RIADA RENTAL</t>
        </is>
      </c>
      <c r="L246" s="23" t="inlineStr">
        <is>
          <t>-</t>
        </is>
      </c>
      <c r="N246" s="1" t="n"/>
      <c r="O246" s="1" t="n"/>
      <c r="P246" s="1" t="n"/>
      <c r="Q246" s="1" t="n"/>
      <c r="R246" s="1" t="n"/>
      <c r="S246" s="1" t="n"/>
      <c r="T246" s="1" t="n"/>
      <c r="U246" s="1" t="n"/>
      <c r="V246" s="1" t="n"/>
      <c r="W246" s="1" t="n"/>
      <c r="X246" s="1" t="n"/>
      <c r="Y246" s="1" t="n"/>
      <c r="Z246" s="1" t="n"/>
      <c r="AA246" s="1" t="n"/>
      <c r="AB246" s="1" t="n"/>
      <c r="AC246" s="1" t="n"/>
      <c r="AD246" s="1" t="n"/>
      <c r="AE246" s="1" t="n"/>
      <c r="AF246" s="1" t="n"/>
      <c r="AG246" s="1" t="n"/>
      <c r="AH246" s="1" t="n"/>
      <c r="AI246" s="1" t="n"/>
      <c r="AJ246" s="1" t="n"/>
    </row>
    <row r="247" ht="15.75" customHeight="1">
      <c r="A247" s="429" t="n"/>
      <c r="B247" s="429" t="n"/>
      <c r="C247" s="429" t="n"/>
      <c r="D247" s="429" t="n"/>
      <c r="E247" s="69" t="inlineStr">
        <is>
          <t>Sakina Youaf Muhammad Yousaf</t>
        </is>
      </c>
      <c r="F247" s="50" t="inlineStr">
        <is>
          <t>Soft Service</t>
        </is>
      </c>
      <c r="G247" s="68" t="n">
        <v>2592719641</v>
      </c>
      <c r="H247" s="460" t="n">
        <v>2592719641</v>
      </c>
      <c r="I247" s="425" t="inlineStr">
        <is>
          <t>Approved</t>
        </is>
      </c>
      <c r="J247" s="496" t="n">
        <v>45964</v>
      </c>
      <c r="K247" s="14" t="inlineStr">
        <is>
          <t>SCC (RENTAL)</t>
        </is>
      </c>
      <c r="L247" s="23" t="inlineStr">
        <is>
          <t>-</t>
        </is>
      </c>
      <c r="N247" s="1" t="n"/>
      <c r="O247" s="1" t="n"/>
      <c r="P247" s="1" t="n"/>
      <c r="Q247" s="1" t="n"/>
      <c r="R247" s="1" t="n"/>
      <c r="S247" s="1" t="n"/>
      <c r="T247" s="1" t="n"/>
      <c r="U247" s="1" t="n"/>
      <c r="V247" s="1" t="n"/>
      <c r="W247" s="1" t="n"/>
      <c r="X247" s="1" t="n"/>
      <c r="Y247" s="1" t="n"/>
      <c r="Z247" s="1" t="n"/>
      <c r="AA247" s="1" t="n"/>
      <c r="AB247" s="1" t="n"/>
      <c r="AC247" s="1" t="n"/>
      <c r="AD247" s="1" t="n"/>
      <c r="AE247" s="1" t="n"/>
      <c r="AF247" s="1" t="n"/>
      <c r="AG247" s="1" t="n"/>
      <c r="AH247" s="1" t="n"/>
      <c r="AI247" s="1" t="n"/>
      <c r="AJ247" s="1" t="n"/>
    </row>
    <row r="248" ht="15.75" customHeight="1">
      <c r="A248" s="429" t="n"/>
      <c r="B248" s="429" t="n"/>
      <c r="C248" s="429" t="n"/>
      <c r="D248" s="429" t="n"/>
      <c r="E248" s="69" t="inlineStr">
        <is>
          <t>Md Ruman</t>
        </is>
      </c>
      <c r="F248" s="50" t="inlineStr">
        <is>
          <t>Soft Service</t>
        </is>
      </c>
      <c r="G248" s="68" t="inlineStr">
        <is>
          <t>S065</t>
        </is>
      </c>
      <c r="H248" s="460" t="n">
        <v>2588709077</v>
      </c>
      <c r="I248" s="425" t="inlineStr">
        <is>
          <t>Approved</t>
        </is>
      </c>
      <c r="J248" s="496" t="n">
        <v>45585</v>
      </c>
      <c r="K248" s="14" t="inlineStr">
        <is>
          <t>SCC (RENTAL)</t>
        </is>
      </c>
      <c r="L248" s="23" t="inlineStr">
        <is>
          <t>-</t>
        </is>
      </c>
      <c r="N248" s="1" t="n"/>
      <c r="O248" s="1" t="n"/>
      <c r="P248" s="1" t="n"/>
      <c r="Q248" s="1" t="n"/>
      <c r="R248" s="1" t="n"/>
      <c r="S248" s="1" t="n"/>
      <c r="T248" s="1" t="n"/>
      <c r="U248" s="1" t="n"/>
      <c r="V248" s="1" t="n"/>
      <c r="W248" s="1" t="n"/>
      <c r="X248" s="1" t="n"/>
      <c r="Y248" s="1" t="n"/>
      <c r="Z248" s="1" t="n"/>
      <c r="AA248" s="1" t="n"/>
      <c r="AB248" s="1" t="n"/>
      <c r="AC248" s="1" t="n"/>
      <c r="AD248" s="1" t="n"/>
      <c r="AE248" s="1" t="n"/>
      <c r="AF248" s="1" t="n"/>
      <c r="AG248" s="1" t="n"/>
      <c r="AH248" s="1" t="n"/>
      <c r="AI248" s="1" t="n"/>
      <c r="AJ248" s="1" t="n"/>
    </row>
    <row r="249" ht="15.75" customHeight="1">
      <c r="A249" s="429" t="n"/>
      <c r="B249" s="429" t="n"/>
      <c r="C249" s="429" t="n"/>
      <c r="D249" s="429" t="n"/>
      <c r="E249" s="69" t="inlineStr">
        <is>
          <t>Md Sumon Molla</t>
        </is>
      </c>
      <c r="F249" s="50" t="inlineStr">
        <is>
          <t>Soft Service</t>
        </is>
      </c>
      <c r="G249" s="68" t="inlineStr">
        <is>
          <t>S062</t>
        </is>
      </c>
      <c r="H249" s="460" t="n">
        <v>2592116202</v>
      </c>
      <c r="I249" s="425" t="inlineStr">
        <is>
          <t>Approved</t>
        </is>
      </c>
      <c r="J249" s="496" t="n">
        <v>45585</v>
      </c>
      <c r="K249" s="14" t="inlineStr">
        <is>
          <t>SCC (RENTAL)</t>
        </is>
      </c>
      <c r="L249" s="23" t="inlineStr">
        <is>
          <t>-</t>
        </is>
      </c>
      <c r="N249" s="1" t="n"/>
      <c r="O249" s="1" t="n"/>
      <c r="P249" s="1" t="n"/>
      <c r="Q249" s="1" t="n"/>
      <c r="R249" s="1" t="n"/>
      <c r="S249" s="1" t="n"/>
      <c r="T249" s="1" t="n"/>
      <c r="U249" s="1" t="n"/>
      <c r="V249" s="1" t="n"/>
      <c r="W249" s="1" t="n"/>
      <c r="X249" s="1" t="n"/>
      <c r="Y249" s="1" t="n"/>
      <c r="Z249" s="1" t="n"/>
      <c r="AA249" s="1" t="n"/>
      <c r="AB249" s="1" t="n"/>
      <c r="AC249" s="1" t="n"/>
      <c r="AD249" s="1" t="n"/>
      <c r="AE249" s="1" t="n"/>
      <c r="AF249" s="1" t="n"/>
      <c r="AG249" s="1" t="n"/>
      <c r="AH249" s="1" t="n"/>
      <c r="AI249" s="1" t="n"/>
      <c r="AJ249" s="1" t="n"/>
    </row>
    <row r="250" ht="15.75" customHeight="1">
      <c r="A250" s="429" t="n"/>
      <c r="B250" s="429" t="n"/>
      <c r="C250" s="429" t="n"/>
      <c r="D250" s="429" t="n"/>
      <c r="E250" s="69" t="inlineStr">
        <is>
          <t>Jowel Rana</t>
        </is>
      </c>
      <c r="F250" s="50" t="inlineStr">
        <is>
          <t>Soft Service</t>
        </is>
      </c>
      <c r="G250" s="68" t="inlineStr">
        <is>
          <t>S359</t>
        </is>
      </c>
      <c r="H250" s="460" t="n">
        <v>2605949664</v>
      </c>
      <c r="I250" s="425" t="inlineStr">
        <is>
          <t>Approved</t>
        </is>
      </c>
      <c r="J250" s="496" t="n">
        <v>45818</v>
      </c>
      <c r="K250" s="14" t="inlineStr">
        <is>
          <t>SCC (RENTAL)</t>
        </is>
      </c>
      <c r="L250" s="23" t="inlineStr">
        <is>
          <t>-</t>
        </is>
      </c>
      <c r="N250" s="1" t="n"/>
      <c r="O250" s="1" t="n"/>
      <c r="P250" s="1" t="n"/>
      <c r="Q250" s="1" t="n"/>
      <c r="R250" s="1" t="n"/>
      <c r="S250" s="1" t="n"/>
      <c r="T250" s="1" t="n"/>
      <c r="U250" s="1" t="n"/>
      <c r="V250" s="1" t="n"/>
      <c r="W250" s="1" t="n"/>
      <c r="X250" s="1" t="n"/>
      <c r="Y250" s="1" t="n"/>
      <c r="Z250" s="1" t="n"/>
      <c r="AA250" s="1" t="n"/>
      <c r="AB250" s="1" t="n"/>
      <c r="AC250" s="1" t="n"/>
      <c r="AD250" s="1" t="n"/>
      <c r="AE250" s="1" t="n"/>
      <c r="AF250" s="1" t="n"/>
      <c r="AG250" s="1" t="n"/>
      <c r="AH250" s="1" t="n"/>
      <c r="AI250" s="1" t="n"/>
      <c r="AJ250" s="1" t="n"/>
    </row>
    <row r="251" ht="15.75" customHeight="1">
      <c r="A251" s="429" t="n"/>
      <c r="B251" s="429" t="n"/>
      <c r="C251" s="429" t="n"/>
      <c r="D251" s="429" t="n"/>
      <c r="E251" s="69" t="inlineStr">
        <is>
          <t>Saidul Islam</t>
        </is>
      </c>
      <c r="F251" s="50" t="inlineStr">
        <is>
          <t>Soft Service</t>
        </is>
      </c>
      <c r="G251" s="68" t="inlineStr">
        <is>
          <t>S360</t>
        </is>
      </c>
      <c r="H251" s="460" t="n">
        <v>2606043699</v>
      </c>
      <c r="I251" s="425" t="inlineStr">
        <is>
          <t>Approved</t>
        </is>
      </c>
      <c r="J251" s="496" t="n">
        <v>45818</v>
      </c>
      <c r="K251" s="14" t="inlineStr">
        <is>
          <t>SCC (RENTAL)</t>
        </is>
      </c>
      <c r="L251" s="23" t="inlineStr">
        <is>
          <t>-</t>
        </is>
      </c>
      <c r="N251" s="1" t="n"/>
      <c r="O251" s="1" t="n"/>
      <c r="P251" s="1" t="n"/>
      <c r="Q251" s="1" t="n"/>
      <c r="R251" s="1" t="n"/>
      <c r="S251" s="1" t="n"/>
      <c r="T251" s="1" t="n"/>
      <c r="U251" s="1" t="n"/>
      <c r="V251" s="1" t="n"/>
      <c r="W251" s="1" t="n"/>
      <c r="X251" s="1" t="n"/>
      <c r="Y251" s="1" t="n"/>
      <c r="Z251" s="1" t="n"/>
      <c r="AA251" s="1" t="n"/>
      <c r="AB251" s="1" t="n"/>
      <c r="AC251" s="1" t="n"/>
      <c r="AD251" s="1" t="n"/>
      <c r="AE251" s="1" t="n"/>
      <c r="AF251" s="1" t="n"/>
      <c r="AG251" s="1" t="n"/>
      <c r="AH251" s="1" t="n"/>
      <c r="AI251" s="1" t="n"/>
      <c r="AJ251" s="1" t="n"/>
    </row>
    <row r="252" ht="15.75" customHeight="1">
      <c r="A252" s="429" t="n"/>
      <c r="B252" s="429" t="n"/>
      <c r="C252" s="429" t="n"/>
      <c r="D252" s="429" t="n"/>
      <c r="E252" s="69" t="inlineStr">
        <is>
          <t>Akluch Mia</t>
        </is>
      </c>
      <c r="F252" s="50" t="inlineStr">
        <is>
          <t>Soft Service</t>
        </is>
      </c>
      <c r="G252" s="68" t="n">
        <v>1278</v>
      </c>
      <c r="H252" s="460" t="n">
        <v>2598538607</v>
      </c>
      <c r="I252" s="425" t="inlineStr">
        <is>
          <t>Approved</t>
        </is>
      </c>
      <c r="J252" s="496" t="n">
        <v>45769</v>
      </c>
      <c r="K252" s="14" t="inlineStr">
        <is>
          <t>UCC( RENTAL)</t>
        </is>
      </c>
      <c r="L252" s="23" t="inlineStr">
        <is>
          <t>-</t>
        </is>
      </c>
      <c r="N252" s="1" t="n"/>
      <c r="O252" s="1" t="n"/>
      <c r="P252" s="1" t="n"/>
      <c r="Q252" s="1" t="n"/>
      <c r="R252" s="1" t="n"/>
      <c r="S252" s="1" t="n"/>
      <c r="T252" s="1" t="n"/>
      <c r="U252" s="1" t="n"/>
      <c r="V252" s="1" t="n"/>
      <c r="W252" s="1" t="n"/>
      <c r="X252" s="1" t="n"/>
      <c r="Y252" s="1" t="n"/>
      <c r="Z252" s="1" t="n"/>
      <c r="AA252" s="1" t="n"/>
      <c r="AB252" s="1" t="n"/>
      <c r="AC252" s="1" t="n"/>
      <c r="AD252" s="1" t="n"/>
      <c r="AE252" s="1" t="n"/>
      <c r="AF252" s="1" t="n"/>
      <c r="AG252" s="1" t="n"/>
      <c r="AH252" s="1" t="n"/>
      <c r="AI252" s="1" t="n"/>
      <c r="AJ252" s="1" t="n"/>
    </row>
    <row r="253" ht="15.75" customHeight="1">
      <c r="A253" s="429" t="n"/>
      <c r="B253" s="429" t="n"/>
      <c r="C253" s="429" t="n"/>
      <c r="D253" s="429" t="n"/>
      <c r="E253" s="30" t="inlineStr">
        <is>
          <t>Beauty Akhter</t>
        </is>
      </c>
      <c r="F253" s="425" t="inlineStr">
        <is>
          <t>Soft Service</t>
        </is>
      </c>
      <c r="G253" s="460" t="inlineStr">
        <is>
          <t>-</t>
        </is>
      </c>
      <c r="H253" s="460" t="n">
        <v>2561837630</v>
      </c>
      <c r="I253" s="425" t="inlineStr">
        <is>
          <t>Approved</t>
        </is>
      </c>
      <c r="J253" s="496" t="n">
        <v>46232</v>
      </c>
      <c r="K253" s="14" t="inlineStr">
        <is>
          <t>-</t>
        </is>
      </c>
      <c r="L253" s="23" t="inlineStr">
        <is>
          <t>-</t>
        </is>
      </c>
      <c r="N253" s="1" t="n"/>
      <c r="O253" s="1" t="n"/>
      <c r="P253" s="1" t="n"/>
      <c r="Q253" s="1" t="n"/>
      <c r="R253" s="1" t="n"/>
      <c r="S253" s="1" t="n"/>
      <c r="T253" s="1" t="n"/>
      <c r="U253" s="1" t="n"/>
      <c r="V253" s="1" t="n"/>
      <c r="W253" s="1" t="n"/>
      <c r="X253" s="1" t="n"/>
      <c r="Y253" s="1" t="n"/>
      <c r="Z253" s="1" t="n"/>
      <c r="AA253" s="1" t="n"/>
      <c r="AB253" s="1" t="n"/>
      <c r="AC253" s="1" t="n"/>
      <c r="AD253" s="1" t="n"/>
      <c r="AE253" s="1" t="n"/>
      <c r="AF253" s="1" t="n"/>
      <c r="AG253" s="1" t="n"/>
      <c r="AH253" s="1" t="n"/>
      <c r="AI253" s="1" t="n"/>
      <c r="AJ253" s="1" t="n"/>
    </row>
    <row r="254" ht="15.75" customHeight="1">
      <c r="A254" s="429" t="n"/>
      <c r="B254" s="429" t="n"/>
      <c r="C254" s="429" t="n"/>
      <c r="D254" s="429" t="n"/>
      <c r="E254" s="69" t="inlineStr">
        <is>
          <t>Parbes Hossin</t>
        </is>
      </c>
      <c r="F254" s="50" t="inlineStr">
        <is>
          <t>Soft Service</t>
        </is>
      </c>
      <c r="G254" s="68" t="n">
        <v>2578822773</v>
      </c>
      <c r="H254" s="460" t="n">
        <v>2578822773</v>
      </c>
      <c r="I254" s="425" t="inlineStr">
        <is>
          <t>Approved</t>
        </is>
      </c>
      <c r="J254" s="496" t="n">
        <v>45937</v>
      </c>
      <c r="K254" s="14" t="inlineStr">
        <is>
          <t>UCC( RENTAL)</t>
        </is>
      </c>
      <c r="L254" s="23" t="inlineStr">
        <is>
          <t>-</t>
        </is>
      </c>
      <c r="N254" s="1" t="n"/>
      <c r="O254" s="1" t="n"/>
      <c r="P254" s="1" t="n"/>
      <c r="Q254" s="1" t="n"/>
      <c r="R254" s="1" t="n"/>
      <c r="S254" s="1" t="n"/>
      <c r="T254" s="1" t="n"/>
      <c r="U254" s="1" t="n"/>
      <c r="V254" s="1" t="n"/>
      <c r="W254" s="1" t="n"/>
      <c r="X254" s="1" t="n"/>
      <c r="Y254" s="1" t="n"/>
      <c r="Z254" s="1" t="n"/>
      <c r="AA254" s="1" t="n"/>
      <c r="AB254" s="1" t="n"/>
      <c r="AC254" s="1" t="n"/>
      <c r="AD254" s="1" t="n"/>
      <c r="AE254" s="1" t="n"/>
      <c r="AF254" s="1" t="n"/>
      <c r="AG254" s="1" t="n"/>
      <c r="AH254" s="1" t="n"/>
      <c r="AI254" s="1" t="n"/>
      <c r="AJ254" s="1" t="n"/>
    </row>
    <row r="255" ht="15.75" customHeight="1">
      <c r="A255" s="429" t="n"/>
      <c r="B255" s="429" t="n"/>
      <c r="C255" s="429" t="n"/>
      <c r="D255" s="429" t="n"/>
      <c r="E255" s="69" t="inlineStr">
        <is>
          <t>Md Elias Ali</t>
        </is>
      </c>
      <c r="F255" s="50" t="inlineStr">
        <is>
          <t>Soft Service</t>
        </is>
      </c>
      <c r="G255" s="68" t="n">
        <v>2621753371</v>
      </c>
      <c r="H255" s="460" t="n">
        <v>2621753371</v>
      </c>
      <c r="I255" s="425" t="inlineStr">
        <is>
          <t>Approved</t>
        </is>
      </c>
      <c r="J255" s="496" t="n">
        <v>45996</v>
      </c>
      <c r="K255" s="14" t="inlineStr">
        <is>
          <t>SCC (RENTAL)</t>
        </is>
      </c>
      <c r="L255" s="23" t="inlineStr">
        <is>
          <t>-</t>
        </is>
      </c>
      <c r="N255" s="1" t="n"/>
      <c r="O255" s="1" t="n"/>
      <c r="P255" s="1" t="n"/>
      <c r="Q255" s="1" t="n"/>
      <c r="R255" s="1" t="n"/>
      <c r="S255" s="1" t="n"/>
      <c r="T255" s="1" t="n"/>
      <c r="U255" s="1" t="n"/>
      <c r="V255" s="1" t="n"/>
      <c r="W255" s="1" t="n"/>
      <c r="X255" s="1" t="n"/>
      <c r="Y255" s="1" t="n"/>
      <c r="Z255" s="1" t="n"/>
      <c r="AA255" s="1" t="n"/>
      <c r="AB255" s="1" t="n"/>
      <c r="AC255" s="1" t="n"/>
      <c r="AD255" s="1" t="n"/>
      <c r="AE255" s="1" t="n"/>
      <c r="AF255" s="1" t="n"/>
      <c r="AG255" s="1" t="n"/>
      <c r="AH255" s="1" t="n"/>
      <c r="AI255" s="1" t="n"/>
      <c r="AJ255" s="1" t="n"/>
    </row>
    <row r="256" ht="15.75" customHeight="1">
      <c r="A256" s="429" t="n"/>
      <c r="B256" s="429" t="n"/>
      <c r="C256" s="429" t="n"/>
      <c r="D256" s="429" t="n"/>
      <c r="E256" s="69" t="inlineStr">
        <is>
          <t>Md Iyasin Mia</t>
        </is>
      </c>
      <c r="F256" s="50" t="inlineStr">
        <is>
          <t>Soft Service</t>
        </is>
      </c>
      <c r="G256" s="68" t="n">
        <v>2621898242</v>
      </c>
      <c r="H256" s="460" t="n">
        <v>2621898242</v>
      </c>
      <c r="I256" s="425" t="inlineStr">
        <is>
          <t>Approved</t>
        </is>
      </c>
      <c r="J256" s="496" t="n">
        <v>45996</v>
      </c>
      <c r="K256" s="14" t="inlineStr">
        <is>
          <t>SCC (RENTAL)</t>
        </is>
      </c>
      <c r="L256" s="23" t="inlineStr">
        <is>
          <t>-</t>
        </is>
      </c>
      <c r="N256" s="1" t="n"/>
      <c r="O256" s="1" t="n"/>
      <c r="P256" s="1" t="n"/>
      <c r="Q256" s="1" t="n"/>
      <c r="R256" s="1" t="n"/>
      <c r="S256" s="1" t="n"/>
      <c r="T256" s="1" t="n"/>
      <c r="U256" s="1" t="n"/>
      <c r="V256" s="1" t="n"/>
      <c r="W256" s="1" t="n"/>
      <c r="X256" s="1" t="n"/>
      <c r="Y256" s="1" t="n"/>
      <c r="Z256" s="1" t="n"/>
      <c r="AA256" s="1" t="n"/>
      <c r="AB256" s="1" t="n"/>
      <c r="AC256" s="1" t="n"/>
      <c r="AD256" s="1" t="n"/>
      <c r="AE256" s="1" t="n"/>
      <c r="AF256" s="1" t="n"/>
      <c r="AG256" s="1" t="n"/>
      <c r="AH256" s="1" t="n"/>
      <c r="AI256" s="1" t="n"/>
      <c r="AJ256" s="1" t="n"/>
    </row>
    <row r="257" ht="15.75" customHeight="1">
      <c r="A257" s="429" t="n"/>
      <c r="B257" s="429" t="n"/>
      <c r="C257" s="429" t="n"/>
      <c r="D257" s="429" t="n"/>
      <c r="E257" s="69" t="inlineStr">
        <is>
          <t>BIKASH - - MANDAL</t>
        </is>
      </c>
      <c r="F257" s="50" t="inlineStr">
        <is>
          <t>Soft Service</t>
        </is>
      </c>
      <c r="G257" s="68" t="inlineStr">
        <is>
          <t>R08555</t>
        </is>
      </c>
      <c r="H257" s="460" t="inlineStr">
        <is>
          <t>2607218225</t>
        </is>
      </c>
      <c r="I257" s="425" t="inlineStr">
        <is>
          <t>Approved</t>
        </is>
      </c>
      <c r="J257" s="496" t="n">
        <v>46041</v>
      </c>
      <c r="K257" s="14" t="inlineStr">
        <is>
          <t>MEHAN (RENTAL)</t>
        </is>
      </c>
      <c r="L257" s="23" t="n"/>
      <c r="N257" s="1" t="n"/>
      <c r="O257" s="1" t="n"/>
      <c r="P257" s="1" t="n"/>
      <c r="Q257" s="1" t="n"/>
      <c r="R257" s="1" t="n"/>
      <c r="S257" s="1" t="n"/>
      <c r="T257" s="1" t="n"/>
      <c r="U257" s="1" t="n"/>
      <c r="V257" s="1" t="n"/>
      <c r="W257" s="1" t="n"/>
      <c r="X257" s="1" t="n"/>
      <c r="Y257" s="1" t="n"/>
      <c r="Z257" s="1" t="n"/>
      <c r="AA257" s="1" t="n"/>
      <c r="AB257" s="1" t="n"/>
      <c r="AC257" s="1" t="n"/>
      <c r="AD257" s="1" t="n"/>
      <c r="AE257" s="1" t="n"/>
      <c r="AF257" s="1" t="n"/>
      <c r="AG257" s="1" t="n"/>
      <c r="AH257" s="1" t="n"/>
      <c r="AI257" s="1" t="n"/>
      <c r="AJ257" s="1" t="n"/>
    </row>
    <row r="258" ht="15.75" customHeight="1">
      <c r="A258" s="429" t="n"/>
      <c r="B258" s="429" t="n"/>
      <c r="C258" s="429" t="n"/>
      <c r="D258" s="429" t="n"/>
      <c r="E258" s="69" t="inlineStr">
        <is>
          <t>Md Rakibul Hasan</t>
        </is>
      </c>
      <c r="F258" s="50" t="inlineStr">
        <is>
          <t>Soft Service</t>
        </is>
      </c>
      <c r="G258" s="68" t="n">
        <v>2624253429</v>
      </c>
      <c r="H258" s="460" t="n">
        <v>2624253429</v>
      </c>
      <c r="I258" s="425" t="inlineStr">
        <is>
          <t>Approved</t>
        </is>
      </c>
      <c r="J258" s="496" t="n">
        <v>46025</v>
      </c>
      <c r="K258" s="14" t="inlineStr">
        <is>
          <t>SCC (RENTAL)</t>
        </is>
      </c>
      <c r="L258" s="23" t="inlineStr">
        <is>
          <t>-</t>
        </is>
      </c>
      <c r="N258" s="1" t="n"/>
      <c r="O258" s="1" t="n"/>
      <c r="P258" s="1" t="n"/>
      <c r="Q258" s="1" t="n"/>
      <c r="R258" s="1" t="n"/>
      <c r="S258" s="1" t="n"/>
      <c r="T258" s="1" t="n"/>
      <c r="U258" s="1" t="n"/>
      <c r="V258" s="1" t="n"/>
      <c r="W258" s="1" t="n"/>
      <c r="X258" s="1" t="n"/>
      <c r="Y258" s="1" t="n"/>
      <c r="Z258" s="1" t="n"/>
      <c r="AA258" s="1" t="n"/>
      <c r="AB258" s="1" t="n"/>
      <c r="AC258" s="1" t="n"/>
      <c r="AD258" s="1" t="n"/>
      <c r="AE258" s="1" t="n"/>
      <c r="AF258" s="1" t="n"/>
      <c r="AG258" s="1" t="n"/>
      <c r="AH258" s="1" t="n"/>
      <c r="AI258" s="1" t="n"/>
      <c r="AJ258" s="1" t="n"/>
    </row>
    <row r="259" ht="15.75" customHeight="1">
      <c r="A259" s="429" t="n"/>
      <c r="B259" s="429" t="n"/>
      <c r="C259" s="429" t="n"/>
      <c r="D259" s="429" t="n"/>
      <c r="E259" s="69" t="inlineStr">
        <is>
          <t>Anil Bishwakarma</t>
        </is>
      </c>
      <c r="F259" s="50" t="inlineStr">
        <is>
          <t>Soft Service</t>
        </is>
      </c>
      <c r="G259" s="68" t="n">
        <v>702536</v>
      </c>
      <c r="H259" s="460" t="n">
        <v>2550605964</v>
      </c>
      <c r="I259" s="425" t="inlineStr">
        <is>
          <t>Approved</t>
        </is>
      </c>
      <c r="J259" s="496" t="n">
        <v>46040</v>
      </c>
      <c r="K259" s="14" t="inlineStr">
        <is>
          <t>FMCO</t>
        </is>
      </c>
      <c r="L259" s="23" t="inlineStr">
        <is>
          <t>-</t>
        </is>
      </c>
      <c r="N259" s="1" t="n"/>
      <c r="O259" s="1" t="n"/>
      <c r="P259" s="1" t="n"/>
      <c r="Q259" s="1" t="n"/>
      <c r="R259" s="1" t="n"/>
      <c r="S259" s="1" t="n"/>
      <c r="T259" s="1" t="n"/>
      <c r="U259" s="1" t="n"/>
      <c r="V259" s="1" t="n"/>
      <c r="W259" s="1" t="n"/>
      <c r="X259" s="1" t="n"/>
      <c r="Y259" s="1" t="n"/>
      <c r="Z259" s="1" t="n"/>
      <c r="AA259" s="1" t="n"/>
      <c r="AB259" s="1" t="n"/>
      <c r="AC259" s="1" t="n"/>
      <c r="AD259" s="1" t="n"/>
      <c r="AE259" s="1" t="n"/>
      <c r="AF259" s="1" t="n"/>
      <c r="AG259" s="1" t="n"/>
      <c r="AH259" s="1" t="n"/>
      <c r="AI259" s="1" t="n"/>
      <c r="AJ259" s="1" t="n"/>
    </row>
    <row r="260" ht="15.75" customHeight="1">
      <c r="A260" s="429" t="n"/>
      <c r="B260" s="429" t="n"/>
      <c r="C260" s="429" t="n"/>
      <c r="D260" s="429" t="n"/>
      <c r="E260" s="69" t="inlineStr">
        <is>
          <t>Sugrim Pasi</t>
        </is>
      </c>
      <c r="F260" s="50" t="inlineStr">
        <is>
          <t>Soft Service</t>
        </is>
      </c>
      <c r="G260" s="68" t="n">
        <v>702727</v>
      </c>
      <c r="H260" s="460" t="n">
        <v>2555957295</v>
      </c>
      <c r="I260" s="425" t="inlineStr">
        <is>
          <t>Approved</t>
        </is>
      </c>
      <c r="J260" s="496" t="n">
        <v>46040</v>
      </c>
      <c r="K260" s="14" t="inlineStr">
        <is>
          <t>FMCO</t>
        </is>
      </c>
      <c r="L260" s="23" t="inlineStr">
        <is>
          <t>-</t>
        </is>
      </c>
      <c r="N260" s="1" t="n"/>
      <c r="O260" s="1" t="n"/>
      <c r="P260" s="1" t="n"/>
      <c r="Q260" s="1" t="n"/>
      <c r="R260" s="1" t="n"/>
      <c r="S260" s="1" t="n"/>
      <c r="T260" s="1" t="n"/>
      <c r="U260" s="1" t="n"/>
      <c r="V260" s="1" t="n"/>
      <c r="W260" s="1" t="n"/>
      <c r="X260" s="1" t="n"/>
      <c r="Y260" s="1" t="n"/>
      <c r="Z260" s="1" t="n"/>
      <c r="AA260" s="1" t="n"/>
      <c r="AB260" s="1" t="n"/>
      <c r="AC260" s="1" t="n"/>
      <c r="AD260" s="1" t="n"/>
      <c r="AE260" s="1" t="n"/>
      <c r="AF260" s="1" t="n"/>
      <c r="AG260" s="1" t="n"/>
      <c r="AH260" s="1" t="n"/>
      <c r="AI260" s="1" t="n"/>
      <c r="AJ260" s="1" t="n"/>
    </row>
    <row r="261" ht="15.75" customHeight="1">
      <c r="A261" s="429" t="n"/>
      <c r="B261" s="429" t="n"/>
      <c r="C261" s="429" t="n"/>
      <c r="D261" s="429" t="n"/>
      <c r="E261" s="69" t="inlineStr">
        <is>
          <t>Naeem   Haphij</t>
        </is>
      </c>
      <c r="F261" s="50" t="inlineStr">
        <is>
          <t>Soft Service</t>
        </is>
      </c>
      <c r="G261" s="68" t="n">
        <v>104713</v>
      </c>
      <c r="H261" s="460" t="n">
        <v>2440444079</v>
      </c>
      <c r="I261" s="425" t="inlineStr">
        <is>
          <t>Approved</t>
        </is>
      </c>
      <c r="J261" s="496" t="n">
        <v>45592</v>
      </c>
      <c r="K261" s="14" t="inlineStr">
        <is>
          <t>MEHAN (RENTAL)</t>
        </is>
      </c>
      <c r="L261" s="23" t="inlineStr">
        <is>
          <t>-</t>
        </is>
      </c>
      <c r="N261" s="1" t="n"/>
      <c r="O261" s="1" t="n"/>
      <c r="P261" s="1" t="n"/>
      <c r="Q261" s="1" t="n"/>
      <c r="R261" s="1" t="n"/>
      <c r="S261" s="1" t="n"/>
      <c r="T261" s="1" t="n"/>
      <c r="U261" s="1" t="n"/>
      <c r="V261" s="1" t="n"/>
      <c r="W261" s="1" t="n"/>
      <c r="X261" s="1" t="n"/>
      <c r="Y261" s="1" t="n"/>
      <c r="Z261" s="1" t="n"/>
      <c r="AA261" s="1" t="n"/>
      <c r="AB261" s="1" t="n"/>
      <c r="AC261" s="1" t="n"/>
      <c r="AD261" s="1" t="n"/>
      <c r="AE261" s="1" t="n"/>
      <c r="AF261" s="1" t="n"/>
      <c r="AG261" s="1" t="n"/>
      <c r="AH261" s="1" t="n"/>
      <c r="AI261" s="1" t="n"/>
      <c r="AJ261" s="1" t="n"/>
    </row>
    <row r="262" ht="15.75" customHeight="1">
      <c r="A262" s="429" t="n"/>
      <c r="B262" s="429" t="n"/>
      <c r="C262" s="429" t="n"/>
      <c r="D262" s="429" t="n"/>
      <c r="E262" s="22" t="inlineStr">
        <is>
          <t>Md Mukter Hossain</t>
        </is>
      </c>
      <c r="F262" s="26" t="inlineStr">
        <is>
          <t>Soft Service</t>
        </is>
      </c>
      <c r="G262" s="27" t="inlineStr">
        <is>
          <t>-</t>
        </is>
      </c>
      <c r="H262" s="19" t="n">
        <v>2618325712</v>
      </c>
      <c r="I262" s="425" t="inlineStr">
        <is>
          <t>Approved</t>
        </is>
      </c>
      <c r="J262" s="496" t="n">
        <v>46199</v>
      </c>
      <c r="K262" s="28" t="inlineStr">
        <is>
          <t>JAWAD AL DUWAIL</t>
        </is>
      </c>
      <c r="L262" s="23" t="inlineStr">
        <is>
          <t>-</t>
        </is>
      </c>
      <c r="N262" s="1" t="n"/>
      <c r="O262" s="1" t="n"/>
      <c r="P262" s="1" t="n"/>
      <c r="Q262" s="1" t="n"/>
      <c r="R262" s="1" t="n"/>
      <c r="S262" s="1" t="n"/>
      <c r="T262" s="1" t="n"/>
      <c r="U262" s="1" t="n"/>
      <c r="V262" s="1" t="n"/>
      <c r="W262" s="1" t="n"/>
      <c r="X262" s="1" t="n"/>
      <c r="Y262" s="1" t="n"/>
      <c r="Z262" s="1" t="n"/>
      <c r="AA262" s="1" t="n"/>
      <c r="AB262" s="1" t="n"/>
      <c r="AC262" s="1" t="n"/>
      <c r="AD262" s="1" t="n"/>
      <c r="AE262" s="1" t="n"/>
      <c r="AF262" s="1" t="n"/>
      <c r="AG262" s="1" t="n"/>
      <c r="AH262" s="1" t="n"/>
      <c r="AI262" s="1" t="n"/>
      <c r="AJ262" s="1" t="n"/>
    </row>
    <row r="263" ht="15.75" customHeight="1">
      <c r="A263" s="429" t="n"/>
      <c r="B263" s="429" t="n"/>
      <c r="C263" s="429" t="n"/>
      <c r="D263" s="429" t="n"/>
      <c r="E263" s="69" t="inlineStr">
        <is>
          <t>Mohammad - - Kaioom</t>
        </is>
      </c>
      <c r="F263" s="50" t="inlineStr">
        <is>
          <t>Soft Service</t>
        </is>
      </c>
      <c r="G263" s="68" t="inlineStr">
        <is>
          <t>R09604</t>
        </is>
      </c>
      <c r="H263" s="460" t="n">
        <v>2616699241</v>
      </c>
      <c r="I263" s="425" t="inlineStr">
        <is>
          <t>Approved</t>
        </is>
      </c>
      <c r="J263" s="496" t="n">
        <v>46041</v>
      </c>
      <c r="K263" s="14" t="inlineStr">
        <is>
          <t>MEHAN (RENTAL)</t>
        </is>
      </c>
      <c r="L263" s="23" t="inlineStr">
        <is>
          <t>-</t>
        </is>
      </c>
      <c r="N263" s="1" t="n"/>
      <c r="O263" s="1" t="n"/>
      <c r="P263" s="1" t="n"/>
      <c r="Q263" s="1" t="n"/>
      <c r="R263" s="1" t="n"/>
      <c r="S263" s="1" t="n"/>
      <c r="T263" s="1" t="n"/>
      <c r="U263" s="1" t="n"/>
      <c r="V263" s="1" t="n"/>
      <c r="W263" s="1" t="n"/>
      <c r="X263" s="1" t="n"/>
      <c r="Y263" s="1" t="n"/>
      <c r="Z263" s="1" t="n"/>
      <c r="AA263" s="1" t="n"/>
      <c r="AB263" s="1" t="n"/>
      <c r="AC263" s="1" t="n"/>
      <c r="AD263" s="1" t="n"/>
      <c r="AE263" s="1" t="n"/>
      <c r="AF263" s="1" t="n"/>
      <c r="AG263" s="1" t="n"/>
      <c r="AH263" s="1" t="n"/>
      <c r="AI263" s="1" t="n"/>
      <c r="AJ263" s="1" t="n"/>
    </row>
    <row r="264" ht="15.75" customHeight="1">
      <c r="A264" s="429" t="n"/>
      <c r="B264" s="429" t="n"/>
      <c r="C264" s="429" t="n"/>
      <c r="D264" s="429" t="n"/>
      <c r="E264" s="69" t="inlineStr">
        <is>
          <t>Hridoy Hasan</t>
        </is>
      </c>
      <c r="F264" s="50" t="inlineStr">
        <is>
          <t>Soft Service</t>
        </is>
      </c>
      <c r="G264" s="68" t="n">
        <v>2619279090</v>
      </c>
      <c r="H264" s="460" t="n">
        <v>2619279090</v>
      </c>
      <c r="I264" s="425" t="inlineStr">
        <is>
          <t>Approved</t>
        </is>
      </c>
      <c r="J264" s="496" t="n">
        <v>46153</v>
      </c>
      <c r="K264" s="14" t="inlineStr">
        <is>
          <t>SCC (RENTAL)</t>
        </is>
      </c>
      <c r="L264" s="23" t="inlineStr">
        <is>
          <t>-</t>
        </is>
      </c>
      <c r="N264" s="1" t="n"/>
      <c r="O264" s="1" t="n"/>
      <c r="P264" s="1" t="n"/>
      <c r="Q264" s="1" t="n"/>
      <c r="R264" s="1" t="n"/>
      <c r="S264" s="1" t="n"/>
      <c r="T264" s="1" t="n"/>
      <c r="U264" s="1" t="n"/>
      <c r="V264" s="1" t="n"/>
      <c r="W264" s="1" t="n"/>
      <c r="X264" s="1" t="n"/>
      <c r="Y264" s="1" t="n"/>
      <c r="Z264" s="1" t="n"/>
      <c r="AA264" s="1" t="n"/>
      <c r="AB264" s="1" t="n"/>
      <c r="AC264" s="1" t="n"/>
      <c r="AD264" s="1" t="n"/>
      <c r="AE264" s="1" t="n"/>
      <c r="AF264" s="1" t="n"/>
      <c r="AG264" s="1" t="n"/>
      <c r="AH264" s="1" t="n"/>
      <c r="AI264" s="1" t="n"/>
      <c r="AJ264" s="1" t="n"/>
    </row>
    <row r="265" ht="15.75" customHeight="1">
      <c r="A265" s="429" t="n"/>
      <c r="B265" s="429" t="n"/>
      <c r="C265" s="429" t="n"/>
      <c r="D265" s="429" t="n"/>
      <c r="E265" s="69" t="inlineStr">
        <is>
          <t>Md Nazir Hossain Gazi</t>
        </is>
      </c>
      <c r="F265" s="50" t="inlineStr">
        <is>
          <t>Soft Service</t>
        </is>
      </c>
      <c r="G265" s="68" t="n">
        <v>2574755555</v>
      </c>
      <c r="H265" s="460" t="n">
        <v>2574755555</v>
      </c>
      <c r="I265" s="425" t="inlineStr">
        <is>
          <t>Approved</t>
        </is>
      </c>
      <c r="J265" s="496" t="n">
        <v>45937</v>
      </c>
      <c r="K265" s="14" t="inlineStr">
        <is>
          <t>UCC( RENTAL)</t>
        </is>
      </c>
      <c r="L265" s="23" t="inlineStr">
        <is>
          <t>-</t>
        </is>
      </c>
      <c r="N265" s="1" t="n"/>
      <c r="O265" s="1" t="n"/>
      <c r="P265" s="1" t="n"/>
      <c r="Q265" s="1" t="n"/>
      <c r="R265" s="1" t="n"/>
      <c r="S265" s="1" t="n"/>
      <c r="T265" s="1" t="n"/>
      <c r="U265" s="1" t="n"/>
      <c r="V265" s="1" t="n"/>
      <c r="W265" s="1" t="n"/>
      <c r="X265" s="1" t="n"/>
      <c r="Y265" s="1" t="n"/>
      <c r="Z265" s="1" t="n"/>
      <c r="AA265" s="1" t="n"/>
      <c r="AB265" s="1" t="n"/>
      <c r="AC265" s="1" t="n"/>
      <c r="AD265" s="1" t="n"/>
      <c r="AE265" s="1" t="n"/>
      <c r="AF265" s="1" t="n"/>
      <c r="AG265" s="1" t="n"/>
      <c r="AH265" s="1" t="n"/>
      <c r="AI265" s="1" t="n"/>
      <c r="AJ265" s="1" t="n"/>
    </row>
    <row r="266" ht="15.75" customHeight="1">
      <c r="A266" s="429" t="n"/>
      <c r="B266" s="429" t="n"/>
      <c r="C266" s="429" t="n"/>
      <c r="D266" s="429" t="n"/>
      <c r="E266" s="69" t="inlineStr">
        <is>
          <t>Balram Ahir</t>
        </is>
      </c>
      <c r="F266" s="50" t="inlineStr">
        <is>
          <t>Soft Service</t>
        </is>
      </c>
      <c r="G266" s="68" t="inlineStr">
        <is>
          <t>S349</t>
        </is>
      </c>
      <c r="H266" s="460" t="n">
        <v>2605352257</v>
      </c>
      <c r="I266" s="425" t="inlineStr">
        <is>
          <t>Approved</t>
        </is>
      </c>
      <c r="J266" s="496" t="n">
        <v>45809</v>
      </c>
      <c r="K266" s="14" t="inlineStr">
        <is>
          <t>SCC (RENTAL)</t>
        </is>
      </c>
      <c r="L266" s="23" t="inlineStr">
        <is>
          <t>-</t>
        </is>
      </c>
      <c r="N266" s="1" t="n"/>
      <c r="O266" s="1" t="n"/>
      <c r="P266" s="1" t="n"/>
      <c r="Q266" s="1" t="n"/>
      <c r="R266" s="1" t="n"/>
      <c r="S266" s="1" t="n"/>
      <c r="T266" s="1" t="n"/>
      <c r="U266" s="1" t="n"/>
      <c r="V266" s="1" t="n"/>
      <c r="W266" s="1" t="n"/>
      <c r="X266" s="1" t="n"/>
      <c r="Y266" s="1" t="n"/>
      <c r="Z266" s="1" t="n"/>
      <c r="AA266" s="1" t="n"/>
      <c r="AB266" s="1" t="n"/>
      <c r="AC266" s="1" t="n"/>
      <c r="AD266" s="1" t="n"/>
      <c r="AE266" s="1" t="n"/>
      <c r="AF266" s="1" t="n"/>
      <c r="AG266" s="1" t="n"/>
      <c r="AH266" s="1" t="n"/>
      <c r="AI266" s="1" t="n"/>
      <c r="AJ266" s="1" t="n"/>
    </row>
    <row r="267" ht="15.75" customHeight="1">
      <c r="A267" s="429" t="n"/>
      <c r="B267" s="429" t="n"/>
      <c r="C267" s="429" t="n"/>
      <c r="D267" s="429" t="n"/>
      <c r="E267" s="69" t="inlineStr">
        <is>
          <t>Shamim Mia</t>
        </is>
      </c>
      <c r="F267" s="50" t="inlineStr">
        <is>
          <t>Soft Service</t>
        </is>
      </c>
      <c r="G267" s="68" t="n">
        <v>2621898101</v>
      </c>
      <c r="H267" s="460" t="n">
        <v>2621898101</v>
      </c>
      <c r="I267" s="425" t="inlineStr">
        <is>
          <t>Approved</t>
        </is>
      </c>
      <c r="J267" s="496" t="n">
        <v>45996</v>
      </c>
      <c r="K267" s="14" t="inlineStr">
        <is>
          <t>SCC (RENTAL)</t>
        </is>
      </c>
      <c r="L267" s="23" t="inlineStr">
        <is>
          <t>-</t>
        </is>
      </c>
      <c r="N267" s="1" t="n"/>
      <c r="O267" s="1" t="n"/>
      <c r="P267" s="1" t="n"/>
      <c r="Q267" s="1" t="n"/>
      <c r="R267" s="1" t="n"/>
      <c r="S267" s="1" t="n"/>
      <c r="T267" s="1" t="n"/>
      <c r="U267" s="1" t="n"/>
      <c r="V267" s="1" t="n"/>
      <c r="W267" s="1" t="n"/>
      <c r="X267" s="1" t="n"/>
      <c r="Y267" s="1" t="n"/>
      <c r="Z267" s="1" t="n"/>
      <c r="AA267" s="1" t="n"/>
      <c r="AB267" s="1" t="n"/>
      <c r="AC267" s="1" t="n"/>
      <c r="AD267" s="1" t="n"/>
      <c r="AE267" s="1" t="n"/>
      <c r="AF267" s="1" t="n"/>
      <c r="AG267" s="1" t="n"/>
      <c r="AH267" s="1" t="n"/>
      <c r="AI267" s="1" t="n"/>
      <c r="AJ267" s="1" t="n"/>
    </row>
    <row r="268" ht="15.75" customHeight="1">
      <c r="A268" s="429" t="n"/>
      <c r="B268" s="429" t="n"/>
      <c r="C268" s="429" t="n"/>
      <c r="D268" s="429" t="n"/>
      <c r="E268" s="69" t="inlineStr">
        <is>
          <t>Shake Naiem</t>
        </is>
      </c>
      <c r="F268" s="50" t="inlineStr">
        <is>
          <t>Soft Service</t>
        </is>
      </c>
      <c r="G268" s="68" t="n">
        <v>2621897921</v>
      </c>
      <c r="H268" s="460" t="n">
        <v>2621897921</v>
      </c>
      <c r="I268" s="425" t="inlineStr">
        <is>
          <t>Approved</t>
        </is>
      </c>
      <c r="J268" s="496" t="n">
        <v>45996</v>
      </c>
      <c r="K268" s="14" t="inlineStr">
        <is>
          <t>SCC (RENTAL)</t>
        </is>
      </c>
      <c r="L268" s="23" t="inlineStr">
        <is>
          <t>-</t>
        </is>
      </c>
      <c r="N268" s="1" t="n"/>
      <c r="O268" s="1" t="n"/>
      <c r="P268" s="1" t="n"/>
      <c r="Q268" s="1" t="n"/>
      <c r="R268" s="1" t="n"/>
      <c r="S268" s="1" t="n"/>
      <c r="T268" s="1" t="n"/>
      <c r="U268" s="1" t="n"/>
      <c r="V268" s="1" t="n"/>
      <c r="W268" s="1" t="n"/>
      <c r="X268" s="1" t="n"/>
      <c r="Y268" s="1" t="n"/>
      <c r="Z268" s="1" t="n"/>
      <c r="AA268" s="1" t="n"/>
      <c r="AB268" s="1" t="n"/>
      <c r="AC268" s="1" t="n"/>
      <c r="AD268" s="1" t="n"/>
      <c r="AE268" s="1" t="n"/>
      <c r="AF268" s="1" t="n"/>
      <c r="AG268" s="1" t="n"/>
      <c r="AH268" s="1" t="n"/>
      <c r="AI268" s="1" t="n"/>
      <c r="AJ268" s="1" t="n"/>
    </row>
    <row r="269" ht="15.75" customHeight="1">
      <c r="A269" s="429" t="n"/>
      <c r="B269" s="429" t="n"/>
      <c r="C269" s="429" t="n"/>
      <c r="D269" s="429" t="n"/>
      <c r="E269" s="69" t="inlineStr">
        <is>
          <t>Md Atikur Rahman</t>
        </is>
      </c>
      <c r="F269" s="50" t="inlineStr">
        <is>
          <t>Soft Service</t>
        </is>
      </c>
      <c r="G269" s="68" t="n">
        <v>2621897590</v>
      </c>
      <c r="H269" s="460" t="n">
        <v>2621897590</v>
      </c>
      <c r="I269" s="425" t="inlineStr">
        <is>
          <t>Approved</t>
        </is>
      </c>
      <c r="J269" s="496" t="n">
        <v>45996</v>
      </c>
      <c r="K269" s="14" t="inlineStr">
        <is>
          <t>SCC (RENTAL)</t>
        </is>
      </c>
      <c r="L269" s="23" t="inlineStr">
        <is>
          <t>-</t>
        </is>
      </c>
      <c r="N269" s="1" t="n"/>
      <c r="O269" s="1" t="n"/>
      <c r="P269" s="1" t="n"/>
      <c r="Q269" s="1" t="n"/>
      <c r="R269" s="1" t="n"/>
      <c r="S269" s="1" t="n"/>
      <c r="T269" s="1" t="n"/>
      <c r="U269" s="1" t="n"/>
      <c r="V269" s="1" t="n"/>
      <c r="W269" s="1" t="n"/>
      <c r="X269" s="1" t="n"/>
      <c r="Y269" s="1" t="n"/>
      <c r="Z269" s="1" t="n"/>
      <c r="AA269" s="1" t="n"/>
      <c r="AB269" s="1" t="n"/>
      <c r="AC269" s="1" t="n"/>
      <c r="AD269" s="1" t="n"/>
      <c r="AE269" s="1" t="n"/>
      <c r="AF269" s="1" t="n"/>
      <c r="AG269" s="1" t="n"/>
      <c r="AH269" s="1" t="n"/>
      <c r="AI269" s="1" t="n"/>
      <c r="AJ269" s="1" t="n"/>
    </row>
    <row r="270" ht="15.75" customHeight="1">
      <c r="A270" s="429" t="n"/>
      <c r="B270" s="429" t="n"/>
      <c r="C270" s="429" t="n"/>
      <c r="D270" s="429" t="n"/>
      <c r="E270" s="69" t="inlineStr">
        <is>
          <t>Suma Akter</t>
        </is>
      </c>
      <c r="F270" s="50" t="inlineStr">
        <is>
          <t>Soft Service</t>
        </is>
      </c>
      <c r="G270" s="68" t="n">
        <v>2612699278</v>
      </c>
      <c r="H270" s="460" t="n">
        <v>2612699278</v>
      </c>
      <c r="I270" s="425" t="inlineStr">
        <is>
          <t>Approved</t>
        </is>
      </c>
      <c r="J270" s="496" t="n">
        <v>46183</v>
      </c>
      <c r="K270" s="14" t="inlineStr">
        <is>
          <t>AB-HOOR RENTAL</t>
        </is>
      </c>
      <c r="L270" s="23" t="inlineStr">
        <is>
          <t>-</t>
        </is>
      </c>
      <c r="N270" s="1" t="n"/>
      <c r="O270" s="1" t="n"/>
      <c r="P270" s="1" t="n"/>
      <c r="Q270" s="1" t="n"/>
      <c r="R270" s="1" t="n"/>
      <c r="S270" s="1" t="n"/>
      <c r="T270" s="1" t="n"/>
      <c r="U270" s="1" t="n"/>
      <c r="V270" s="1" t="n"/>
      <c r="W270" s="1" t="n"/>
      <c r="X270" s="1" t="n"/>
      <c r="Y270" s="1" t="n"/>
      <c r="Z270" s="1" t="n"/>
      <c r="AA270" s="1" t="n"/>
      <c r="AB270" s="1" t="n"/>
      <c r="AC270" s="1" t="n"/>
      <c r="AD270" s="1" t="n"/>
      <c r="AE270" s="1" t="n"/>
      <c r="AF270" s="1" t="n"/>
      <c r="AG270" s="1" t="n"/>
      <c r="AH270" s="1" t="n"/>
      <c r="AI270" s="1" t="n"/>
      <c r="AJ270" s="1" t="n"/>
    </row>
    <row r="271" ht="15.75" customHeight="1">
      <c r="A271" s="429" t="n"/>
      <c r="B271" s="429" t="n"/>
      <c r="C271" s="429" t="n"/>
      <c r="D271" s="429" t="n"/>
      <c r="E271" s="69" t="inlineStr">
        <is>
          <t>Md Hanifa</t>
        </is>
      </c>
      <c r="F271" s="50" t="inlineStr">
        <is>
          <t>Soft Service</t>
        </is>
      </c>
      <c r="G271" s="68" t="n">
        <v>2637007879</v>
      </c>
      <c r="H271" s="68" t="n">
        <v>2637007879</v>
      </c>
      <c r="I271" s="425" t="inlineStr">
        <is>
          <t>Approved</t>
        </is>
      </c>
      <c r="J271" s="496" t="n">
        <v>46184</v>
      </c>
      <c r="K271" s="14" t="inlineStr">
        <is>
          <t>UCC( RENTAL)</t>
        </is>
      </c>
      <c r="L271" s="23" t="inlineStr">
        <is>
          <t>-</t>
        </is>
      </c>
      <c r="N271" s="1" t="n"/>
      <c r="O271" s="1" t="n"/>
      <c r="P271" s="1" t="n"/>
      <c r="Q271" s="1" t="n"/>
      <c r="R271" s="1" t="n"/>
      <c r="S271" s="1" t="n"/>
      <c r="T271" s="1" t="n"/>
      <c r="U271" s="1" t="n"/>
      <c r="V271" s="1" t="n"/>
      <c r="W271" s="1" t="n"/>
      <c r="X271" s="1" t="n"/>
      <c r="Y271" s="1" t="n"/>
      <c r="Z271" s="1" t="n"/>
      <c r="AA271" s="1" t="n"/>
      <c r="AB271" s="1" t="n"/>
      <c r="AC271" s="1" t="n"/>
      <c r="AD271" s="1" t="n"/>
      <c r="AE271" s="1" t="n"/>
      <c r="AF271" s="1" t="n"/>
      <c r="AG271" s="1" t="n"/>
      <c r="AH271" s="1" t="n"/>
      <c r="AI271" s="1" t="n"/>
      <c r="AJ271" s="1" t="n"/>
    </row>
    <row r="272" ht="15.75" customHeight="1">
      <c r="A272" s="429" t="n"/>
      <c r="B272" s="429" t="n"/>
      <c r="C272" s="429" t="n"/>
      <c r="D272" s="429" t="n"/>
      <c r="E272" s="69" t="inlineStr">
        <is>
          <t>Md. Sultan Shaikh</t>
        </is>
      </c>
      <c r="F272" s="50" t="inlineStr">
        <is>
          <t>Soft Service</t>
        </is>
      </c>
      <c r="G272" s="68" t="n">
        <v>2621753959</v>
      </c>
      <c r="H272" s="460" t="n">
        <v>2621753959</v>
      </c>
      <c r="I272" s="425" t="inlineStr">
        <is>
          <t>Approved</t>
        </is>
      </c>
      <c r="J272" s="496" t="n">
        <v>45996</v>
      </c>
      <c r="K272" s="14" t="inlineStr">
        <is>
          <t>SCC (RENTAL)</t>
        </is>
      </c>
      <c r="L272" s="23" t="inlineStr">
        <is>
          <t>-</t>
        </is>
      </c>
      <c r="N272" s="1" t="n"/>
      <c r="O272" s="1" t="n"/>
      <c r="P272" s="1" t="n"/>
      <c r="Q272" s="1" t="n"/>
      <c r="R272" s="1" t="n"/>
      <c r="S272" s="1" t="n"/>
      <c r="T272" s="1" t="n"/>
      <c r="U272" s="1" t="n"/>
      <c r="V272" s="1" t="n"/>
      <c r="W272" s="1" t="n"/>
      <c r="X272" s="1" t="n"/>
      <c r="Y272" s="1" t="n"/>
      <c r="Z272" s="1" t="n"/>
      <c r="AA272" s="1" t="n"/>
      <c r="AB272" s="1" t="n"/>
      <c r="AC272" s="1" t="n"/>
      <c r="AD272" s="1" t="n"/>
      <c r="AE272" s="1" t="n"/>
      <c r="AF272" s="1" t="n"/>
      <c r="AG272" s="1" t="n"/>
      <c r="AH272" s="1" t="n"/>
      <c r="AI272" s="1" t="n"/>
      <c r="AJ272" s="1" t="n"/>
    </row>
    <row r="273" ht="15.75" customHeight="1">
      <c r="A273" s="429" t="n"/>
      <c r="B273" s="429" t="n"/>
      <c r="C273" s="429" t="n"/>
      <c r="D273" s="429" t="n"/>
      <c r="E273" s="284" t="inlineStr">
        <is>
          <t>MD MAHIR JISAN</t>
        </is>
      </c>
      <c r="F273" s="425" t="inlineStr">
        <is>
          <t>Soft Service</t>
        </is>
      </c>
      <c r="G273" s="460" t="inlineStr">
        <is>
          <t>-</t>
        </is>
      </c>
      <c r="H273" s="460" t="inlineStr">
        <is>
          <t>-</t>
        </is>
      </c>
      <c r="I273" s="425" t="inlineStr">
        <is>
          <t>Approved</t>
        </is>
      </c>
      <c r="J273" s="496" t="n">
        <v>46246</v>
      </c>
      <c r="K273" s="14" t="inlineStr">
        <is>
          <t>-</t>
        </is>
      </c>
      <c r="L273" s="23" t="inlineStr">
        <is>
          <t>-</t>
        </is>
      </c>
      <c r="N273" s="1" t="n"/>
      <c r="O273" s="1" t="n"/>
      <c r="P273" s="1" t="n"/>
      <c r="Q273" s="1" t="n"/>
      <c r="R273" s="1" t="n"/>
      <c r="S273" s="1" t="n"/>
      <c r="T273" s="1" t="n"/>
      <c r="U273" s="1" t="n"/>
      <c r="V273" s="1" t="n"/>
      <c r="W273" s="1" t="n"/>
      <c r="X273" s="1" t="n"/>
      <c r="Y273" s="1" t="n"/>
      <c r="Z273" s="1" t="n"/>
      <c r="AA273" s="1" t="n"/>
      <c r="AB273" s="1" t="n"/>
      <c r="AC273" s="1" t="n"/>
      <c r="AD273" s="1" t="n"/>
      <c r="AE273" s="1" t="n"/>
      <c r="AF273" s="1" t="n"/>
      <c r="AG273" s="1" t="n"/>
      <c r="AH273" s="1" t="n"/>
      <c r="AI273" s="1" t="n"/>
      <c r="AJ273" s="1" t="n"/>
    </row>
    <row r="274" ht="15.75" customHeight="1">
      <c r="A274" s="429" t="n"/>
      <c r="B274" s="429" t="n"/>
      <c r="C274" s="429" t="n"/>
      <c r="D274" s="429" t="n"/>
      <c r="E274" s="284" t="inlineStr">
        <is>
          <t>SOHRAB HOSSAIN FAHAD</t>
        </is>
      </c>
      <c r="F274" s="425" t="inlineStr">
        <is>
          <t>Soft Service</t>
        </is>
      </c>
      <c r="G274" s="460" t="inlineStr">
        <is>
          <t>-</t>
        </is>
      </c>
      <c r="H274" s="460" t="inlineStr">
        <is>
          <t>-</t>
        </is>
      </c>
      <c r="I274" s="425" t="inlineStr">
        <is>
          <t>Approved</t>
        </is>
      </c>
      <c r="J274" s="496" t="n">
        <v>46246</v>
      </c>
      <c r="K274" s="14" t="inlineStr">
        <is>
          <t>-</t>
        </is>
      </c>
      <c r="L274" s="23" t="inlineStr">
        <is>
          <t>-</t>
        </is>
      </c>
      <c r="N274" s="1" t="n"/>
      <c r="O274" s="1" t="n"/>
      <c r="P274" s="1" t="n"/>
      <c r="Q274" s="1" t="n"/>
      <c r="R274" s="1" t="n"/>
      <c r="S274" s="1" t="n"/>
      <c r="T274" s="1" t="n"/>
      <c r="U274" s="1" t="n"/>
      <c r="V274" s="1" t="n"/>
      <c r="W274" s="1" t="n"/>
      <c r="X274" s="1" t="n"/>
      <c r="Y274" s="1" t="n"/>
      <c r="Z274" s="1" t="n"/>
      <c r="AA274" s="1" t="n"/>
      <c r="AB274" s="1" t="n"/>
      <c r="AC274" s="1" t="n"/>
      <c r="AD274" s="1" t="n"/>
      <c r="AE274" s="1" t="n"/>
      <c r="AF274" s="1" t="n"/>
      <c r="AG274" s="1" t="n"/>
      <c r="AH274" s="1" t="n"/>
      <c r="AI274" s="1" t="n"/>
      <c r="AJ274" s="1" t="n"/>
    </row>
    <row r="275" ht="15.75" customHeight="1">
      <c r="A275" s="429" t="n"/>
      <c r="B275" s="429" t="n"/>
      <c r="C275" s="429" t="n"/>
      <c r="D275" s="429" t="n"/>
      <c r="E275" s="284" t="inlineStr">
        <is>
          <t>ASAD ULLAH</t>
        </is>
      </c>
      <c r="F275" s="425" t="inlineStr">
        <is>
          <t>Soft Service</t>
        </is>
      </c>
      <c r="G275" s="460" t="inlineStr">
        <is>
          <t>-</t>
        </is>
      </c>
      <c r="H275" s="460" t="inlineStr">
        <is>
          <t>-</t>
        </is>
      </c>
      <c r="I275" s="425" t="inlineStr">
        <is>
          <t>Approved</t>
        </is>
      </c>
      <c r="J275" s="496" t="n">
        <v>46246</v>
      </c>
      <c r="K275" s="14" t="inlineStr">
        <is>
          <t>-</t>
        </is>
      </c>
      <c r="L275" s="23" t="inlineStr">
        <is>
          <t>-</t>
        </is>
      </c>
      <c r="N275" s="1" t="n"/>
      <c r="O275" s="1" t="n"/>
      <c r="P275" s="1" t="n"/>
      <c r="Q275" s="1" t="n"/>
      <c r="R275" s="1" t="n"/>
      <c r="S275" s="1" t="n"/>
      <c r="T275" s="1" t="n"/>
      <c r="U275" s="1" t="n"/>
      <c r="V275" s="1" t="n"/>
      <c r="W275" s="1" t="n"/>
      <c r="X275" s="1" t="n"/>
      <c r="Y275" s="1" t="n"/>
      <c r="Z275" s="1" t="n"/>
      <c r="AA275" s="1" t="n"/>
      <c r="AB275" s="1" t="n"/>
      <c r="AC275" s="1" t="n"/>
      <c r="AD275" s="1" t="n"/>
      <c r="AE275" s="1" t="n"/>
      <c r="AF275" s="1" t="n"/>
      <c r="AG275" s="1" t="n"/>
      <c r="AH275" s="1" t="n"/>
      <c r="AI275" s="1" t="n"/>
      <c r="AJ275" s="1" t="n"/>
    </row>
    <row r="276" ht="15.75" customHeight="1">
      <c r="A276" s="429" t="n"/>
      <c r="B276" s="429" t="n"/>
      <c r="C276" s="429" t="n"/>
      <c r="D276" s="429" t="n"/>
      <c r="E276" s="284" t="inlineStr">
        <is>
          <t>Goni Osman</t>
        </is>
      </c>
      <c r="F276" s="425" t="inlineStr">
        <is>
          <t>Soft Service</t>
        </is>
      </c>
      <c r="G276" s="460" t="inlineStr">
        <is>
          <t>-</t>
        </is>
      </c>
      <c r="H276" s="460" t="inlineStr">
        <is>
          <t>-</t>
        </is>
      </c>
      <c r="I276" s="425" t="inlineStr">
        <is>
          <t>Approved</t>
        </is>
      </c>
      <c r="J276" s="496" t="n">
        <v>46246</v>
      </c>
      <c r="K276" s="14" t="inlineStr">
        <is>
          <t>-</t>
        </is>
      </c>
      <c r="L276" s="23" t="inlineStr">
        <is>
          <t>-</t>
        </is>
      </c>
      <c r="N276" s="1" t="n"/>
      <c r="O276" s="1" t="n"/>
      <c r="P276" s="1" t="n"/>
      <c r="Q276" s="1" t="n"/>
      <c r="R276" s="1" t="n"/>
      <c r="S276" s="1" t="n"/>
      <c r="T276" s="1" t="n"/>
      <c r="U276" s="1" t="n"/>
      <c r="V276" s="1" t="n"/>
      <c r="W276" s="1" t="n"/>
      <c r="X276" s="1" t="n"/>
      <c r="Y276" s="1" t="n"/>
      <c r="Z276" s="1" t="n"/>
      <c r="AA276" s="1" t="n"/>
      <c r="AB276" s="1" t="n"/>
      <c r="AC276" s="1" t="n"/>
      <c r="AD276" s="1" t="n"/>
      <c r="AE276" s="1" t="n"/>
      <c r="AF276" s="1" t="n"/>
      <c r="AG276" s="1" t="n"/>
      <c r="AH276" s="1" t="n"/>
      <c r="AI276" s="1" t="n"/>
      <c r="AJ276" s="1" t="n"/>
    </row>
    <row r="277" ht="15.75" customHeight="1">
      <c r="A277" s="429" t="n"/>
      <c r="B277" s="429" t="n"/>
      <c r="C277" s="429" t="n"/>
      <c r="D277" s="429" t="n"/>
      <c r="E277" s="284" t="inlineStr">
        <is>
          <t>IMAM HASAN</t>
        </is>
      </c>
      <c r="F277" s="425" t="inlineStr">
        <is>
          <t>Soft Service</t>
        </is>
      </c>
      <c r="G277" s="460" t="inlineStr">
        <is>
          <t>-</t>
        </is>
      </c>
      <c r="H277" s="460" t="inlineStr">
        <is>
          <t>-</t>
        </is>
      </c>
      <c r="I277" s="425" t="inlineStr">
        <is>
          <t>Approved</t>
        </is>
      </c>
      <c r="J277" s="496" t="n">
        <v>46246</v>
      </c>
      <c r="K277" s="14" t="inlineStr">
        <is>
          <t>-</t>
        </is>
      </c>
      <c r="L277" s="23" t="inlineStr">
        <is>
          <t>-</t>
        </is>
      </c>
      <c r="N277" s="1" t="n"/>
      <c r="O277" s="1" t="n"/>
      <c r="P277" s="1" t="n"/>
      <c r="Q277" s="1" t="n"/>
      <c r="R277" s="1" t="n"/>
      <c r="S277" s="1" t="n"/>
      <c r="T277" s="1" t="n"/>
      <c r="U277" s="1" t="n"/>
      <c r="V277" s="1" t="n"/>
      <c r="W277" s="1" t="n"/>
      <c r="X277" s="1" t="n"/>
      <c r="Y277" s="1" t="n"/>
      <c r="Z277" s="1" t="n"/>
      <c r="AA277" s="1" t="n"/>
      <c r="AB277" s="1" t="n"/>
      <c r="AC277" s="1" t="n"/>
      <c r="AD277" s="1" t="n"/>
      <c r="AE277" s="1" t="n"/>
      <c r="AF277" s="1" t="n"/>
      <c r="AG277" s="1" t="n"/>
      <c r="AH277" s="1" t="n"/>
      <c r="AI277" s="1" t="n"/>
      <c r="AJ277" s="1" t="n"/>
    </row>
    <row r="278" ht="15.75" customHeight="1">
      <c r="A278" s="429" t="n"/>
      <c r="B278" s="429" t="n"/>
      <c r="C278" s="429" t="n"/>
      <c r="D278" s="429" t="n"/>
      <c r="E278" s="284" t="inlineStr">
        <is>
          <t>MEHEDI HASAN</t>
        </is>
      </c>
      <c r="F278" s="425" t="inlineStr">
        <is>
          <t>Soft Service</t>
        </is>
      </c>
      <c r="G278" s="460" t="inlineStr">
        <is>
          <t>-</t>
        </is>
      </c>
      <c r="H278" s="460" t="inlineStr">
        <is>
          <t>-</t>
        </is>
      </c>
      <c r="I278" s="425" t="inlineStr">
        <is>
          <t>Approved</t>
        </is>
      </c>
      <c r="J278" s="496" t="n">
        <v>46246</v>
      </c>
      <c r="K278" s="14" t="inlineStr">
        <is>
          <t>-</t>
        </is>
      </c>
      <c r="L278" s="23" t="inlineStr">
        <is>
          <t>-</t>
        </is>
      </c>
      <c r="N278" s="1" t="n"/>
      <c r="O278" s="1" t="n"/>
      <c r="P278" s="1" t="n"/>
      <c r="Q278" s="1" t="n"/>
      <c r="R278" s="1" t="n"/>
      <c r="S278" s="1" t="n"/>
      <c r="T278" s="1" t="n"/>
      <c r="U278" s="1" t="n"/>
      <c r="V278" s="1" t="n"/>
      <c r="W278" s="1" t="n"/>
      <c r="X278" s="1" t="n"/>
      <c r="Y278" s="1" t="n"/>
      <c r="Z278" s="1" t="n"/>
      <c r="AA278" s="1" t="n"/>
      <c r="AB278" s="1" t="n"/>
      <c r="AC278" s="1" t="n"/>
      <c r="AD278" s="1" t="n"/>
      <c r="AE278" s="1" t="n"/>
      <c r="AF278" s="1" t="n"/>
      <c r="AG278" s="1" t="n"/>
      <c r="AH278" s="1" t="n"/>
      <c r="AI278" s="1" t="n"/>
      <c r="AJ278" s="1" t="n"/>
    </row>
    <row r="279" ht="15.75" customHeight="1">
      <c r="A279" s="429" t="n"/>
      <c r="B279" s="429" t="n"/>
      <c r="C279" s="429" t="n"/>
      <c r="D279" s="429" t="n"/>
      <c r="E279" s="284" t="inlineStr">
        <is>
          <t>MD SAMSUL ISLAM</t>
        </is>
      </c>
      <c r="F279" s="425" t="inlineStr">
        <is>
          <t>Soft Service</t>
        </is>
      </c>
      <c r="G279" s="460" t="inlineStr">
        <is>
          <t>-</t>
        </is>
      </c>
      <c r="H279" s="460" t="inlineStr">
        <is>
          <t>-</t>
        </is>
      </c>
      <c r="I279" s="425" t="inlineStr">
        <is>
          <t>Approved</t>
        </is>
      </c>
      <c r="J279" s="496" t="n">
        <v>46246</v>
      </c>
      <c r="K279" s="14" t="inlineStr">
        <is>
          <t>-</t>
        </is>
      </c>
      <c r="L279" s="23" t="inlineStr">
        <is>
          <t>-</t>
        </is>
      </c>
      <c r="N279" s="1" t="n"/>
      <c r="O279" s="1" t="n"/>
      <c r="P279" s="1" t="n"/>
      <c r="Q279" s="1" t="n"/>
      <c r="R279" s="1" t="n"/>
      <c r="S279" s="1" t="n"/>
      <c r="T279" s="1" t="n"/>
      <c r="U279" s="1" t="n"/>
      <c r="V279" s="1" t="n"/>
      <c r="W279" s="1" t="n"/>
      <c r="X279" s="1" t="n"/>
      <c r="Y279" s="1" t="n"/>
      <c r="Z279" s="1" t="n"/>
      <c r="AA279" s="1" t="n"/>
      <c r="AB279" s="1" t="n"/>
      <c r="AC279" s="1" t="n"/>
      <c r="AD279" s="1" t="n"/>
      <c r="AE279" s="1" t="n"/>
      <c r="AF279" s="1" t="n"/>
      <c r="AG279" s="1" t="n"/>
      <c r="AH279" s="1" t="n"/>
      <c r="AI279" s="1" t="n"/>
      <c r="AJ279" s="1" t="n"/>
    </row>
    <row r="280" ht="15.75" customHeight="1">
      <c r="A280" s="429" t="n"/>
      <c r="B280" s="429" t="n"/>
      <c r="C280" s="429" t="n"/>
      <c r="D280" s="429" t="n"/>
      <c r="E280" s="284" t="inlineStr">
        <is>
          <t>ARAFAT</t>
        </is>
      </c>
      <c r="F280" s="425" t="inlineStr">
        <is>
          <t>Soft Service</t>
        </is>
      </c>
      <c r="G280" s="460" t="inlineStr">
        <is>
          <t>-</t>
        </is>
      </c>
      <c r="H280" s="460" t="inlineStr">
        <is>
          <t>-</t>
        </is>
      </c>
      <c r="I280" s="425" t="inlineStr">
        <is>
          <t>Approved</t>
        </is>
      </c>
      <c r="J280" s="496" t="n">
        <v>46246</v>
      </c>
      <c r="K280" s="14" t="inlineStr">
        <is>
          <t>-</t>
        </is>
      </c>
      <c r="L280" s="23" t="inlineStr">
        <is>
          <t>-</t>
        </is>
      </c>
      <c r="N280" s="1" t="n"/>
      <c r="O280" s="1" t="n"/>
      <c r="P280" s="1" t="n"/>
      <c r="Q280" s="1" t="n"/>
      <c r="R280" s="1" t="n"/>
      <c r="S280" s="1" t="n"/>
      <c r="T280" s="1" t="n"/>
      <c r="U280" s="1" t="n"/>
      <c r="V280" s="1" t="n"/>
      <c r="W280" s="1" t="n"/>
      <c r="X280" s="1" t="n"/>
      <c r="Y280" s="1" t="n"/>
      <c r="Z280" s="1" t="n"/>
      <c r="AA280" s="1" t="n"/>
      <c r="AB280" s="1" t="n"/>
      <c r="AC280" s="1" t="n"/>
      <c r="AD280" s="1" t="n"/>
      <c r="AE280" s="1" t="n"/>
      <c r="AF280" s="1" t="n"/>
      <c r="AG280" s="1" t="n"/>
      <c r="AH280" s="1" t="n"/>
      <c r="AI280" s="1" t="n"/>
      <c r="AJ280" s="1" t="n"/>
    </row>
    <row r="281" ht="15.75" customHeight="1">
      <c r="A281" s="429" t="n"/>
      <c r="B281" s="429" t="n"/>
      <c r="C281" s="429" t="n"/>
      <c r="D281" s="429" t="n"/>
      <c r="E281" s="284" t="inlineStr">
        <is>
          <t>MARUYAN</t>
        </is>
      </c>
      <c r="F281" s="425" t="inlineStr">
        <is>
          <t>Soft Service</t>
        </is>
      </c>
      <c r="G281" s="460" t="inlineStr">
        <is>
          <t>-</t>
        </is>
      </c>
      <c r="H281" s="460" t="inlineStr">
        <is>
          <t>-</t>
        </is>
      </c>
      <c r="I281" s="425" t="inlineStr">
        <is>
          <t>Approved</t>
        </is>
      </c>
      <c r="J281" s="496" t="n">
        <v>46246</v>
      </c>
      <c r="K281" s="14" t="inlineStr">
        <is>
          <t>-</t>
        </is>
      </c>
      <c r="L281" s="23" t="inlineStr">
        <is>
          <t>-</t>
        </is>
      </c>
      <c r="N281" s="1" t="n"/>
      <c r="O281" s="1" t="n"/>
      <c r="P281" s="1" t="n"/>
      <c r="Q281" s="1" t="n"/>
      <c r="R281" s="1" t="n"/>
      <c r="S281" s="1" t="n"/>
      <c r="T281" s="1" t="n"/>
      <c r="U281" s="1" t="n"/>
      <c r="V281" s="1" t="n"/>
      <c r="W281" s="1" t="n"/>
      <c r="X281" s="1" t="n"/>
      <c r="Y281" s="1" t="n"/>
      <c r="Z281" s="1" t="n"/>
      <c r="AA281" s="1" t="n"/>
      <c r="AB281" s="1" t="n"/>
      <c r="AC281" s="1" t="n"/>
      <c r="AD281" s="1" t="n"/>
      <c r="AE281" s="1" t="n"/>
      <c r="AF281" s="1" t="n"/>
      <c r="AG281" s="1" t="n"/>
      <c r="AH281" s="1" t="n"/>
      <c r="AI281" s="1" t="n"/>
      <c r="AJ281" s="1" t="n"/>
    </row>
    <row r="282" ht="15.75" customHeight="1">
      <c r="A282" s="429" t="n"/>
      <c r="B282" s="429" t="n"/>
      <c r="C282" s="429" t="n"/>
      <c r="D282" s="429" t="n"/>
      <c r="E282" s="284" t="inlineStr">
        <is>
          <t>RUBEL</t>
        </is>
      </c>
      <c r="F282" s="425" t="inlineStr">
        <is>
          <t>Soft Service</t>
        </is>
      </c>
      <c r="G282" s="460" t="inlineStr">
        <is>
          <t>-</t>
        </is>
      </c>
      <c r="H282" s="460" t="inlineStr">
        <is>
          <t>-</t>
        </is>
      </c>
      <c r="I282" s="425" t="inlineStr">
        <is>
          <t>Approved</t>
        </is>
      </c>
      <c r="J282" s="496" t="inlineStr">
        <is>
          <t>26/08/2026</t>
        </is>
      </c>
      <c r="K282" s="14" t="inlineStr">
        <is>
          <t>-</t>
        </is>
      </c>
      <c r="L282" s="23" t="inlineStr">
        <is>
          <t>-</t>
        </is>
      </c>
      <c r="N282" s="1" t="n"/>
      <c r="O282" s="1" t="n"/>
      <c r="P282" s="1" t="n"/>
      <c r="Q282" s="1" t="n"/>
      <c r="R282" s="1" t="n"/>
      <c r="S282" s="1" t="n"/>
      <c r="T282" s="1" t="n"/>
      <c r="U282" s="1" t="n"/>
      <c r="V282" s="1" t="n"/>
      <c r="W282" s="1" t="n"/>
      <c r="X282" s="1" t="n"/>
      <c r="Y282" s="1" t="n"/>
      <c r="Z282" s="1" t="n"/>
      <c r="AA282" s="1" t="n"/>
      <c r="AB282" s="1" t="n"/>
      <c r="AC282" s="1" t="n"/>
      <c r="AD282" s="1" t="n"/>
      <c r="AE282" s="1" t="n"/>
      <c r="AF282" s="1" t="n"/>
      <c r="AG282" s="1" t="n"/>
      <c r="AH282" s="1" t="n"/>
      <c r="AI282" s="1" t="n"/>
      <c r="AJ282" s="1" t="n"/>
    </row>
    <row r="283" ht="15.75" customHeight="1">
      <c r="A283" s="445" t="inlineStr">
        <is>
          <t>Litter Picker Supervisor</t>
        </is>
      </c>
      <c r="B283" s="440" t="n">
        <v>2</v>
      </c>
      <c r="C283" s="440">
        <f>COUNTIF(E283:E284,"&lt;&gt;")</f>
        <v/>
      </c>
      <c r="D283" s="441">
        <f>C283-B283</f>
        <v/>
      </c>
      <c r="E283" s="15" t="n"/>
      <c r="F283" s="50" t="inlineStr">
        <is>
          <t>Soft Service</t>
        </is>
      </c>
      <c r="G283" s="68" t="inlineStr">
        <is>
          <t>-</t>
        </is>
      </c>
      <c r="H283" s="460" t="inlineStr">
        <is>
          <t>-</t>
        </is>
      </c>
      <c r="I283" s="425" t="inlineStr">
        <is>
          <t>Vacant</t>
        </is>
      </c>
      <c r="J283" s="499" t="n"/>
      <c r="K283" s="14" t="inlineStr">
        <is>
          <t>-</t>
        </is>
      </c>
      <c r="L283" s="23" t="inlineStr">
        <is>
          <t>-</t>
        </is>
      </c>
      <c r="N283" s="1" t="n"/>
      <c r="O283" s="1" t="n"/>
      <c r="P283" s="1" t="n"/>
      <c r="Q283" s="1" t="n"/>
      <c r="R283" s="1" t="n"/>
      <c r="S283" s="1" t="n"/>
      <c r="T283" s="1" t="n"/>
      <c r="U283" s="1" t="n"/>
      <c r="V283" s="1" t="n"/>
      <c r="W283" s="1" t="n"/>
      <c r="X283" s="1" t="n"/>
      <c r="Y283" s="1" t="n"/>
      <c r="Z283" s="1" t="n"/>
      <c r="AA283" s="1" t="n"/>
      <c r="AB283" s="1" t="n"/>
      <c r="AC283" s="1" t="n"/>
      <c r="AD283" s="1" t="n"/>
      <c r="AE283" s="1" t="n"/>
      <c r="AF283" s="1" t="n"/>
      <c r="AG283" s="1" t="n"/>
      <c r="AH283" s="1" t="n"/>
      <c r="AI283" s="1" t="n"/>
      <c r="AJ283" s="1" t="n"/>
    </row>
    <row r="284" ht="15.75" customHeight="1">
      <c r="A284" s="431" t="n"/>
      <c r="B284" s="431" t="n"/>
      <c r="C284" s="431" t="n"/>
      <c r="D284" s="431" t="n"/>
      <c r="E284" s="15" t="n"/>
      <c r="F284" s="50" t="inlineStr">
        <is>
          <t>Soft Service</t>
        </is>
      </c>
      <c r="G284" s="68" t="inlineStr">
        <is>
          <t>-</t>
        </is>
      </c>
      <c r="H284" s="460" t="inlineStr">
        <is>
          <t>-</t>
        </is>
      </c>
      <c r="I284" s="425" t="inlineStr">
        <is>
          <t>Vacant</t>
        </is>
      </c>
      <c r="J284" s="499" t="n"/>
      <c r="K284" s="14" t="inlineStr">
        <is>
          <t>-</t>
        </is>
      </c>
      <c r="L284" s="23" t="inlineStr">
        <is>
          <t>-</t>
        </is>
      </c>
      <c r="N284" s="1" t="n"/>
      <c r="O284" s="1" t="n"/>
      <c r="P284" s="1" t="n"/>
      <c r="Q284" s="1" t="n"/>
      <c r="R284" s="1" t="n"/>
      <c r="S284" s="1" t="n"/>
      <c r="T284" s="1" t="n"/>
      <c r="U284" s="1" t="n"/>
      <c r="V284" s="1" t="n"/>
      <c r="W284" s="1" t="n"/>
      <c r="X284" s="1" t="n"/>
      <c r="Y284" s="1" t="n"/>
      <c r="Z284" s="1" t="n"/>
      <c r="AA284" s="1" t="n"/>
      <c r="AB284" s="1" t="n"/>
      <c r="AC284" s="1" t="n"/>
      <c r="AD284" s="1" t="n"/>
      <c r="AE284" s="1" t="n"/>
      <c r="AF284" s="1" t="n"/>
      <c r="AG284" s="1" t="n"/>
      <c r="AH284" s="1" t="n"/>
      <c r="AI284" s="1" t="n"/>
      <c r="AJ284" s="1" t="n"/>
    </row>
    <row r="285" ht="15.75" customHeight="1">
      <c r="A285" s="445" t="inlineStr">
        <is>
          <t xml:space="preserve">Litter Picker </t>
        </is>
      </c>
      <c r="B285" s="440" t="n">
        <v>10</v>
      </c>
      <c r="C285" s="440">
        <f>COUNTIF(E285:E294,"&lt;&gt;")</f>
        <v/>
      </c>
      <c r="D285" s="440">
        <f>C285-B285</f>
        <v/>
      </c>
      <c r="E285" s="69" t="inlineStr">
        <is>
          <t>Md Kamal Hossain</t>
        </is>
      </c>
      <c r="F285" s="50" t="inlineStr">
        <is>
          <t>Soft Service</t>
        </is>
      </c>
      <c r="G285" s="68" t="n">
        <v>2574629891</v>
      </c>
      <c r="H285" s="460" t="n">
        <v>2574629891</v>
      </c>
      <c r="I285" s="425" t="inlineStr">
        <is>
          <t>Approved</t>
        </is>
      </c>
      <c r="J285" s="496" t="n">
        <v>45937</v>
      </c>
      <c r="K285" s="14" t="inlineStr">
        <is>
          <t>UCC( RENTAL)</t>
        </is>
      </c>
      <c r="L285" s="23" t="inlineStr">
        <is>
          <t>-</t>
        </is>
      </c>
      <c r="N285" s="1" t="n"/>
      <c r="O285" s="1" t="n"/>
      <c r="P285" s="1" t="n"/>
      <c r="Q285" s="1" t="n"/>
      <c r="R285" s="1" t="n"/>
      <c r="S285" s="1" t="n"/>
      <c r="T285" s="1" t="n"/>
      <c r="U285" s="1" t="n"/>
      <c r="V285" s="1" t="n"/>
      <c r="W285" s="1" t="n"/>
      <c r="X285" s="1" t="n"/>
      <c r="Y285" s="1" t="n"/>
      <c r="Z285" s="1" t="n"/>
      <c r="AA285" s="1" t="n"/>
      <c r="AB285" s="1" t="n"/>
      <c r="AC285" s="1" t="n"/>
      <c r="AD285" s="1" t="n"/>
      <c r="AE285" s="1" t="n"/>
      <c r="AF285" s="1" t="n"/>
      <c r="AG285" s="1" t="n"/>
      <c r="AH285" s="1" t="n"/>
      <c r="AI285" s="1" t="n"/>
      <c r="AJ285" s="1" t="n"/>
    </row>
    <row r="286" ht="15.75" customHeight="1">
      <c r="A286" s="429" t="n"/>
      <c r="B286" s="429" t="n"/>
      <c r="C286" s="429" t="n"/>
      <c r="D286" s="429" t="n"/>
      <c r="E286" s="69" t="inlineStr">
        <is>
          <t>Md Morshed</t>
        </is>
      </c>
      <c r="F286" s="50" t="inlineStr">
        <is>
          <t>Soft Service</t>
        </is>
      </c>
      <c r="G286" s="68" t="n">
        <v>2621897343</v>
      </c>
      <c r="H286" s="460" t="n">
        <v>2621897343</v>
      </c>
      <c r="I286" s="425" t="inlineStr">
        <is>
          <t>Approved</t>
        </is>
      </c>
      <c r="J286" s="496" t="n">
        <v>45996</v>
      </c>
      <c r="K286" s="14" t="inlineStr">
        <is>
          <t>SCC (RENTAL)</t>
        </is>
      </c>
      <c r="L286" s="23" t="inlineStr">
        <is>
          <t>-</t>
        </is>
      </c>
      <c r="N286" s="1" t="n"/>
      <c r="O286" s="1" t="n"/>
      <c r="P286" s="1" t="n"/>
      <c r="Q286" s="1" t="n"/>
      <c r="R286" s="1" t="n"/>
      <c r="S286" s="1" t="n"/>
      <c r="T286" s="1" t="n"/>
      <c r="U286" s="1" t="n"/>
      <c r="V286" s="1" t="n"/>
      <c r="W286" s="1" t="n"/>
      <c r="X286" s="1" t="n"/>
      <c r="Y286" s="1" t="n"/>
      <c r="Z286" s="1" t="n"/>
      <c r="AA286" s="1" t="n"/>
      <c r="AB286" s="1" t="n"/>
      <c r="AC286" s="1" t="n"/>
      <c r="AD286" s="1" t="n"/>
      <c r="AE286" s="1" t="n"/>
      <c r="AF286" s="1" t="n"/>
      <c r="AG286" s="1" t="n"/>
      <c r="AH286" s="1" t="n"/>
      <c r="AI286" s="1" t="n"/>
      <c r="AJ286" s="1" t="n"/>
    </row>
    <row r="287" ht="15.75" customHeight="1">
      <c r="A287" s="429" t="n"/>
      <c r="B287" s="429" t="n"/>
      <c r="C287" s="429" t="n"/>
      <c r="D287" s="429" t="n"/>
      <c r="E287" s="284" t="inlineStr">
        <is>
          <t>SHAMIM HAIDER</t>
        </is>
      </c>
      <c r="F287" s="425" t="inlineStr">
        <is>
          <t>Soft Service</t>
        </is>
      </c>
      <c r="G287" s="460" t="inlineStr">
        <is>
          <t>-</t>
        </is>
      </c>
      <c r="H287" s="460" t="inlineStr">
        <is>
          <t>-</t>
        </is>
      </c>
      <c r="I287" s="425" t="inlineStr">
        <is>
          <t>Approved</t>
        </is>
      </c>
      <c r="J287" s="496" t="inlineStr">
        <is>
          <t>26/08/2026</t>
        </is>
      </c>
      <c r="K287" s="14" t="inlineStr">
        <is>
          <t>-</t>
        </is>
      </c>
      <c r="L287" s="23" t="inlineStr">
        <is>
          <t>-</t>
        </is>
      </c>
      <c r="N287" s="1" t="n"/>
      <c r="O287" s="1" t="n"/>
      <c r="P287" s="1" t="n"/>
      <c r="Q287" s="1" t="n"/>
      <c r="R287" s="1" t="n"/>
      <c r="S287" s="1" t="n"/>
      <c r="T287" s="1" t="n"/>
      <c r="U287" s="1" t="n"/>
      <c r="V287" s="1" t="n"/>
      <c r="W287" s="1" t="n"/>
      <c r="X287" s="1" t="n"/>
      <c r="Y287" s="1" t="n"/>
      <c r="Z287" s="1" t="n"/>
      <c r="AA287" s="1" t="n"/>
      <c r="AB287" s="1" t="n"/>
      <c r="AC287" s="1" t="n"/>
      <c r="AD287" s="1" t="n"/>
      <c r="AE287" s="1" t="n"/>
      <c r="AF287" s="1" t="n"/>
      <c r="AG287" s="1" t="n"/>
      <c r="AH287" s="1" t="n"/>
      <c r="AI287" s="1" t="n"/>
      <c r="AJ287" s="1" t="n"/>
    </row>
    <row r="288" ht="15.75" customHeight="1">
      <c r="A288" s="429" t="n"/>
      <c r="B288" s="429" t="n"/>
      <c r="C288" s="429" t="n"/>
      <c r="D288" s="429" t="n"/>
      <c r="E288" s="69" t="inlineStr">
        <is>
          <t>Dalim Miah</t>
        </is>
      </c>
      <c r="F288" s="50" t="inlineStr">
        <is>
          <t>Soft Service</t>
        </is>
      </c>
      <c r="G288" s="68" t="inlineStr">
        <is>
          <t>S363</t>
        </is>
      </c>
      <c r="H288" s="460" t="n">
        <v>2605949078</v>
      </c>
      <c r="I288" s="425" t="inlineStr">
        <is>
          <t>Approved</t>
        </is>
      </c>
      <c r="J288" s="496" t="n">
        <v>45818</v>
      </c>
      <c r="K288" s="14" t="inlineStr">
        <is>
          <t>SCC (RENTAL)</t>
        </is>
      </c>
      <c r="L288" s="23" t="inlineStr">
        <is>
          <t>-</t>
        </is>
      </c>
      <c r="N288" s="1" t="n"/>
      <c r="O288" s="1" t="n"/>
      <c r="P288" s="1" t="n"/>
      <c r="Q288" s="1" t="n"/>
      <c r="R288" s="1" t="n"/>
      <c r="S288" s="1" t="n"/>
      <c r="T288" s="1" t="n"/>
      <c r="U288" s="1" t="n"/>
      <c r="V288" s="1" t="n"/>
      <c r="W288" s="1" t="n"/>
      <c r="X288" s="1" t="n"/>
      <c r="Y288" s="1" t="n"/>
      <c r="Z288" s="1" t="n"/>
      <c r="AA288" s="1" t="n"/>
      <c r="AB288" s="1" t="n"/>
      <c r="AC288" s="1" t="n"/>
      <c r="AD288" s="1" t="n"/>
      <c r="AE288" s="1" t="n"/>
      <c r="AF288" s="1" t="n"/>
      <c r="AG288" s="1" t="n"/>
      <c r="AH288" s="1" t="n"/>
      <c r="AI288" s="1" t="n"/>
      <c r="AJ288" s="1" t="n"/>
    </row>
    <row r="289" ht="15.75" customHeight="1">
      <c r="A289" s="429" t="n"/>
      <c r="B289" s="429" t="n"/>
      <c r="C289" s="429" t="n"/>
      <c r="D289" s="429" t="n"/>
      <c r="E289" s="32" t="inlineStr">
        <is>
          <t>Sanaullah Abdul Rashid</t>
        </is>
      </c>
      <c r="F289" s="50" t="inlineStr">
        <is>
          <t>Soft Service</t>
        </is>
      </c>
      <c r="G289" s="68" t="n">
        <v>2627065655</v>
      </c>
      <c r="H289" s="460" t="n">
        <v>2627065655</v>
      </c>
      <c r="I289" s="425" t="inlineStr">
        <is>
          <t>Approved</t>
        </is>
      </c>
      <c r="J289" s="496" t="n">
        <v>46161</v>
      </c>
      <c r="K289" s="14" t="inlineStr">
        <is>
          <t>SCC (RENTAL)</t>
        </is>
      </c>
      <c r="L289" s="23" t="inlineStr">
        <is>
          <t>-</t>
        </is>
      </c>
      <c r="N289" s="1" t="n"/>
      <c r="O289" s="1" t="n"/>
      <c r="P289" s="1" t="n"/>
      <c r="Q289" s="1" t="n"/>
      <c r="R289" s="1" t="n"/>
      <c r="S289" s="1" t="n"/>
      <c r="T289" s="1" t="n"/>
      <c r="U289" s="1" t="n"/>
      <c r="V289" s="1" t="n"/>
      <c r="W289" s="1" t="n"/>
      <c r="X289" s="1" t="n"/>
      <c r="Y289" s="1" t="n"/>
      <c r="Z289" s="1" t="n"/>
      <c r="AA289" s="1" t="n"/>
      <c r="AB289" s="1" t="n"/>
      <c r="AC289" s="1" t="n"/>
      <c r="AD289" s="1" t="n"/>
      <c r="AE289" s="1" t="n"/>
      <c r="AF289" s="1" t="n"/>
      <c r="AG289" s="1" t="n"/>
      <c r="AH289" s="1" t="n"/>
      <c r="AI289" s="1" t="n"/>
      <c r="AJ289" s="1" t="n"/>
    </row>
    <row r="290" ht="15.75" customHeight="1">
      <c r="A290" s="429" t="n"/>
      <c r="B290" s="429" t="n"/>
      <c r="C290" s="429" t="n"/>
      <c r="D290" s="429" t="n"/>
      <c r="E290" s="284" t="inlineStr">
        <is>
          <t>RAFI MIAH</t>
        </is>
      </c>
      <c r="F290" s="425" t="inlineStr">
        <is>
          <t>Soft Service</t>
        </is>
      </c>
      <c r="G290" s="460" t="inlineStr">
        <is>
          <t>-</t>
        </is>
      </c>
      <c r="H290" s="460" t="inlineStr">
        <is>
          <t>-</t>
        </is>
      </c>
      <c r="I290" s="425" t="inlineStr">
        <is>
          <t>Additional</t>
        </is>
      </c>
      <c r="J290" s="496" t="n">
        <v>46246</v>
      </c>
      <c r="K290" s="14" t="inlineStr">
        <is>
          <t>-</t>
        </is>
      </c>
      <c r="L290" s="23" t="inlineStr">
        <is>
          <t>-</t>
        </is>
      </c>
      <c r="N290" s="1" t="n"/>
      <c r="O290" s="1" t="n"/>
      <c r="P290" s="1" t="n"/>
      <c r="Q290" s="1" t="n"/>
      <c r="R290" s="1" t="n"/>
      <c r="S290" s="1" t="n"/>
      <c r="T290" s="1" t="n"/>
      <c r="U290" s="1" t="n"/>
      <c r="V290" s="1" t="n"/>
      <c r="W290" s="1" t="n"/>
      <c r="X290" s="1" t="n"/>
      <c r="Y290" s="1" t="n"/>
      <c r="Z290" s="1" t="n"/>
      <c r="AA290" s="1" t="n"/>
      <c r="AB290" s="1" t="n"/>
      <c r="AC290" s="1" t="n"/>
      <c r="AD290" s="1" t="n"/>
      <c r="AE290" s="1" t="n"/>
      <c r="AF290" s="1" t="n"/>
      <c r="AG290" s="1" t="n"/>
      <c r="AH290" s="1" t="n"/>
      <c r="AI290" s="1" t="n"/>
      <c r="AJ290" s="1" t="n"/>
    </row>
    <row r="291" ht="15.75" customHeight="1">
      <c r="A291" s="429" t="n"/>
      <c r="B291" s="429" t="n"/>
      <c r="C291" s="429" t="n"/>
      <c r="D291" s="429" t="n"/>
      <c r="E291" s="32" t="inlineStr">
        <is>
          <t>Nasib Ali - Shekh</t>
        </is>
      </c>
      <c r="F291" s="50" t="inlineStr">
        <is>
          <t>Soft Service</t>
        </is>
      </c>
      <c r="G291" s="68" t="inlineStr">
        <is>
          <t>L01308</t>
        </is>
      </c>
      <c r="H291" s="460" t="n">
        <v>2636632115</v>
      </c>
      <c r="I291" s="425" t="inlineStr">
        <is>
          <t>Approved</t>
        </is>
      </c>
      <c r="J291" s="496" t="n">
        <v>46163</v>
      </c>
      <c r="K291" s="14" t="inlineStr">
        <is>
          <t>MEHAN (RENTAL)</t>
        </is>
      </c>
      <c r="L291" s="23" t="inlineStr">
        <is>
          <t>-</t>
        </is>
      </c>
      <c r="N291" s="1" t="n"/>
      <c r="O291" s="1" t="n"/>
      <c r="P291" s="1" t="n"/>
      <c r="Q291" s="1" t="n"/>
      <c r="R291" s="1" t="n"/>
      <c r="S291" s="1" t="n"/>
      <c r="T291" s="1" t="n"/>
      <c r="U291" s="1" t="n"/>
      <c r="V291" s="1" t="n"/>
      <c r="W291" s="1" t="n"/>
      <c r="X291" s="1" t="n"/>
      <c r="Y291" s="1" t="n"/>
      <c r="Z291" s="1" t="n"/>
      <c r="AA291" s="1" t="n"/>
      <c r="AB291" s="1" t="n"/>
      <c r="AC291" s="1" t="n"/>
      <c r="AD291" s="1" t="n"/>
      <c r="AE291" s="1" t="n"/>
      <c r="AF291" s="1" t="n"/>
      <c r="AG291" s="1" t="n"/>
      <c r="AH291" s="1" t="n"/>
      <c r="AI291" s="1" t="n"/>
      <c r="AJ291" s="1" t="n"/>
    </row>
    <row r="292" ht="15" customHeight="1">
      <c r="A292" s="429" t="n"/>
      <c r="B292" s="429" t="n"/>
      <c r="C292" s="429" t="n"/>
      <c r="D292" s="429" t="n"/>
      <c r="E292" s="32" t="inlineStr">
        <is>
          <t>Niraj - - Tharu</t>
        </is>
      </c>
      <c r="F292" s="50" t="inlineStr">
        <is>
          <t>Soft Service</t>
        </is>
      </c>
      <c r="G292" s="68" t="inlineStr">
        <is>
          <t>R09298</t>
        </is>
      </c>
      <c r="H292" s="460" t="n">
        <v>2613158894</v>
      </c>
      <c r="I292" s="425" t="inlineStr">
        <is>
          <t>Approved</t>
        </is>
      </c>
      <c r="J292" s="496" t="n">
        <v>46163</v>
      </c>
      <c r="K292" s="14" t="inlineStr">
        <is>
          <t>MEHAN (RENTAL)</t>
        </is>
      </c>
      <c r="L292" s="23" t="inlineStr">
        <is>
          <t>-</t>
        </is>
      </c>
      <c r="N292" s="1" t="n"/>
      <c r="O292" s="1" t="n"/>
      <c r="P292" s="1" t="n"/>
      <c r="Q292" s="1" t="n"/>
      <c r="R292" s="1" t="n"/>
      <c r="S292" s="1" t="n"/>
      <c r="T292" s="1" t="n"/>
      <c r="U292" s="1" t="n"/>
      <c r="V292" s="1" t="n"/>
      <c r="W292" s="1" t="n"/>
      <c r="X292" s="1" t="n"/>
      <c r="Y292" s="1" t="n"/>
      <c r="Z292" s="1" t="n"/>
      <c r="AA292" s="1" t="n"/>
      <c r="AB292" s="1" t="n"/>
      <c r="AC292" s="1" t="n"/>
      <c r="AD292" s="1" t="n"/>
      <c r="AE292" s="1" t="n"/>
      <c r="AF292" s="1" t="n"/>
      <c r="AG292" s="1" t="n"/>
      <c r="AH292" s="1" t="n"/>
      <c r="AI292" s="1" t="n"/>
      <c r="AJ292" s="1" t="n"/>
    </row>
    <row r="293" ht="15" customHeight="1">
      <c r="A293" s="429" t="n"/>
      <c r="B293" s="429" t="n"/>
      <c r="C293" s="429" t="n"/>
      <c r="D293" s="429" t="n"/>
      <c r="E293" s="32" t="inlineStr">
        <is>
          <t>Hakim Ali - Shekh</t>
        </is>
      </c>
      <c r="F293" s="50" t="inlineStr">
        <is>
          <t>Soft Service</t>
        </is>
      </c>
      <c r="G293" s="68" t="inlineStr">
        <is>
          <t>L01307</t>
        </is>
      </c>
      <c r="H293" s="460" t="n">
        <v>2636632099</v>
      </c>
      <c r="I293" s="425" t="inlineStr">
        <is>
          <t>Approved</t>
        </is>
      </c>
      <c r="J293" s="496" t="n">
        <v>46163</v>
      </c>
      <c r="K293" s="14" t="inlineStr">
        <is>
          <t>MEHAN (RENTAL)</t>
        </is>
      </c>
      <c r="L293" s="23" t="inlineStr">
        <is>
          <t>-</t>
        </is>
      </c>
      <c r="N293" s="1" t="n"/>
      <c r="O293" s="1" t="n"/>
      <c r="P293" s="1" t="n"/>
      <c r="Q293" s="1" t="n"/>
      <c r="R293" s="1" t="n"/>
      <c r="S293" s="1" t="n"/>
      <c r="T293" s="1" t="n"/>
      <c r="U293" s="1" t="n"/>
      <c r="V293" s="1" t="n"/>
      <c r="W293" s="1" t="n"/>
      <c r="X293" s="1" t="n"/>
      <c r="Y293" s="1" t="n"/>
      <c r="Z293" s="1" t="n"/>
      <c r="AA293" s="1" t="n"/>
      <c r="AB293" s="1" t="n"/>
      <c r="AC293" s="1" t="n"/>
      <c r="AD293" s="1" t="n"/>
      <c r="AE293" s="1" t="n"/>
      <c r="AF293" s="1" t="n"/>
      <c r="AG293" s="1" t="n"/>
      <c r="AH293" s="1" t="n"/>
      <c r="AI293" s="1" t="n"/>
      <c r="AJ293" s="1" t="n"/>
    </row>
    <row r="294" ht="15.75" customHeight="1">
      <c r="A294" s="431" t="n"/>
      <c r="B294" s="431" t="n"/>
      <c r="C294" s="431" t="n"/>
      <c r="D294" s="431" t="n"/>
      <c r="E294" s="32" t="inlineStr">
        <is>
          <t>Md Hakimuddin - Miya</t>
        </is>
      </c>
      <c r="F294" s="50" t="inlineStr">
        <is>
          <t>Soft Service</t>
        </is>
      </c>
      <c r="G294" s="68" t="inlineStr">
        <is>
          <t>L01303</t>
        </is>
      </c>
      <c r="H294" s="460" t="n">
        <v>2636631869</v>
      </c>
      <c r="I294" s="425" t="inlineStr">
        <is>
          <t>Approved</t>
        </is>
      </c>
      <c r="J294" s="496" t="n">
        <v>46163</v>
      </c>
      <c r="K294" s="14" t="inlineStr">
        <is>
          <t>MEHAN (RENTAL)</t>
        </is>
      </c>
      <c r="L294" s="23" t="inlineStr">
        <is>
          <t>-</t>
        </is>
      </c>
      <c r="N294" s="1" t="n"/>
      <c r="O294" s="1" t="n"/>
      <c r="P294" s="1" t="n"/>
      <c r="Q294" s="1" t="n"/>
      <c r="R294" s="1" t="n"/>
      <c r="S294" s="1" t="n"/>
      <c r="T294" s="1" t="n"/>
      <c r="U294" s="1" t="n"/>
      <c r="V294" s="1" t="n"/>
      <c r="W294" s="1" t="n"/>
      <c r="X294" s="1" t="n"/>
      <c r="Y294" s="1" t="n"/>
      <c r="Z294" s="1" t="n"/>
      <c r="AA294" s="1" t="n"/>
      <c r="AB294" s="1" t="n"/>
      <c r="AC294" s="1" t="n"/>
      <c r="AD294" s="1" t="n"/>
      <c r="AE294" s="1" t="n"/>
      <c r="AF294" s="1" t="n"/>
      <c r="AG294" s="1" t="n"/>
      <c r="AH294" s="1" t="n"/>
      <c r="AI294" s="1" t="n"/>
      <c r="AJ294" s="1" t="n"/>
    </row>
    <row r="295" ht="15.75" customHeight="1">
      <c r="A295" s="445" t="inlineStr">
        <is>
          <t>Road Sweeper Driver</t>
        </is>
      </c>
      <c r="B295" s="440" t="n">
        <v>1</v>
      </c>
      <c r="C295" s="440">
        <f>COUNTIF(E295,"&lt;&gt;")</f>
        <v/>
      </c>
      <c r="D295" s="440">
        <f>C295-B295</f>
        <v/>
      </c>
      <c r="E295" s="22" t="inlineStr">
        <is>
          <t>Mehboob Shah</t>
        </is>
      </c>
      <c r="F295" s="50" t="inlineStr">
        <is>
          <t>Soft Service</t>
        </is>
      </c>
      <c r="G295" s="27" t="inlineStr">
        <is>
          <t>-</t>
        </is>
      </c>
      <c r="H295" s="19" t="n">
        <v>2621810114</v>
      </c>
      <c r="I295" s="425" t="inlineStr">
        <is>
          <t>Additional</t>
        </is>
      </c>
      <c r="J295" s="496" t="n">
        <v>46165</v>
      </c>
      <c r="K295" s="28" t="inlineStr">
        <is>
          <t>FMCO</t>
        </is>
      </c>
      <c r="L295" s="23" t="inlineStr">
        <is>
          <t>-</t>
        </is>
      </c>
      <c r="N295" s="1" t="n"/>
      <c r="O295" s="1" t="n"/>
      <c r="P295" s="1" t="n"/>
      <c r="Q295" s="1" t="n"/>
      <c r="R295" s="1" t="n"/>
      <c r="S295" s="1" t="n"/>
      <c r="T295" s="1" t="n"/>
      <c r="U295" s="1" t="n"/>
      <c r="V295" s="1" t="n"/>
      <c r="W295" s="1" t="n"/>
      <c r="X295" s="1" t="n"/>
      <c r="Y295" s="1" t="n"/>
      <c r="Z295" s="1" t="n"/>
      <c r="AA295" s="1" t="n"/>
      <c r="AB295" s="1" t="n"/>
      <c r="AC295" s="1" t="n"/>
      <c r="AD295" s="1" t="n"/>
      <c r="AE295" s="1" t="n"/>
      <c r="AF295" s="1" t="n"/>
      <c r="AG295" s="1" t="n"/>
      <c r="AH295" s="1" t="n"/>
      <c r="AI295" s="1" t="n"/>
      <c r="AJ295" s="1" t="n"/>
    </row>
    <row r="296" ht="15.75" customHeight="1">
      <c r="A296" s="445" t="inlineStr">
        <is>
          <t>Barber</t>
        </is>
      </c>
      <c r="B296" s="440" t="n">
        <v>4</v>
      </c>
      <c r="C296" s="440">
        <f>COUNTIF(E296:E299,"&lt;&gt;")</f>
        <v/>
      </c>
      <c r="D296" s="440">
        <f>C296-B296</f>
        <v/>
      </c>
      <c r="E296" s="32" t="inlineStr">
        <is>
          <t>Afshan Shahid</t>
        </is>
      </c>
      <c r="F296" s="50" t="inlineStr">
        <is>
          <t>Soft Service</t>
        </is>
      </c>
      <c r="G296" s="68" t="inlineStr">
        <is>
          <t>C01041</t>
        </is>
      </c>
      <c r="H296" s="460" t="n">
        <v>2607619810</v>
      </c>
      <c r="I296" s="425" t="inlineStr">
        <is>
          <t>Approved</t>
        </is>
      </c>
      <c r="J296" s="496" t="n">
        <v>45863</v>
      </c>
      <c r="K296" s="14" t="inlineStr">
        <is>
          <t>MEHAN VISA</t>
        </is>
      </c>
      <c r="L296" s="23" t="inlineStr">
        <is>
          <t>-</t>
        </is>
      </c>
      <c r="N296" s="1" t="n"/>
      <c r="O296" s="1" t="n"/>
      <c r="P296" s="1" t="n"/>
      <c r="Q296" s="1" t="n"/>
      <c r="R296" s="1" t="n"/>
      <c r="S296" s="1" t="n"/>
      <c r="T296" s="1" t="n"/>
      <c r="U296" s="1" t="n"/>
      <c r="V296" s="1" t="n"/>
      <c r="W296" s="1" t="n"/>
      <c r="X296" s="1" t="n"/>
      <c r="Y296" s="1" t="n"/>
      <c r="Z296" s="1" t="n"/>
      <c r="AA296" s="1" t="n"/>
      <c r="AB296" s="1" t="n"/>
      <c r="AC296" s="1" t="n"/>
      <c r="AD296" s="1" t="n"/>
      <c r="AE296" s="1" t="n"/>
      <c r="AF296" s="1" t="n"/>
      <c r="AG296" s="1" t="n"/>
      <c r="AH296" s="1" t="n"/>
      <c r="AI296" s="1" t="n"/>
      <c r="AJ296" s="1" t="n"/>
    </row>
    <row r="297" ht="15.75" customHeight="1">
      <c r="A297" s="429" t="n"/>
      <c r="B297" s="429" t="n"/>
      <c r="C297" s="429" t="n"/>
      <c r="D297" s="429" t="n"/>
      <c r="E297" s="32" t="inlineStr">
        <is>
          <t>Ahmed Sayed Hassan</t>
        </is>
      </c>
      <c r="F297" s="50" t="inlineStr">
        <is>
          <t>Soft Service</t>
        </is>
      </c>
      <c r="G297" s="68" t="inlineStr">
        <is>
          <t>EM-0002194</t>
        </is>
      </c>
      <c r="H297" s="460" t="n">
        <v>2597083571</v>
      </c>
      <c r="I297" s="425" t="inlineStr">
        <is>
          <t>Approved</t>
        </is>
      </c>
      <c r="J297" s="496" t="n">
        <v>45716</v>
      </c>
      <c r="K297" s="14" t="inlineStr">
        <is>
          <t>AL-FALAK VISA</t>
        </is>
      </c>
      <c r="L297" s="23" t="inlineStr">
        <is>
          <t>-</t>
        </is>
      </c>
      <c r="N297" s="1" t="n"/>
      <c r="O297" s="1" t="n"/>
      <c r="P297" s="1" t="n"/>
      <c r="Q297" s="1" t="n"/>
      <c r="R297" s="1" t="n"/>
      <c r="S297" s="1" t="n"/>
      <c r="T297" s="1" t="n"/>
      <c r="U297" s="1" t="n"/>
      <c r="V297" s="1" t="n"/>
      <c r="W297" s="1" t="n"/>
      <c r="X297" s="1" t="n"/>
      <c r="Y297" s="1" t="n"/>
      <c r="Z297" s="1" t="n"/>
      <c r="AA297" s="1" t="n"/>
      <c r="AB297" s="1" t="n"/>
      <c r="AC297" s="1" t="n"/>
      <c r="AD297" s="1" t="n"/>
      <c r="AE297" s="1" t="n"/>
      <c r="AF297" s="1" t="n"/>
      <c r="AG297" s="1" t="n"/>
      <c r="AH297" s="1" t="n"/>
      <c r="AI297" s="1" t="n"/>
      <c r="AJ297" s="1" t="n"/>
    </row>
    <row r="298" ht="15.75" customHeight="1">
      <c r="A298" s="429" t="n"/>
      <c r="B298" s="429" t="n"/>
      <c r="C298" s="429" t="n"/>
      <c r="D298" s="429" t="n"/>
      <c r="E298" s="32" t="inlineStr">
        <is>
          <t>Suhail Ahmad</t>
        </is>
      </c>
      <c r="F298" s="50" t="inlineStr">
        <is>
          <t>Soft Service</t>
        </is>
      </c>
      <c r="G298" s="68" t="inlineStr">
        <is>
          <t>EM-0002453</t>
        </is>
      </c>
      <c r="H298" s="460" t="n">
        <v>2582465817</v>
      </c>
      <c r="I298" s="425" t="inlineStr">
        <is>
          <t>Approved</t>
        </is>
      </c>
      <c r="J298" s="496" t="n">
        <v>45586</v>
      </c>
      <c r="K298" s="14" t="inlineStr">
        <is>
          <t>AL-FALAK VISA</t>
        </is>
      </c>
      <c r="L298" s="23" t="inlineStr">
        <is>
          <t>-</t>
        </is>
      </c>
      <c r="N298" s="1" t="n"/>
      <c r="O298" s="1" t="n"/>
      <c r="P298" s="1" t="n"/>
      <c r="Q298" s="1" t="n"/>
      <c r="R298" s="1" t="n"/>
      <c r="S298" s="1" t="n"/>
      <c r="T298" s="1" t="n"/>
      <c r="U298" s="1" t="n"/>
      <c r="V298" s="1" t="n"/>
      <c r="W298" s="1" t="n"/>
      <c r="X298" s="1" t="n"/>
      <c r="Y298" s="1" t="n"/>
      <c r="Z298" s="1" t="n"/>
      <c r="AA298" s="1" t="n"/>
      <c r="AB298" s="1" t="n"/>
      <c r="AC298" s="1" t="n"/>
      <c r="AD298" s="1" t="n"/>
      <c r="AE298" s="1" t="n"/>
      <c r="AF298" s="1" t="n"/>
      <c r="AG298" s="1" t="n"/>
      <c r="AH298" s="1" t="n"/>
      <c r="AI298" s="1" t="n"/>
      <c r="AJ298" s="1" t="n"/>
    </row>
    <row r="299" ht="15.75" customHeight="1">
      <c r="A299" s="431" t="n"/>
      <c r="B299" s="431" t="n"/>
      <c r="C299" s="431" t="n"/>
      <c r="D299" s="431" t="n"/>
      <c r="E299" s="54" t="inlineStr">
        <is>
          <t>Talib Anwar</t>
        </is>
      </c>
      <c r="F299" s="50" t="inlineStr">
        <is>
          <t>Soft Service</t>
        </is>
      </c>
      <c r="G299" s="68" t="inlineStr">
        <is>
          <t>C01360</t>
        </is>
      </c>
      <c r="H299" s="460" t="n">
        <v>2617250762</v>
      </c>
      <c r="I299" s="425" t="inlineStr">
        <is>
          <t>Approved</t>
        </is>
      </c>
      <c r="J299" s="496" t="n">
        <v>45954</v>
      </c>
      <c r="K299" s="14" t="inlineStr">
        <is>
          <t>MEHAN VISA</t>
        </is>
      </c>
      <c r="L299" s="23" t="inlineStr">
        <is>
          <t>-</t>
        </is>
      </c>
      <c r="N299" s="1" t="n"/>
      <c r="O299" s="1" t="n"/>
      <c r="P299" s="1" t="n"/>
      <c r="Q299" s="1" t="n"/>
      <c r="R299" s="1" t="n"/>
      <c r="S299" s="1" t="n"/>
      <c r="T299" s="1" t="n"/>
      <c r="U299" s="1" t="n"/>
      <c r="V299" s="1" t="n"/>
      <c r="W299" s="1" t="n"/>
      <c r="X299" s="1" t="n"/>
      <c r="Y299" s="1" t="n"/>
      <c r="Z299" s="1" t="n"/>
      <c r="AA299" s="1" t="n"/>
      <c r="AB299" s="1" t="n"/>
      <c r="AC299" s="1" t="n"/>
      <c r="AD299" s="1" t="n"/>
      <c r="AE299" s="1" t="n"/>
      <c r="AF299" s="1" t="n"/>
      <c r="AG299" s="1" t="n"/>
      <c r="AH299" s="1" t="n"/>
      <c r="AI299" s="1" t="n"/>
      <c r="AJ299" s="1" t="n"/>
    </row>
    <row r="300" ht="15.75" customHeight="1">
      <c r="A300" s="445" t="inlineStr">
        <is>
          <t>Tea Boy/Operation Office</t>
        </is>
      </c>
      <c r="B300" s="440" t="n">
        <v>2</v>
      </c>
      <c r="C300" s="440">
        <f>COUNTIF(E300:E301,"&lt;&gt;")</f>
        <v/>
      </c>
      <c r="D300" s="456">
        <f>C300-B300</f>
        <v/>
      </c>
      <c r="E300" s="32" t="inlineStr">
        <is>
          <t>Md Akib Islam</t>
        </is>
      </c>
      <c r="F300" s="55" t="inlineStr">
        <is>
          <t>Soft Service</t>
        </is>
      </c>
      <c r="G300" s="68" t="inlineStr">
        <is>
          <t>S068</t>
        </is>
      </c>
      <c r="H300" s="460" t="n">
        <v>2590865040</v>
      </c>
      <c r="I300" s="425" t="inlineStr">
        <is>
          <t>Approved</t>
        </is>
      </c>
      <c r="J300" s="496" t="n">
        <v>45585</v>
      </c>
      <c r="K300" s="14" t="inlineStr">
        <is>
          <t>SCC (RENTAL)</t>
        </is>
      </c>
      <c r="L300" s="23" t="inlineStr">
        <is>
          <t>-</t>
        </is>
      </c>
      <c r="N300" s="1" t="n"/>
      <c r="O300" s="1" t="n"/>
      <c r="P300" s="1" t="n"/>
      <c r="Q300" s="1" t="n"/>
      <c r="R300" s="1" t="n"/>
      <c r="S300" s="1" t="n"/>
      <c r="T300" s="1" t="n"/>
      <c r="U300" s="1" t="n"/>
      <c r="V300" s="1" t="n"/>
      <c r="W300" s="1" t="n"/>
      <c r="X300" s="1" t="n"/>
      <c r="Y300" s="1" t="n"/>
      <c r="Z300" s="1" t="n"/>
      <c r="AA300" s="1" t="n"/>
      <c r="AB300" s="1" t="n"/>
      <c r="AC300" s="1" t="n"/>
      <c r="AD300" s="1" t="n"/>
      <c r="AE300" s="1" t="n"/>
      <c r="AF300" s="1" t="n"/>
      <c r="AG300" s="1" t="n"/>
      <c r="AH300" s="1" t="n"/>
      <c r="AI300" s="1" t="n"/>
      <c r="AJ300" s="1" t="n"/>
    </row>
    <row r="301" ht="15.75" customHeight="1">
      <c r="A301" s="431" t="n"/>
      <c r="B301" s="431" t="n"/>
      <c r="C301" s="431" t="n"/>
      <c r="D301" s="451" t="n"/>
      <c r="E301" s="32" t="inlineStr">
        <is>
          <t>Dharmendra - Paswan</t>
        </is>
      </c>
      <c r="F301" s="55" t="inlineStr">
        <is>
          <t>Soft Service</t>
        </is>
      </c>
      <c r="G301" s="68" t="inlineStr">
        <is>
          <t>R09224</t>
        </is>
      </c>
      <c r="H301" s="460" t="n">
        <v>2612132635</v>
      </c>
      <c r="I301" s="425" t="inlineStr">
        <is>
          <t>Approved</t>
        </is>
      </c>
      <c r="J301" s="496" t="n">
        <v>46163</v>
      </c>
      <c r="K301" s="14" t="inlineStr">
        <is>
          <t>MEHAN (RENTAL)</t>
        </is>
      </c>
      <c r="L301" s="23" t="inlineStr">
        <is>
          <t>-</t>
        </is>
      </c>
      <c r="N301" s="1" t="n"/>
      <c r="O301" s="1" t="n"/>
      <c r="P301" s="1" t="n"/>
      <c r="Q301" s="1" t="n"/>
      <c r="R301" s="1" t="n"/>
      <c r="S301" s="1" t="n"/>
      <c r="T301" s="1" t="n"/>
      <c r="U301" s="1" t="n"/>
      <c r="V301" s="1" t="n"/>
      <c r="W301" s="1" t="n"/>
      <c r="X301" s="1" t="n"/>
      <c r="Y301" s="1" t="n"/>
      <c r="Z301" s="1" t="n"/>
      <c r="AA301" s="1" t="n"/>
      <c r="AB301" s="1" t="n"/>
      <c r="AC301" s="1" t="n"/>
      <c r="AD301" s="1" t="n"/>
      <c r="AE301" s="1" t="n"/>
      <c r="AF301" s="1" t="n"/>
      <c r="AG301" s="1" t="n"/>
      <c r="AH301" s="1" t="n"/>
      <c r="AI301" s="1" t="n"/>
      <c r="AJ301" s="1" t="n"/>
    </row>
    <row r="302" ht="15.75" customHeight="1">
      <c r="A302" s="445" t="inlineStr">
        <is>
          <t>Landscaping Supervisor</t>
        </is>
      </c>
      <c r="B302" s="440" t="n">
        <v>2</v>
      </c>
      <c r="C302" s="440">
        <f>COUNTIF(E302:E303,"&lt;&gt;")</f>
        <v/>
      </c>
      <c r="D302" s="441">
        <f>C302-B302</f>
        <v/>
      </c>
      <c r="E302" s="70" t="inlineStr">
        <is>
          <t>Nikesh Kumar</t>
        </is>
      </c>
      <c r="F302" s="50" t="inlineStr">
        <is>
          <t>Soft Service</t>
        </is>
      </c>
      <c r="G302" s="68" t="inlineStr">
        <is>
          <t>EM-0003052</t>
        </is>
      </c>
      <c r="H302" s="460" t="n">
        <v>2618859371</v>
      </c>
      <c r="I302" s="425" t="inlineStr">
        <is>
          <t>Approved</t>
        </is>
      </c>
      <c r="J302" s="496" t="n">
        <v>45957</v>
      </c>
      <c r="K302" s="14" t="inlineStr">
        <is>
          <t>AL-FALAK VISA</t>
        </is>
      </c>
      <c r="L302" s="23" t="inlineStr">
        <is>
          <t>-</t>
        </is>
      </c>
      <c r="N302" s="1" t="n"/>
      <c r="O302" s="1" t="n"/>
      <c r="P302" s="1" t="n"/>
      <c r="Q302" s="1" t="n"/>
      <c r="R302" s="1" t="n"/>
      <c r="S302" s="1" t="n"/>
      <c r="T302" s="1" t="n"/>
      <c r="U302" s="1" t="n"/>
      <c r="V302" s="1" t="n"/>
      <c r="W302" s="1" t="n"/>
      <c r="X302" s="1" t="n"/>
      <c r="Y302" s="1" t="n"/>
      <c r="Z302" s="1" t="n"/>
      <c r="AA302" s="1" t="n"/>
      <c r="AB302" s="1" t="n"/>
      <c r="AC302" s="1" t="n"/>
      <c r="AD302" s="1" t="n"/>
      <c r="AE302" s="1" t="n"/>
      <c r="AF302" s="1" t="n"/>
      <c r="AG302" s="1" t="n"/>
      <c r="AH302" s="1" t="n"/>
      <c r="AI302" s="1" t="n"/>
      <c r="AJ302" s="1" t="n"/>
    </row>
    <row r="303" ht="15.75" customHeight="1">
      <c r="A303" s="431" t="n"/>
      <c r="B303" s="431" t="n"/>
      <c r="C303" s="431" t="n"/>
      <c r="D303" s="431" t="n"/>
      <c r="E303" s="32" t="inlineStr">
        <is>
          <t>Adnan Khan</t>
        </is>
      </c>
      <c r="F303" s="50" t="inlineStr">
        <is>
          <t>Soft Service</t>
        </is>
      </c>
      <c r="G303" s="68" t="inlineStr">
        <is>
          <t>C01463</t>
        </is>
      </c>
      <c r="H303" s="460" t="n">
        <v>2622759443</v>
      </c>
      <c r="I303" s="425" t="inlineStr">
        <is>
          <t>Approved</t>
        </is>
      </c>
      <c r="J303" s="496" t="n">
        <v>46014</v>
      </c>
      <c r="K303" s="14" t="inlineStr">
        <is>
          <t>MEHAN VISA</t>
        </is>
      </c>
      <c r="L303" s="23" t="inlineStr">
        <is>
          <t>-</t>
        </is>
      </c>
      <c r="N303" s="1" t="n"/>
      <c r="O303" s="1" t="n"/>
      <c r="P303" s="1" t="n"/>
      <c r="Q303" s="1" t="n"/>
      <c r="R303" s="1" t="n"/>
      <c r="S303" s="1" t="n"/>
      <c r="T303" s="1" t="n"/>
      <c r="U303" s="1" t="n"/>
      <c r="V303" s="1" t="n"/>
      <c r="W303" s="1" t="n"/>
      <c r="X303" s="1" t="n"/>
      <c r="Y303" s="1" t="n"/>
      <c r="Z303" s="1" t="n"/>
      <c r="AA303" s="1" t="n"/>
      <c r="AB303" s="1" t="n"/>
      <c r="AC303" s="1" t="n"/>
      <c r="AD303" s="1" t="n"/>
      <c r="AE303" s="1" t="n"/>
      <c r="AF303" s="1" t="n"/>
      <c r="AG303" s="1" t="n"/>
      <c r="AH303" s="1" t="n"/>
      <c r="AI303" s="1" t="n"/>
      <c r="AJ303" s="1" t="n"/>
    </row>
    <row r="304" ht="15.75" customHeight="1">
      <c r="A304" s="445" t="inlineStr">
        <is>
          <t>Irigation Technician</t>
        </is>
      </c>
      <c r="B304" s="440" t="n">
        <v>2</v>
      </c>
      <c r="C304" s="440">
        <f>COUNTIF(E304:E305,"&lt;&gt;")</f>
        <v/>
      </c>
      <c r="D304" s="441">
        <f>C304-B304</f>
        <v/>
      </c>
      <c r="E304" s="32" t="inlineStr">
        <is>
          <t>Mohamed Al Bajurudeen</t>
        </is>
      </c>
      <c r="F304" s="50" t="inlineStr">
        <is>
          <t>Soft Service</t>
        </is>
      </c>
      <c r="G304" s="68" t="inlineStr">
        <is>
          <t>C00832</t>
        </is>
      </c>
      <c r="H304" s="460" t="n">
        <v>2586455822</v>
      </c>
      <c r="I304" s="425" t="inlineStr">
        <is>
          <t>Approved</t>
        </is>
      </c>
      <c r="J304" s="496" t="n">
        <v>45586</v>
      </c>
      <c r="K304" s="14" t="inlineStr">
        <is>
          <t>MEHAN VISA</t>
        </is>
      </c>
      <c r="L304" s="23" t="inlineStr">
        <is>
          <t>-</t>
        </is>
      </c>
      <c r="N304" s="1" t="n"/>
      <c r="O304" s="1" t="n"/>
      <c r="P304" s="1" t="n"/>
      <c r="Q304" s="1" t="n"/>
      <c r="R304" s="1" t="n"/>
      <c r="S304" s="1" t="n"/>
      <c r="T304" s="1" t="n"/>
      <c r="U304" s="1" t="n"/>
      <c r="V304" s="1" t="n"/>
      <c r="W304" s="1" t="n"/>
      <c r="X304" s="1" t="n"/>
      <c r="Y304" s="1" t="n"/>
      <c r="Z304" s="1" t="n"/>
      <c r="AA304" s="1" t="n"/>
      <c r="AB304" s="1" t="n"/>
      <c r="AC304" s="1" t="n"/>
      <c r="AD304" s="1" t="n"/>
      <c r="AE304" s="1" t="n"/>
      <c r="AF304" s="1" t="n"/>
      <c r="AG304" s="1" t="n"/>
      <c r="AH304" s="1" t="n"/>
      <c r="AI304" s="1" t="n"/>
      <c r="AJ304" s="1" t="n"/>
    </row>
    <row r="305" ht="15.75" customHeight="1">
      <c r="A305" s="431" t="n"/>
      <c r="B305" s="431" t="n"/>
      <c r="C305" s="431" t="n"/>
      <c r="D305" s="431" t="n"/>
      <c r="E305" s="32" t="inlineStr">
        <is>
          <t>MD. Samir Alam</t>
        </is>
      </c>
      <c r="F305" s="50" t="inlineStr">
        <is>
          <t>Soft Service</t>
        </is>
      </c>
      <c r="G305" s="68" t="inlineStr">
        <is>
          <t>E-022-881</t>
        </is>
      </c>
      <c r="H305" s="460" t="n">
        <v>2588137246</v>
      </c>
      <c r="I305" s="425" t="inlineStr">
        <is>
          <t>Approved</t>
        </is>
      </c>
      <c r="J305" s="496" t="n">
        <v>45716</v>
      </c>
      <c r="K305" s="14" t="inlineStr">
        <is>
          <t>TALENT HOUSE VISA</t>
        </is>
      </c>
      <c r="L305" s="23" t="inlineStr">
        <is>
          <t>-</t>
        </is>
      </c>
      <c r="N305" s="1" t="n"/>
      <c r="O305" s="1" t="n"/>
      <c r="P305" s="1" t="n"/>
      <c r="Q305" s="1" t="n"/>
      <c r="R305" s="1" t="n"/>
      <c r="S305" s="1" t="n"/>
      <c r="T305" s="1" t="n"/>
      <c r="U305" s="1" t="n"/>
      <c r="V305" s="1" t="n"/>
      <c r="W305" s="1" t="n"/>
      <c r="X305" s="1" t="n"/>
      <c r="Y305" s="1" t="n"/>
      <c r="Z305" s="1" t="n"/>
      <c r="AA305" s="1" t="n"/>
      <c r="AB305" s="1" t="n"/>
      <c r="AC305" s="1" t="n"/>
      <c r="AD305" s="1" t="n"/>
      <c r="AE305" s="1" t="n"/>
      <c r="AF305" s="1" t="n"/>
      <c r="AG305" s="1" t="n"/>
      <c r="AH305" s="1" t="n"/>
      <c r="AI305" s="1" t="n"/>
      <c r="AJ305" s="1" t="n"/>
    </row>
    <row r="306" ht="15.75" customHeight="1">
      <c r="A306" s="445" t="inlineStr">
        <is>
          <t>Gardener</t>
        </is>
      </c>
      <c r="B306" s="440" t="n">
        <v>20</v>
      </c>
      <c r="C306" s="440">
        <f>COUNTIF(E306:E325,"&lt;&gt;")</f>
        <v/>
      </c>
      <c r="D306" s="441">
        <f>C306-B306</f>
        <v/>
      </c>
      <c r="E306" s="32" t="inlineStr">
        <is>
          <t>Gazi Habib</t>
        </is>
      </c>
      <c r="F306" s="50" t="inlineStr">
        <is>
          <t>Soft Service</t>
        </is>
      </c>
      <c r="G306" s="68" t="inlineStr">
        <is>
          <t>S081</t>
        </is>
      </c>
      <c r="H306" s="460" t="n">
        <v>2588710414</v>
      </c>
      <c r="I306" s="425" t="inlineStr">
        <is>
          <t>Approved</t>
        </is>
      </c>
      <c r="J306" s="496" t="n">
        <v>46098</v>
      </c>
      <c r="K306" s="14" t="inlineStr">
        <is>
          <t>SCC (RENTAL)</t>
        </is>
      </c>
      <c r="L306" s="23" t="inlineStr">
        <is>
          <t>-</t>
        </is>
      </c>
      <c r="N306" s="1" t="n"/>
      <c r="O306" s="1" t="n"/>
      <c r="P306" s="1" t="n"/>
      <c r="Q306" s="1" t="n"/>
      <c r="R306" s="1" t="n"/>
      <c r="S306" s="1" t="n"/>
      <c r="T306" s="1" t="n"/>
      <c r="U306" s="1" t="n"/>
      <c r="V306" s="1" t="n"/>
      <c r="W306" s="1" t="n"/>
      <c r="X306" s="1" t="n"/>
      <c r="Y306" s="1" t="n"/>
      <c r="Z306" s="1" t="n"/>
      <c r="AA306" s="1" t="n"/>
      <c r="AB306" s="1" t="n"/>
      <c r="AC306" s="1" t="n"/>
      <c r="AD306" s="1" t="n"/>
      <c r="AE306" s="1" t="n"/>
      <c r="AF306" s="1" t="n"/>
      <c r="AG306" s="1" t="n"/>
      <c r="AH306" s="1" t="n"/>
      <c r="AI306" s="1" t="n"/>
      <c r="AJ306" s="1" t="n"/>
    </row>
    <row r="307" ht="15.75" customHeight="1">
      <c r="A307" s="429" t="n"/>
      <c r="B307" s="429" t="n"/>
      <c r="C307" s="429" t="n"/>
      <c r="D307" s="429" t="n"/>
      <c r="E307" s="32" t="inlineStr">
        <is>
          <t>Parindra Bishwas</t>
        </is>
      </c>
      <c r="F307" s="50" t="inlineStr">
        <is>
          <t>Soft Service</t>
        </is>
      </c>
      <c r="G307" s="68" t="n">
        <v>1279</v>
      </c>
      <c r="H307" s="460" t="n">
        <v>2600032789</v>
      </c>
      <c r="I307" s="425" t="inlineStr">
        <is>
          <t>Approved</t>
        </is>
      </c>
      <c r="J307" s="496" t="n">
        <v>45769</v>
      </c>
      <c r="K307" s="14" t="inlineStr">
        <is>
          <t>UCC( RENTAL)</t>
        </is>
      </c>
      <c r="L307" s="23" t="inlineStr">
        <is>
          <t>-</t>
        </is>
      </c>
      <c r="N307" s="1" t="n"/>
      <c r="O307" s="1" t="n"/>
      <c r="P307" s="1" t="n"/>
      <c r="Q307" s="1" t="n"/>
      <c r="R307" s="1" t="n"/>
      <c r="S307" s="1" t="n"/>
      <c r="T307" s="1" t="n"/>
      <c r="U307" s="1" t="n"/>
      <c r="V307" s="1" t="n"/>
      <c r="W307" s="1" t="n"/>
      <c r="X307" s="1" t="n"/>
      <c r="Y307" s="1" t="n"/>
      <c r="Z307" s="1" t="n"/>
      <c r="AA307" s="1" t="n"/>
      <c r="AB307" s="1" t="n"/>
      <c r="AC307" s="1" t="n"/>
      <c r="AD307" s="1" t="n"/>
      <c r="AE307" s="1" t="n"/>
      <c r="AF307" s="1" t="n"/>
      <c r="AG307" s="1" t="n"/>
      <c r="AH307" s="1" t="n"/>
      <c r="AI307" s="1" t="n"/>
      <c r="AJ307" s="1" t="n"/>
    </row>
    <row r="308" ht="15.75" customHeight="1">
      <c r="A308" s="429" t="n"/>
      <c r="B308" s="429" t="n"/>
      <c r="C308" s="429" t="n"/>
      <c r="D308" s="429" t="n"/>
      <c r="E308" s="32" t="inlineStr">
        <is>
          <t>Sahab Uddin</t>
        </is>
      </c>
      <c r="F308" s="50" t="inlineStr">
        <is>
          <t>Soft Service</t>
        </is>
      </c>
      <c r="G308" s="68" t="n">
        <v>1084</v>
      </c>
      <c r="H308" s="460" t="n">
        <v>2572539522</v>
      </c>
      <c r="I308" s="425" t="inlineStr">
        <is>
          <t>Approved</t>
        </is>
      </c>
      <c r="J308" s="496" t="n">
        <v>45648</v>
      </c>
      <c r="K308" s="14" t="inlineStr">
        <is>
          <t>UCC( RENTAL)</t>
        </is>
      </c>
      <c r="L308" s="23" t="inlineStr">
        <is>
          <t>-</t>
        </is>
      </c>
      <c r="N308" s="1" t="n"/>
      <c r="O308" s="1" t="n"/>
      <c r="P308" s="1" t="n"/>
      <c r="Q308" s="1" t="n"/>
      <c r="R308" s="1" t="n"/>
      <c r="S308" s="1" t="n"/>
      <c r="T308" s="1" t="n"/>
      <c r="U308" s="1" t="n"/>
      <c r="V308" s="1" t="n"/>
      <c r="W308" s="1" t="n"/>
      <c r="X308" s="1" t="n"/>
      <c r="Y308" s="1" t="n"/>
      <c r="Z308" s="1" t="n"/>
      <c r="AA308" s="1" t="n"/>
      <c r="AB308" s="1" t="n"/>
      <c r="AC308" s="1" t="n"/>
      <c r="AD308" s="1" t="n"/>
      <c r="AE308" s="1" t="n"/>
      <c r="AF308" s="1" t="n"/>
      <c r="AG308" s="1" t="n"/>
      <c r="AH308" s="1" t="n"/>
      <c r="AI308" s="1" t="n"/>
      <c r="AJ308" s="1" t="n"/>
    </row>
    <row r="309" ht="15.75" customHeight="1">
      <c r="A309" s="429" t="n"/>
      <c r="B309" s="429" t="n"/>
      <c r="C309" s="429" t="n"/>
      <c r="D309" s="429" t="n"/>
      <c r="E309" s="32" t="inlineStr">
        <is>
          <t>Miah Farid</t>
        </is>
      </c>
      <c r="F309" s="50" t="inlineStr">
        <is>
          <t>Soft Service</t>
        </is>
      </c>
      <c r="G309" s="68" t="inlineStr">
        <is>
          <t>S082</t>
        </is>
      </c>
      <c r="H309" s="460" t="n">
        <v>2588707519</v>
      </c>
      <c r="I309" s="425" t="inlineStr">
        <is>
          <t>Approved</t>
        </is>
      </c>
      <c r="J309" s="496" t="n">
        <v>46098</v>
      </c>
      <c r="K309" s="14" t="inlineStr">
        <is>
          <t>SCC (RENTAL)</t>
        </is>
      </c>
      <c r="L309" s="23" t="inlineStr">
        <is>
          <t>-</t>
        </is>
      </c>
      <c r="N309" s="1" t="n"/>
      <c r="O309" s="1" t="n"/>
      <c r="P309" s="1" t="n"/>
      <c r="Q309" s="1" t="n"/>
      <c r="R309" s="1" t="n"/>
      <c r="S309" s="1" t="n"/>
      <c r="T309" s="1" t="n"/>
      <c r="U309" s="1" t="n"/>
      <c r="V309" s="1" t="n"/>
      <c r="W309" s="1" t="n"/>
      <c r="X309" s="1" t="n"/>
      <c r="Y309" s="1" t="n"/>
      <c r="Z309" s="1" t="n"/>
      <c r="AA309" s="1" t="n"/>
      <c r="AB309" s="1" t="n"/>
      <c r="AC309" s="1" t="n"/>
      <c r="AD309" s="1" t="n"/>
      <c r="AE309" s="1" t="n"/>
      <c r="AF309" s="1" t="n"/>
      <c r="AG309" s="1" t="n"/>
      <c r="AH309" s="1" t="n"/>
      <c r="AI309" s="1" t="n"/>
      <c r="AJ309" s="1" t="n"/>
    </row>
    <row r="310" ht="15.75" customHeight="1">
      <c r="A310" s="429" t="n"/>
      <c r="B310" s="429" t="n"/>
      <c r="C310" s="429" t="n"/>
      <c r="D310" s="429" t="n"/>
      <c r="E310" s="32" t="inlineStr">
        <is>
          <t>Md Mokles</t>
        </is>
      </c>
      <c r="F310" s="50" t="inlineStr">
        <is>
          <t>Soft Service</t>
        </is>
      </c>
      <c r="G310" s="68" t="inlineStr">
        <is>
          <t>R08167</t>
        </is>
      </c>
      <c r="H310" s="460" t="n">
        <v>2596983664</v>
      </c>
      <c r="I310" s="425" t="inlineStr">
        <is>
          <t>Approved</t>
        </is>
      </c>
      <c r="J310" s="496" t="n">
        <v>45762</v>
      </c>
      <c r="K310" s="14" t="inlineStr">
        <is>
          <t>MEHAN (RENTAL)</t>
        </is>
      </c>
      <c r="L310" s="23" t="inlineStr">
        <is>
          <t>-</t>
        </is>
      </c>
      <c r="N310" s="1" t="n"/>
      <c r="O310" s="1" t="n"/>
      <c r="P310" s="1" t="n"/>
      <c r="Q310" s="1" t="n"/>
      <c r="R310" s="1" t="n"/>
      <c r="S310" s="1" t="n"/>
      <c r="T310" s="1" t="n"/>
      <c r="U310" s="1" t="n"/>
      <c r="V310" s="1" t="n"/>
      <c r="W310" s="1" t="n"/>
      <c r="X310" s="1" t="n"/>
      <c r="Y310" s="1" t="n"/>
      <c r="Z310" s="1" t="n"/>
      <c r="AA310" s="1" t="n"/>
      <c r="AB310" s="1" t="n"/>
      <c r="AC310" s="1" t="n"/>
      <c r="AD310" s="1" t="n"/>
      <c r="AE310" s="1" t="n"/>
      <c r="AF310" s="1" t="n"/>
      <c r="AG310" s="1" t="n"/>
      <c r="AH310" s="1" t="n"/>
      <c r="AI310" s="1" t="n"/>
      <c r="AJ310" s="1" t="n"/>
    </row>
    <row r="311" ht="15.75" customHeight="1">
      <c r="A311" s="429" t="n"/>
      <c r="B311" s="429" t="n"/>
      <c r="C311" s="429" t="n"/>
      <c r="D311" s="429" t="n"/>
      <c r="E311" s="32" t="inlineStr">
        <is>
          <t>Lalu Kumar Gosai</t>
        </is>
      </c>
      <c r="F311" s="50" t="inlineStr">
        <is>
          <t>Soft Service</t>
        </is>
      </c>
      <c r="G311" s="68" t="inlineStr">
        <is>
          <t>S348</t>
        </is>
      </c>
      <c r="H311" s="460" t="n">
        <v>2605353206</v>
      </c>
      <c r="I311" s="425" t="inlineStr">
        <is>
          <t>Approved</t>
        </is>
      </c>
      <c r="J311" s="496" t="n">
        <v>45809</v>
      </c>
      <c r="K311" s="14" t="inlineStr">
        <is>
          <t>SCC (RENTAL)</t>
        </is>
      </c>
      <c r="L311" s="23" t="inlineStr">
        <is>
          <t>-</t>
        </is>
      </c>
      <c r="N311" s="1" t="n"/>
      <c r="O311" s="1" t="n"/>
      <c r="P311" s="1" t="n"/>
      <c r="Q311" s="1" t="n"/>
      <c r="R311" s="1" t="n"/>
      <c r="S311" s="1" t="n"/>
      <c r="T311" s="1" t="n"/>
      <c r="U311" s="1" t="n"/>
      <c r="V311" s="1" t="n"/>
      <c r="W311" s="1" t="n"/>
      <c r="X311" s="1" t="n"/>
      <c r="Y311" s="1" t="n"/>
      <c r="Z311" s="1" t="n"/>
      <c r="AA311" s="1" t="n"/>
      <c r="AB311" s="1" t="n"/>
      <c r="AC311" s="1" t="n"/>
      <c r="AD311" s="1" t="n"/>
      <c r="AE311" s="1" t="n"/>
      <c r="AF311" s="1" t="n"/>
      <c r="AG311" s="1" t="n"/>
      <c r="AH311" s="1" t="n"/>
      <c r="AI311" s="1" t="n"/>
      <c r="AJ311" s="1" t="n"/>
    </row>
    <row r="312" ht="15.75" customHeight="1">
      <c r="A312" s="429" t="n"/>
      <c r="B312" s="429" t="n"/>
      <c r="C312" s="429" t="n"/>
      <c r="D312" s="429" t="n"/>
      <c r="E312" s="32" t="inlineStr">
        <is>
          <t>Md Zahangir Alam</t>
        </is>
      </c>
      <c r="F312" s="50" t="inlineStr">
        <is>
          <t>Soft Service</t>
        </is>
      </c>
      <c r="G312" s="68" t="inlineStr">
        <is>
          <t>E069</t>
        </is>
      </c>
      <c r="H312" s="460" t="n">
        <v>2607764004</v>
      </c>
      <c r="I312" s="425" t="inlineStr">
        <is>
          <t>Approved</t>
        </is>
      </c>
      <c r="J312" s="496" t="n">
        <v>46039</v>
      </c>
      <c r="K312" s="14" t="inlineStr">
        <is>
          <t>ESNAD (RENTAL)</t>
        </is>
      </c>
      <c r="L312" s="23" t="inlineStr">
        <is>
          <t>-</t>
        </is>
      </c>
      <c r="N312" s="1" t="n"/>
      <c r="O312" s="1" t="n"/>
      <c r="P312" s="1" t="n"/>
      <c r="Q312" s="1" t="n"/>
      <c r="R312" s="1" t="n"/>
      <c r="S312" s="1" t="n"/>
      <c r="T312" s="1" t="n"/>
      <c r="U312" s="1" t="n"/>
      <c r="V312" s="1" t="n"/>
      <c r="W312" s="1" t="n"/>
      <c r="X312" s="1" t="n"/>
      <c r="Y312" s="1" t="n"/>
      <c r="Z312" s="1" t="n"/>
      <c r="AA312" s="1" t="n"/>
      <c r="AB312" s="1" t="n"/>
      <c r="AC312" s="1" t="n"/>
      <c r="AD312" s="1" t="n"/>
      <c r="AE312" s="1" t="n"/>
      <c r="AF312" s="1" t="n"/>
      <c r="AG312" s="1" t="n"/>
      <c r="AH312" s="1" t="n"/>
      <c r="AI312" s="1" t="n"/>
      <c r="AJ312" s="1" t="n"/>
    </row>
    <row r="313" ht="15.75" customHeight="1">
      <c r="A313" s="429" t="n"/>
      <c r="B313" s="429" t="n"/>
      <c r="C313" s="429" t="n"/>
      <c r="D313" s="429" t="n"/>
      <c r="E313" s="32" t="inlineStr">
        <is>
          <t>Md Mostakin</t>
        </is>
      </c>
      <c r="F313" s="50" t="inlineStr">
        <is>
          <t>Soft Service</t>
        </is>
      </c>
      <c r="G313" s="68" t="inlineStr">
        <is>
          <t>E073</t>
        </is>
      </c>
      <c r="H313" s="460" t="n">
        <v>2607297807</v>
      </c>
      <c r="I313" s="425" t="inlineStr">
        <is>
          <t>Approved</t>
        </is>
      </c>
      <c r="J313" s="496" t="n">
        <v>46039</v>
      </c>
      <c r="K313" s="14" t="inlineStr">
        <is>
          <t>ESNAD (RENTAL)</t>
        </is>
      </c>
      <c r="L313" s="23" t="inlineStr">
        <is>
          <t>-</t>
        </is>
      </c>
      <c r="N313" s="1" t="n"/>
      <c r="O313" s="1" t="n"/>
      <c r="P313" s="1" t="n"/>
      <c r="Q313" s="1" t="n"/>
      <c r="R313" s="1" t="n"/>
      <c r="S313" s="1" t="n"/>
      <c r="T313" s="1" t="n"/>
      <c r="U313" s="1" t="n"/>
      <c r="V313" s="1" t="n"/>
      <c r="W313" s="1" t="n"/>
      <c r="X313" s="1" t="n"/>
      <c r="Y313" s="1" t="n"/>
      <c r="Z313" s="1" t="n"/>
      <c r="AA313" s="1" t="n"/>
      <c r="AB313" s="1" t="n"/>
      <c r="AC313" s="1" t="n"/>
      <c r="AD313" s="1" t="n"/>
      <c r="AE313" s="1" t="n"/>
      <c r="AF313" s="1" t="n"/>
      <c r="AG313" s="1" t="n"/>
      <c r="AH313" s="1" t="n"/>
      <c r="AI313" s="1" t="n"/>
      <c r="AJ313" s="1" t="n"/>
    </row>
    <row r="314" ht="15.75" customHeight="1">
      <c r="A314" s="429" t="n"/>
      <c r="B314" s="429" t="n"/>
      <c r="C314" s="429" t="n"/>
      <c r="D314" s="429" t="n"/>
      <c r="E314" s="32" t="inlineStr">
        <is>
          <t>Md Abu Hanifa</t>
        </is>
      </c>
      <c r="F314" s="50" t="inlineStr">
        <is>
          <t>Soft Service</t>
        </is>
      </c>
      <c r="G314" s="68" t="n">
        <v>1079</v>
      </c>
      <c r="H314" s="460" t="n">
        <v>2571261573</v>
      </c>
      <c r="I314" s="425" t="inlineStr">
        <is>
          <t>Approved</t>
        </is>
      </c>
      <c r="J314" s="496" t="n">
        <v>45648</v>
      </c>
      <c r="K314" s="14" t="inlineStr">
        <is>
          <t>UCC( RENTAL)</t>
        </is>
      </c>
      <c r="L314" s="23" t="inlineStr">
        <is>
          <t>-</t>
        </is>
      </c>
      <c r="N314" s="1" t="n"/>
      <c r="O314" s="1" t="n"/>
      <c r="P314" s="1" t="n"/>
      <c r="Q314" s="1" t="n"/>
      <c r="R314" s="1" t="n"/>
      <c r="S314" s="1" t="n"/>
      <c r="T314" s="1" t="n"/>
      <c r="U314" s="1" t="n"/>
      <c r="V314" s="1" t="n"/>
      <c r="W314" s="1" t="n"/>
      <c r="X314" s="1" t="n"/>
      <c r="Y314" s="1" t="n"/>
      <c r="Z314" s="1" t="n"/>
      <c r="AA314" s="1" t="n"/>
      <c r="AB314" s="1" t="n"/>
      <c r="AC314" s="1" t="n"/>
      <c r="AD314" s="1" t="n"/>
      <c r="AE314" s="1" t="n"/>
      <c r="AF314" s="1" t="n"/>
      <c r="AG314" s="1" t="n"/>
      <c r="AH314" s="1" t="n"/>
      <c r="AI314" s="1" t="n"/>
      <c r="AJ314" s="1" t="n"/>
    </row>
    <row r="315" ht="15.75" customHeight="1">
      <c r="A315" s="429" t="n"/>
      <c r="B315" s="429" t="n"/>
      <c r="C315" s="429" t="n"/>
      <c r="D315" s="429" t="n"/>
      <c r="E315" s="32" t="inlineStr">
        <is>
          <t>Riyad Nazir Ahammad</t>
        </is>
      </c>
      <c r="F315" s="50" t="inlineStr">
        <is>
          <t>Soft Service</t>
        </is>
      </c>
      <c r="G315" s="68" t="inlineStr">
        <is>
          <t>E072</t>
        </is>
      </c>
      <c r="H315" s="460" t="n">
        <v>2607332398</v>
      </c>
      <c r="I315" s="425" t="inlineStr">
        <is>
          <t>Approved</t>
        </is>
      </c>
      <c r="J315" s="496" t="n">
        <v>46039</v>
      </c>
      <c r="K315" s="14" t="inlineStr">
        <is>
          <t>ESNAD (RENTAL)</t>
        </is>
      </c>
      <c r="L315" s="23" t="inlineStr">
        <is>
          <t>-</t>
        </is>
      </c>
      <c r="N315" s="1" t="n"/>
      <c r="O315" s="1" t="n"/>
      <c r="P315" s="1" t="n"/>
      <c r="Q315" s="1" t="n"/>
      <c r="R315" s="1" t="n"/>
      <c r="S315" s="1" t="n"/>
      <c r="T315" s="1" t="n"/>
      <c r="U315" s="1" t="n"/>
      <c r="V315" s="1" t="n"/>
      <c r="W315" s="1" t="n"/>
      <c r="X315" s="1" t="n"/>
      <c r="Y315" s="1" t="n"/>
      <c r="Z315" s="1" t="n"/>
      <c r="AA315" s="1" t="n"/>
      <c r="AB315" s="1" t="n"/>
      <c r="AC315" s="1" t="n"/>
      <c r="AD315" s="1" t="n"/>
      <c r="AE315" s="1" t="n"/>
      <c r="AF315" s="1" t="n"/>
      <c r="AG315" s="1" t="n"/>
      <c r="AH315" s="1" t="n"/>
      <c r="AI315" s="1" t="n"/>
      <c r="AJ315" s="1" t="n"/>
    </row>
    <row r="316" ht="15.75" customHeight="1">
      <c r="A316" s="429" t="n"/>
      <c r="B316" s="429" t="n"/>
      <c r="C316" s="429" t="n"/>
      <c r="D316" s="429" t="n"/>
      <c r="E316" s="32" t="inlineStr">
        <is>
          <t>Ali Hosen</t>
        </is>
      </c>
      <c r="F316" s="50" t="inlineStr">
        <is>
          <t>Soft Service</t>
        </is>
      </c>
      <c r="G316" s="68" t="n">
        <v>1086</v>
      </c>
      <c r="H316" s="460" t="n">
        <v>2570644837</v>
      </c>
      <c r="I316" s="425" t="inlineStr">
        <is>
          <t>Approved</t>
        </is>
      </c>
      <c r="J316" s="496" t="n">
        <v>45648</v>
      </c>
      <c r="K316" s="14" t="inlineStr">
        <is>
          <t>UCC( RENTAL)</t>
        </is>
      </c>
      <c r="L316" s="23" t="inlineStr">
        <is>
          <t>-</t>
        </is>
      </c>
      <c r="N316" s="1" t="n"/>
      <c r="O316" s="1" t="n"/>
      <c r="P316" s="1" t="n"/>
      <c r="Q316" s="1" t="n"/>
      <c r="R316" s="1" t="n"/>
      <c r="S316" s="1" t="n"/>
      <c r="T316" s="1" t="n"/>
      <c r="U316" s="1" t="n"/>
      <c r="V316" s="1" t="n"/>
      <c r="W316" s="1" t="n"/>
      <c r="X316" s="1" t="n"/>
      <c r="Y316" s="1" t="n"/>
      <c r="Z316" s="1" t="n"/>
      <c r="AA316" s="1" t="n"/>
      <c r="AB316" s="1" t="n"/>
      <c r="AC316" s="1" t="n"/>
      <c r="AD316" s="1" t="n"/>
      <c r="AE316" s="1" t="n"/>
      <c r="AF316" s="1" t="n"/>
      <c r="AG316" s="1" t="n"/>
      <c r="AH316" s="1" t="n"/>
      <c r="AI316" s="1" t="n"/>
      <c r="AJ316" s="1" t="n"/>
    </row>
    <row r="317" ht="15" customHeight="1">
      <c r="A317" s="429" t="n"/>
      <c r="B317" s="429" t="n"/>
      <c r="C317" s="429" t="n"/>
      <c r="D317" s="429" t="n"/>
      <c r="E317" s="32" t="inlineStr">
        <is>
          <t>Babul Akkal Ali</t>
        </is>
      </c>
      <c r="F317" s="50" t="inlineStr">
        <is>
          <t>Soft Service</t>
        </is>
      </c>
      <c r="G317" s="68" t="n">
        <v>1282</v>
      </c>
      <c r="H317" s="460" t="n">
        <v>2598730386</v>
      </c>
      <c r="I317" s="425" t="inlineStr">
        <is>
          <t>Approved</t>
        </is>
      </c>
      <c r="J317" s="496" t="n">
        <v>45769</v>
      </c>
      <c r="K317" s="14" t="inlineStr">
        <is>
          <t>UCC( RENTAL)</t>
        </is>
      </c>
      <c r="L317" s="23" t="inlineStr">
        <is>
          <t>-</t>
        </is>
      </c>
      <c r="N317" s="1" t="n"/>
      <c r="O317" s="1" t="n"/>
      <c r="P317" s="1" t="n"/>
      <c r="Q317" s="1" t="n"/>
      <c r="R317" s="1" t="n"/>
      <c r="S317" s="1" t="n"/>
      <c r="T317" s="1" t="n"/>
      <c r="U317" s="1" t="n"/>
      <c r="V317" s="1" t="n"/>
      <c r="W317" s="1" t="n"/>
      <c r="X317" s="1" t="n"/>
      <c r="Y317" s="1" t="n"/>
      <c r="Z317" s="1" t="n"/>
      <c r="AA317" s="1" t="n"/>
      <c r="AB317" s="1" t="n"/>
      <c r="AC317" s="1" t="n"/>
      <c r="AD317" s="1" t="n"/>
      <c r="AE317" s="1" t="n"/>
      <c r="AF317" s="1" t="n"/>
      <c r="AG317" s="1" t="n"/>
      <c r="AH317" s="1" t="n"/>
      <c r="AI317" s="1" t="n"/>
      <c r="AJ317" s="1" t="n"/>
    </row>
    <row r="318" ht="15.75" customHeight="1">
      <c r="A318" s="429" t="n"/>
      <c r="B318" s="429" t="n"/>
      <c r="C318" s="429" t="n"/>
      <c r="D318" s="429" t="n"/>
      <c r="E318" s="32" t="inlineStr">
        <is>
          <t>Md Liton Sheikh</t>
        </is>
      </c>
      <c r="F318" s="50" t="inlineStr">
        <is>
          <t>Soft Service</t>
        </is>
      </c>
      <c r="G318" s="68" t="n">
        <v>1288</v>
      </c>
      <c r="H318" s="460" t="n">
        <v>2600218032</v>
      </c>
      <c r="I318" s="425" t="inlineStr">
        <is>
          <t>Approved</t>
        </is>
      </c>
      <c r="J318" s="496" t="n">
        <v>45769</v>
      </c>
      <c r="K318" s="14" t="inlineStr">
        <is>
          <t>UCC( RENTAL)</t>
        </is>
      </c>
      <c r="L318" s="23" t="inlineStr">
        <is>
          <t>-</t>
        </is>
      </c>
      <c r="N318" s="1" t="n"/>
      <c r="O318" s="1" t="n"/>
      <c r="P318" s="1" t="n"/>
      <c r="Q318" s="1" t="n"/>
      <c r="R318" s="1" t="n"/>
      <c r="S318" s="1" t="n"/>
      <c r="T318" s="1" t="n"/>
      <c r="U318" s="1" t="n"/>
      <c r="V318" s="1" t="n"/>
      <c r="W318" s="1" t="n"/>
      <c r="X318" s="1" t="n"/>
      <c r="Y318" s="1" t="n"/>
      <c r="Z318" s="1" t="n"/>
      <c r="AA318" s="1" t="n"/>
      <c r="AB318" s="1" t="n"/>
      <c r="AC318" s="1" t="n"/>
      <c r="AD318" s="1" t="n"/>
      <c r="AE318" s="1" t="n"/>
      <c r="AF318" s="1" t="n"/>
      <c r="AG318" s="1" t="n"/>
      <c r="AH318" s="1" t="n"/>
      <c r="AI318" s="1" t="n"/>
      <c r="AJ318" s="1" t="n"/>
    </row>
    <row r="319" ht="15.75" customHeight="1">
      <c r="A319" s="429" t="n"/>
      <c r="B319" s="429" t="n"/>
      <c r="C319" s="429" t="n"/>
      <c r="D319" s="429" t="n"/>
      <c r="E319" s="32" t="inlineStr">
        <is>
          <t>Md Sohel Munshi</t>
        </is>
      </c>
      <c r="F319" s="50" t="inlineStr">
        <is>
          <t>Soft Service</t>
        </is>
      </c>
      <c r="G319" s="68" t="n">
        <v>2595208923</v>
      </c>
      <c r="H319" s="460" t="n">
        <v>2595208923</v>
      </c>
      <c r="I319" s="425" t="inlineStr">
        <is>
          <t>Approved</t>
        </is>
      </c>
      <c r="J319" s="496" t="n">
        <v>45975</v>
      </c>
      <c r="K319" s="14" t="inlineStr">
        <is>
          <t>SCC (RENTAL)</t>
        </is>
      </c>
      <c r="L319" s="23" t="inlineStr">
        <is>
          <t>-</t>
        </is>
      </c>
      <c r="N319" s="1" t="n"/>
      <c r="O319" s="1" t="n"/>
      <c r="P319" s="1" t="n"/>
      <c r="Q319" s="1" t="n"/>
      <c r="R319" s="1" t="n"/>
      <c r="S319" s="1" t="n"/>
      <c r="T319" s="1" t="n"/>
      <c r="U319" s="1" t="n"/>
      <c r="V319" s="1" t="n"/>
      <c r="W319" s="1" t="n"/>
      <c r="X319" s="1" t="n"/>
      <c r="Y319" s="1" t="n"/>
      <c r="Z319" s="1" t="n"/>
      <c r="AA319" s="1" t="n"/>
      <c r="AB319" s="1" t="n"/>
      <c r="AC319" s="1" t="n"/>
      <c r="AD319" s="1" t="n"/>
      <c r="AE319" s="1" t="n"/>
      <c r="AF319" s="1" t="n"/>
      <c r="AG319" s="1" t="n"/>
      <c r="AH319" s="1" t="n"/>
      <c r="AI319" s="1" t="n"/>
      <c r="AJ319" s="1" t="n"/>
    </row>
    <row r="320" ht="15.75" customHeight="1">
      <c r="A320" s="429" t="n"/>
      <c r="B320" s="429" t="n"/>
      <c r="C320" s="429" t="n"/>
      <c r="D320" s="429" t="n"/>
      <c r="E320" s="32" t="inlineStr">
        <is>
          <t>Hasibul Islam Hasib</t>
        </is>
      </c>
      <c r="F320" s="50" t="inlineStr">
        <is>
          <t>Soft Service</t>
        </is>
      </c>
      <c r="G320" s="68" t="inlineStr">
        <is>
          <t>E068</t>
        </is>
      </c>
      <c r="H320" s="460" t="n">
        <v>2607768377</v>
      </c>
      <c r="I320" s="425" t="inlineStr">
        <is>
          <t>Approved</t>
        </is>
      </c>
      <c r="J320" s="496" t="n">
        <v>46039</v>
      </c>
      <c r="K320" s="14" t="inlineStr">
        <is>
          <t>SCC (RENTAL)</t>
        </is>
      </c>
      <c r="L320" s="23" t="inlineStr">
        <is>
          <t>-</t>
        </is>
      </c>
      <c r="N320" s="1" t="n"/>
      <c r="O320" s="1" t="n"/>
      <c r="P320" s="1" t="n"/>
      <c r="Q320" s="1" t="n"/>
      <c r="R320" s="1" t="n"/>
      <c r="S320" s="1" t="n"/>
      <c r="T320" s="1" t="n"/>
      <c r="U320" s="1" t="n"/>
      <c r="V320" s="1" t="n"/>
      <c r="W320" s="1" t="n"/>
      <c r="X320" s="1" t="n"/>
      <c r="Y320" s="1" t="n"/>
      <c r="Z320" s="1" t="n"/>
      <c r="AA320" s="1" t="n"/>
      <c r="AB320" s="1" t="n"/>
      <c r="AC320" s="1" t="n"/>
      <c r="AD320" s="1" t="n"/>
      <c r="AE320" s="1" t="n"/>
      <c r="AF320" s="1" t="n"/>
      <c r="AG320" s="1" t="n"/>
      <c r="AH320" s="1" t="n"/>
      <c r="AI320" s="1" t="n"/>
      <c r="AJ320" s="1" t="n"/>
    </row>
    <row r="321" ht="15.75" customHeight="1">
      <c r="A321" s="429" t="n"/>
      <c r="B321" s="429" t="n"/>
      <c r="C321" s="429" t="n"/>
      <c r="D321" s="429" t="n"/>
      <c r="E321" s="32" t="inlineStr">
        <is>
          <t>Md Sabbir Miah</t>
        </is>
      </c>
      <c r="F321" s="50" t="inlineStr">
        <is>
          <t>Soft Service</t>
        </is>
      </c>
      <c r="G321" s="68" t="n">
        <v>1243</v>
      </c>
      <c r="H321" s="460" t="n">
        <v>2587630449</v>
      </c>
      <c r="I321" s="425" t="inlineStr">
        <is>
          <t>Approved</t>
        </is>
      </c>
      <c r="J321" s="496" t="n">
        <v>45627</v>
      </c>
      <c r="K321" s="14" t="inlineStr">
        <is>
          <t>UCC( RENTAL)</t>
        </is>
      </c>
      <c r="L321" s="23" t="inlineStr">
        <is>
          <t>-</t>
        </is>
      </c>
      <c r="N321" s="1" t="n"/>
      <c r="O321" s="1" t="n"/>
      <c r="P321" s="1" t="n"/>
      <c r="Q321" s="1" t="n"/>
      <c r="R321" s="1" t="n"/>
      <c r="S321" s="1" t="n"/>
      <c r="T321" s="1" t="n"/>
      <c r="U321" s="1" t="n"/>
      <c r="V321" s="1" t="n"/>
      <c r="W321" s="1" t="n"/>
      <c r="X321" s="1" t="n"/>
      <c r="Y321" s="1" t="n"/>
      <c r="Z321" s="1" t="n"/>
      <c r="AA321" s="1" t="n"/>
      <c r="AB321" s="1" t="n"/>
      <c r="AC321" s="1" t="n"/>
      <c r="AD321" s="1" t="n"/>
      <c r="AE321" s="1" t="n"/>
      <c r="AF321" s="1" t="n"/>
      <c r="AG321" s="1" t="n"/>
      <c r="AH321" s="1" t="n"/>
      <c r="AI321" s="1" t="n"/>
      <c r="AJ321" s="1" t="n"/>
    </row>
    <row r="322" ht="15.75" customHeight="1">
      <c r="A322" s="429" t="n"/>
      <c r="B322" s="429" t="n"/>
      <c r="C322" s="429" t="n"/>
      <c r="D322" s="429" t="n"/>
      <c r="E322" s="32" t="inlineStr">
        <is>
          <t>AFATAB - - ALAM</t>
        </is>
      </c>
      <c r="F322" s="26" t="inlineStr">
        <is>
          <t>Soft Service</t>
        </is>
      </c>
      <c r="G322" s="425" t="inlineStr">
        <is>
          <t>L00542</t>
        </is>
      </c>
      <c r="H322" s="425" t="n">
        <v>2630508675</v>
      </c>
      <c r="I322" s="425" t="inlineStr">
        <is>
          <t>Approved</t>
        </is>
      </c>
      <c r="J322" s="496" t="n">
        <v>46217</v>
      </c>
      <c r="K322" s="14" t="inlineStr">
        <is>
          <t>Mehan</t>
        </is>
      </c>
      <c r="L322" s="23" t="inlineStr">
        <is>
          <t>-</t>
        </is>
      </c>
      <c r="N322" s="1" t="n"/>
      <c r="O322" s="1" t="n"/>
      <c r="P322" s="1" t="n"/>
      <c r="Q322" s="1" t="n"/>
      <c r="R322" s="1" t="n"/>
      <c r="S322" s="1" t="n"/>
      <c r="T322" s="1" t="n"/>
      <c r="U322" s="1" t="n"/>
      <c r="V322" s="1" t="n"/>
      <c r="W322" s="1" t="n"/>
      <c r="X322" s="1" t="n"/>
      <c r="Y322" s="1" t="n"/>
      <c r="Z322" s="1" t="n"/>
      <c r="AA322" s="1" t="n"/>
      <c r="AB322" s="1" t="n"/>
      <c r="AC322" s="1" t="n"/>
      <c r="AD322" s="1" t="n"/>
      <c r="AE322" s="1" t="n"/>
      <c r="AF322" s="1" t="n"/>
      <c r="AG322" s="1" t="n"/>
      <c r="AH322" s="1" t="n"/>
      <c r="AI322" s="1" t="n"/>
      <c r="AJ322" s="1" t="n"/>
    </row>
    <row r="323" ht="15.75" customHeight="1">
      <c r="A323" s="429" t="n"/>
      <c r="B323" s="429" t="n"/>
      <c r="C323" s="429" t="n"/>
      <c r="D323" s="429" t="n"/>
      <c r="E323" s="32" t="inlineStr">
        <is>
          <t>AKHTAR - - ALI</t>
        </is>
      </c>
      <c r="F323" s="26" t="inlineStr">
        <is>
          <t>Soft Service</t>
        </is>
      </c>
      <c r="G323" s="425" t="inlineStr">
        <is>
          <t>L00756</t>
        </is>
      </c>
      <c r="H323" s="425" t="n">
        <v>2630684070</v>
      </c>
      <c r="I323" s="425" t="inlineStr">
        <is>
          <t>Approved</t>
        </is>
      </c>
      <c r="J323" s="496" t="n">
        <v>46217</v>
      </c>
      <c r="K323" s="14" t="inlineStr">
        <is>
          <t>Mehan</t>
        </is>
      </c>
      <c r="L323" s="23" t="inlineStr">
        <is>
          <t>-</t>
        </is>
      </c>
      <c r="N323" s="1" t="n"/>
      <c r="O323" s="1" t="n"/>
      <c r="P323" s="1" t="n"/>
      <c r="Q323" s="1" t="n"/>
      <c r="R323" s="1" t="n"/>
      <c r="S323" s="1" t="n"/>
      <c r="T323" s="1" t="n"/>
      <c r="U323" s="1" t="n"/>
      <c r="V323" s="1" t="n"/>
      <c r="W323" s="1" t="n"/>
      <c r="X323" s="1" t="n"/>
      <c r="Y323" s="1" t="n"/>
      <c r="Z323" s="1" t="n"/>
      <c r="AA323" s="1" t="n"/>
      <c r="AB323" s="1" t="n"/>
      <c r="AC323" s="1" t="n"/>
      <c r="AD323" s="1" t="n"/>
      <c r="AE323" s="1" t="n"/>
      <c r="AF323" s="1" t="n"/>
      <c r="AG323" s="1" t="n"/>
      <c r="AH323" s="1" t="n"/>
      <c r="AI323" s="1" t="n"/>
      <c r="AJ323" s="1" t="n"/>
    </row>
    <row r="324" ht="15" customHeight="1">
      <c r="A324" s="429" t="n"/>
      <c r="B324" s="429" t="n"/>
      <c r="C324" s="429" t="n"/>
      <c r="D324" s="429" t="n"/>
      <c r="E324" s="32" t="inlineStr">
        <is>
          <t>MD HAFIZUL - - ISLAM</t>
        </is>
      </c>
      <c r="F324" s="26" t="inlineStr">
        <is>
          <t>Soft Service</t>
        </is>
      </c>
      <c r="G324" s="425" t="inlineStr">
        <is>
          <t>R07492</t>
        </is>
      </c>
      <c r="H324" s="425" t="n">
        <v>2588673158</v>
      </c>
      <c r="I324" s="425" t="inlineStr">
        <is>
          <t>Approved</t>
        </is>
      </c>
      <c r="J324" s="496" t="n">
        <v>46217</v>
      </c>
      <c r="K324" s="14" t="inlineStr">
        <is>
          <t>Mehan</t>
        </is>
      </c>
      <c r="L324" s="23" t="inlineStr">
        <is>
          <t>-</t>
        </is>
      </c>
      <c r="N324" s="1" t="n"/>
      <c r="O324" s="1" t="n"/>
      <c r="P324" s="1" t="n"/>
      <c r="Q324" s="1" t="n"/>
      <c r="R324" s="1" t="n"/>
      <c r="S324" s="1" t="n"/>
      <c r="T324" s="1" t="n"/>
      <c r="U324" s="1" t="n"/>
      <c r="V324" s="1" t="n"/>
      <c r="W324" s="1" t="n"/>
      <c r="X324" s="1" t="n"/>
      <c r="Y324" s="1" t="n"/>
      <c r="Z324" s="1" t="n"/>
      <c r="AA324" s="1" t="n"/>
      <c r="AB324" s="1" t="n"/>
      <c r="AC324" s="1" t="n"/>
      <c r="AD324" s="1" t="n"/>
      <c r="AE324" s="1" t="n"/>
      <c r="AF324" s="1" t="n"/>
      <c r="AG324" s="1" t="n"/>
      <c r="AH324" s="1" t="n"/>
      <c r="AI324" s="1" t="n"/>
      <c r="AJ324" s="1" t="n"/>
    </row>
    <row r="325" ht="15.75" customHeight="1">
      <c r="A325" s="431" t="n"/>
      <c r="B325" s="431" t="n"/>
      <c r="C325" s="431" t="n"/>
      <c r="D325" s="431" t="n"/>
      <c r="E325" s="22" t="inlineStr">
        <is>
          <t>Md Jihad Hossain</t>
        </is>
      </c>
      <c r="F325" s="26" t="inlineStr">
        <is>
          <t>Soft Service</t>
        </is>
      </c>
      <c r="G325" s="27" t="inlineStr">
        <is>
          <t>-</t>
        </is>
      </c>
      <c r="H325" s="19" t="n">
        <v>2630970461</v>
      </c>
      <c r="I325" s="425" t="inlineStr">
        <is>
          <t>Approved</t>
        </is>
      </c>
      <c r="J325" s="496" t="n">
        <v>46203</v>
      </c>
      <c r="K325" s="28" t="inlineStr">
        <is>
          <t>JAWAD AL DUWAIL</t>
        </is>
      </c>
      <c r="L325" s="23" t="inlineStr">
        <is>
          <t>-</t>
        </is>
      </c>
      <c r="N325" s="1" t="n"/>
      <c r="O325" s="1" t="n"/>
      <c r="P325" s="1" t="n"/>
      <c r="Q325" s="1" t="n"/>
      <c r="R325" s="1" t="n"/>
      <c r="S325" s="1" t="n"/>
      <c r="T325" s="1" t="n"/>
      <c r="U325" s="1" t="n"/>
      <c r="V325" s="1" t="n"/>
      <c r="W325" s="1" t="n"/>
      <c r="X325" s="1" t="n"/>
      <c r="Y325" s="1" t="n"/>
      <c r="Z325" s="1" t="n"/>
      <c r="AA325" s="1" t="n"/>
      <c r="AB325" s="1" t="n"/>
      <c r="AC325" s="1" t="n"/>
      <c r="AD325" s="1" t="n"/>
      <c r="AE325" s="1" t="n"/>
      <c r="AF325" s="1" t="n"/>
      <c r="AG325" s="1" t="n"/>
      <c r="AH325" s="1" t="n"/>
      <c r="AI325" s="1" t="n"/>
      <c r="AJ325" s="1" t="n"/>
    </row>
    <row r="326" ht="15.75" customHeight="1">
      <c r="A326" s="445" t="inlineStr">
        <is>
          <t>Pest Control Supervisor</t>
        </is>
      </c>
      <c r="B326" s="440" t="n">
        <v>2</v>
      </c>
      <c r="C326" s="440">
        <f>COUNTIF(E326:E327,"&lt;&gt;")</f>
        <v/>
      </c>
      <c r="D326" s="450">
        <f>C326-B326</f>
        <v/>
      </c>
      <c r="E326" s="32" t="inlineStr">
        <is>
          <t>Mohammed Farooq</t>
        </is>
      </c>
      <c r="F326" s="50" t="inlineStr">
        <is>
          <t>Soft Service</t>
        </is>
      </c>
      <c r="G326" s="68" t="inlineStr">
        <is>
          <t>S262</t>
        </is>
      </c>
      <c r="H326" s="460" t="n">
        <v>2597628102</v>
      </c>
      <c r="I326" s="425" t="inlineStr">
        <is>
          <t>Approved</t>
        </is>
      </c>
      <c r="J326" s="496" t="n">
        <v>45744</v>
      </c>
      <c r="K326" s="14" t="inlineStr">
        <is>
          <t>SCC (RENTAL)</t>
        </is>
      </c>
      <c r="L326" s="71" t="inlineStr">
        <is>
          <t>-</t>
        </is>
      </c>
      <c r="N326" s="1" t="n"/>
      <c r="O326" s="1" t="n"/>
      <c r="P326" s="1" t="n"/>
      <c r="Q326" s="1" t="n"/>
      <c r="R326" s="1" t="n"/>
      <c r="S326" s="1" t="n"/>
      <c r="T326" s="1" t="n"/>
      <c r="U326" s="1" t="n"/>
      <c r="V326" s="1" t="n"/>
      <c r="W326" s="1" t="n"/>
      <c r="X326" s="1" t="n"/>
      <c r="Y326" s="1" t="n"/>
      <c r="Z326" s="1" t="n"/>
      <c r="AA326" s="1" t="n"/>
      <c r="AB326" s="1" t="n"/>
      <c r="AC326" s="1" t="n"/>
      <c r="AD326" s="1" t="n"/>
      <c r="AE326" s="1" t="n"/>
      <c r="AF326" s="1" t="n"/>
      <c r="AG326" s="1" t="n"/>
      <c r="AH326" s="1" t="n"/>
      <c r="AI326" s="1" t="n"/>
      <c r="AJ326" s="1" t="n"/>
    </row>
    <row r="327" ht="15.75" customHeight="1">
      <c r="A327" s="431" t="n"/>
      <c r="B327" s="431" t="n"/>
      <c r="C327" s="431" t="n"/>
      <c r="D327" s="451" t="n"/>
      <c r="E327" s="32" t="inlineStr">
        <is>
          <t>Md Yusuf</t>
        </is>
      </c>
      <c r="F327" s="50" t="inlineStr">
        <is>
          <t>Soft Service</t>
        </is>
      </c>
      <c r="G327" s="68" t="n">
        <v>701144</v>
      </c>
      <c r="H327" s="460" t="n">
        <v>2481138937</v>
      </c>
      <c r="I327" s="425" t="inlineStr">
        <is>
          <t>Approved</t>
        </is>
      </c>
      <c r="J327" s="496" t="n">
        <v>45907</v>
      </c>
      <c r="K327" s="14" t="inlineStr">
        <is>
          <t>FMCO</t>
        </is>
      </c>
      <c r="L327" s="71" t="inlineStr">
        <is>
          <t>-</t>
        </is>
      </c>
      <c r="N327" s="1" t="n"/>
      <c r="O327" s="1" t="n"/>
      <c r="P327" s="1" t="n"/>
      <c r="Q327" s="1" t="n"/>
      <c r="R327" s="1" t="n"/>
      <c r="S327" s="1" t="n"/>
      <c r="T327" s="1" t="n"/>
      <c r="U327" s="1" t="n"/>
      <c r="V327" s="1" t="n"/>
      <c r="W327" s="1" t="n"/>
      <c r="X327" s="1" t="n"/>
      <c r="Y327" s="1" t="n"/>
      <c r="Z327" s="1" t="n"/>
      <c r="AA327" s="1" t="n"/>
      <c r="AB327" s="1" t="n"/>
      <c r="AC327" s="1" t="n"/>
      <c r="AD327" s="1" t="n"/>
      <c r="AE327" s="1" t="n"/>
      <c r="AF327" s="1" t="n"/>
      <c r="AG327" s="1" t="n"/>
      <c r="AH327" s="1" t="n"/>
      <c r="AI327" s="1" t="n"/>
      <c r="AJ327" s="1" t="n"/>
    </row>
    <row r="328" ht="15.75" customHeight="1">
      <c r="A328" s="462" t="inlineStr">
        <is>
          <t>Pest Control Technician</t>
        </is>
      </c>
      <c r="B328" s="440" t="n">
        <v>6</v>
      </c>
      <c r="C328" s="440">
        <f>COUNTIF(E328:E333,"&lt;&gt;")</f>
        <v/>
      </c>
      <c r="D328" s="450">
        <f>C328-B328</f>
        <v/>
      </c>
      <c r="E328" s="30" t="inlineStr">
        <is>
          <t xml:space="preserve">MOHAMMED REDOY </t>
        </is>
      </c>
      <c r="F328" s="425" t="inlineStr">
        <is>
          <t>Soft Service</t>
        </is>
      </c>
      <c r="G328" s="460" t="inlineStr">
        <is>
          <t>-</t>
        </is>
      </c>
      <c r="H328" s="460" t="n">
        <v>2602823516</v>
      </c>
      <c r="I328" s="425" t="inlineStr">
        <is>
          <t>Additional</t>
        </is>
      </c>
      <c r="J328" s="496" t="n">
        <v>46245</v>
      </c>
      <c r="K328" s="14" t="inlineStr">
        <is>
          <t>-</t>
        </is>
      </c>
      <c r="L328" s="71" t="inlineStr">
        <is>
          <t>-</t>
        </is>
      </c>
      <c r="N328" s="1" t="n"/>
      <c r="O328" s="1" t="n"/>
      <c r="P328" s="1" t="n"/>
      <c r="Q328" s="1" t="n"/>
      <c r="R328" s="1" t="n"/>
      <c r="S328" s="1" t="n"/>
      <c r="T328" s="1" t="n"/>
      <c r="U328" s="1" t="n"/>
      <c r="V328" s="1" t="n"/>
      <c r="W328" s="1" t="n"/>
      <c r="X328" s="1" t="n"/>
      <c r="Y328" s="1" t="n"/>
      <c r="Z328" s="1" t="n"/>
      <c r="AA328" s="1" t="n"/>
      <c r="AB328" s="1" t="n"/>
      <c r="AC328" s="1" t="n"/>
      <c r="AD328" s="1" t="n"/>
      <c r="AE328" s="1" t="n"/>
      <c r="AF328" s="1" t="n"/>
      <c r="AG328" s="1" t="n"/>
      <c r="AH328" s="1" t="n"/>
      <c r="AI328" s="1" t="n"/>
      <c r="AJ328" s="1" t="n"/>
    </row>
    <row r="329" ht="15.75" customHeight="1">
      <c r="A329" s="429" t="n"/>
      <c r="B329" s="429" t="n"/>
      <c r="C329" s="429" t="n"/>
      <c r="D329" s="453" t="n"/>
      <c r="E329" s="32" t="inlineStr">
        <is>
          <t>Mohammad Arman  Hosan</t>
        </is>
      </c>
      <c r="F329" s="50" t="inlineStr">
        <is>
          <t>Soft Service</t>
        </is>
      </c>
      <c r="G329" s="68" t="n">
        <v>700551</v>
      </c>
      <c r="H329" s="460" t="n">
        <v>2501246637</v>
      </c>
      <c r="I329" s="425" t="inlineStr">
        <is>
          <t>Approved</t>
        </is>
      </c>
      <c r="J329" s="496" t="n">
        <v>45937</v>
      </c>
      <c r="K329" s="14" t="inlineStr">
        <is>
          <t>FMCO</t>
        </is>
      </c>
      <c r="L329" s="71" t="inlineStr">
        <is>
          <t>-</t>
        </is>
      </c>
      <c r="N329" s="1" t="n"/>
      <c r="O329" s="1" t="n"/>
      <c r="P329" s="1" t="n"/>
      <c r="Q329" s="1" t="n"/>
      <c r="R329" s="1" t="n"/>
      <c r="S329" s="1" t="n"/>
      <c r="T329" s="1" t="n"/>
      <c r="U329" s="1" t="n"/>
      <c r="V329" s="1" t="n"/>
      <c r="W329" s="1" t="n"/>
      <c r="X329" s="1" t="n"/>
      <c r="Y329" s="1" t="n"/>
      <c r="Z329" s="1" t="n"/>
      <c r="AA329" s="1" t="n"/>
      <c r="AB329" s="1" t="n"/>
      <c r="AC329" s="1" t="n"/>
      <c r="AD329" s="1" t="n"/>
      <c r="AE329" s="1" t="n"/>
      <c r="AF329" s="1" t="n"/>
      <c r="AG329" s="1" t="n"/>
      <c r="AH329" s="1" t="n"/>
      <c r="AI329" s="1" t="n"/>
      <c r="AJ329" s="1" t="n"/>
    </row>
    <row r="330" ht="15.75" customHeight="1">
      <c r="A330" s="429" t="n"/>
      <c r="B330" s="429" t="n"/>
      <c r="C330" s="429" t="n"/>
      <c r="D330" s="453" t="n"/>
      <c r="E330" s="32" t="inlineStr">
        <is>
          <t>Mostakim Dolal Miah</t>
        </is>
      </c>
      <c r="F330" s="50" t="inlineStr">
        <is>
          <t>Soft Service</t>
        </is>
      </c>
      <c r="G330" s="68" t="inlineStr">
        <is>
          <t>S345</t>
        </is>
      </c>
      <c r="H330" s="460" t="n">
        <v>2602238384</v>
      </c>
      <c r="I330" s="425" t="inlineStr">
        <is>
          <t>Approved</t>
        </is>
      </c>
      <c r="J330" s="496" t="n">
        <v>45809</v>
      </c>
      <c r="K330" s="14" t="inlineStr">
        <is>
          <t>SCC (RENTAL)</t>
        </is>
      </c>
      <c r="L330" s="71" t="inlineStr">
        <is>
          <t>-</t>
        </is>
      </c>
      <c r="N330" s="1" t="n"/>
      <c r="O330" s="1" t="n"/>
      <c r="P330" s="1" t="n"/>
      <c r="Q330" s="1" t="n"/>
      <c r="R330" s="1" t="n"/>
      <c r="S330" s="1" t="n"/>
      <c r="T330" s="1" t="n"/>
      <c r="U330" s="1" t="n"/>
      <c r="V330" s="1" t="n"/>
      <c r="W330" s="1" t="n"/>
      <c r="X330" s="1" t="n"/>
      <c r="Y330" s="1" t="n"/>
      <c r="Z330" s="1" t="n"/>
      <c r="AA330" s="1" t="n"/>
      <c r="AB330" s="1" t="n"/>
      <c r="AC330" s="1" t="n"/>
      <c r="AD330" s="1" t="n"/>
      <c r="AE330" s="1" t="n"/>
      <c r="AF330" s="1" t="n"/>
      <c r="AG330" s="1" t="n"/>
      <c r="AH330" s="1" t="n"/>
      <c r="AI330" s="1" t="n"/>
      <c r="AJ330" s="1" t="n"/>
    </row>
    <row r="331" ht="15.75" customHeight="1">
      <c r="A331" s="429" t="n"/>
      <c r="B331" s="429" t="n"/>
      <c r="C331" s="429" t="n"/>
      <c r="D331" s="453" t="n"/>
      <c r="E331" s="32" t="inlineStr">
        <is>
          <t>Faysal Miah</t>
        </is>
      </c>
      <c r="F331" s="50" t="inlineStr">
        <is>
          <t>Soft Service</t>
        </is>
      </c>
      <c r="G331" s="68" t="n">
        <v>2629084787</v>
      </c>
      <c r="H331" s="460" t="n">
        <v>2629084787</v>
      </c>
      <c r="I331" s="425" t="inlineStr">
        <is>
          <t>Approved</t>
        </is>
      </c>
      <c r="J331" s="496" t="n">
        <v>46085</v>
      </c>
      <c r="K331" s="14" t="inlineStr">
        <is>
          <t>ESNAD (RENTAL)</t>
        </is>
      </c>
      <c r="L331" s="71" t="inlineStr">
        <is>
          <t>-</t>
        </is>
      </c>
      <c r="N331" s="1" t="n"/>
      <c r="O331" s="1" t="n"/>
      <c r="P331" s="1" t="n"/>
      <c r="Q331" s="1" t="n"/>
      <c r="R331" s="1" t="n"/>
      <c r="S331" s="1" t="n"/>
      <c r="T331" s="1" t="n"/>
      <c r="U331" s="1" t="n"/>
      <c r="V331" s="1" t="n"/>
      <c r="W331" s="1" t="n"/>
      <c r="X331" s="1" t="n"/>
      <c r="Y331" s="1" t="n"/>
      <c r="Z331" s="1" t="n"/>
      <c r="AA331" s="1" t="n"/>
      <c r="AB331" s="1" t="n"/>
      <c r="AC331" s="1" t="n"/>
      <c r="AD331" s="1" t="n"/>
      <c r="AE331" s="1" t="n"/>
      <c r="AF331" s="1" t="n"/>
      <c r="AG331" s="1" t="n"/>
      <c r="AH331" s="1" t="n"/>
      <c r="AI331" s="1" t="n"/>
      <c r="AJ331" s="1" t="n"/>
    </row>
    <row r="332" ht="15.75" customHeight="1">
      <c r="A332" s="429" t="n"/>
      <c r="B332" s="429" t="n"/>
      <c r="C332" s="429" t="n"/>
      <c r="D332" s="453" t="n"/>
      <c r="E332" s="32" t="n"/>
      <c r="F332" s="50" t="inlineStr">
        <is>
          <t>Soft Service</t>
        </is>
      </c>
      <c r="G332" s="68" t="n"/>
      <c r="H332" s="460" t="n"/>
      <c r="I332" s="425" t="inlineStr">
        <is>
          <t>Vacant</t>
        </is>
      </c>
      <c r="J332" s="496" t="n"/>
      <c r="K332" s="14" t="n"/>
      <c r="L332" s="71" t="inlineStr">
        <is>
          <t>-</t>
        </is>
      </c>
      <c r="N332" s="1" t="n"/>
      <c r="O332" s="1" t="n"/>
      <c r="P332" s="1" t="n"/>
      <c r="Q332" s="1" t="n"/>
      <c r="R332" s="1" t="n"/>
      <c r="S332" s="1" t="n"/>
      <c r="T332" s="1" t="n"/>
      <c r="U332" s="1" t="n"/>
      <c r="V332" s="1" t="n"/>
      <c r="W332" s="1" t="n"/>
      <c r="X332" s="1" t="n"/>
      <c r="Y332" s="1" t="n"/>
      <c r="Z332" s="1" t="n"/>
      <c r="AA332" s="1" t="n"/>
      <c r="AB332" s="1" t="n"/>
      <c r="AC332" s="1" t="n"/>
      <c r="AD332" s="1" t="n"/>
      <c r="AE332" s="1" t="n"/>
      <c r="AF332" s="1" t="n"/>
      <c r="AG332" s="1" t="n"/>
      <c r="AH332" s="1" t="n"/>
      <c r="AI332" s="1" t="n"/>
      <c r="AJ332" s="1" t="n"/>
    </row>
    <row r="333" ht="15.75" customHeight="1">
      <c r="A333" s="431" t="n"/>
      <c r="B333" s="431" t="n"/>
      <c r="C333" s="431" t="n"/>
      <c r="D333" s="451" t="n"/>
      <c r="E333" s="70" t="inlineStr">
        <is>
          <t>MD Rifad Miah</t>
        </is>
      </c>
      <c r="F333" s="50" t="inlineStr">
        <is>
          <t>Soft Service</t>
        </is>
      </c>
      <c r="G333" s="68" t="n">
        <v>701224</v>
      </c>
      <c r="H333" s="460" t="n">
        <v>2525183352</v>
      </c>
      <c r="I333" s="425" t="inlineStr">
        <is>
          <t>Approved</t>
        </is>
      </c>
      <c r="J333" s="496" t="n">
        <v>45937</v>
      </c>
      <c r="K333" s="14" t="inlineStr">
        <is>
          <t>FMCO</t>
        </is>
      </c>
      <c r="L333" s="71" t="inlineStr">
        <is>
          <t>-</t>
        </is>
      </c>
      <c r="N333" s="1" t="n"/>
      <c r="O333" s="1" t="n"/>
      <c r="P333" s="1" t="n"/>
      <c r="Q333" s="1" t="n"/>
      <c r="R333" s="1" t="n"/>
      <c r="S333" s="1" t="n"/>
      <c r="T333" s="1" t="n"/>
      <c r="U333" s="1" t="n"/>
      <c r="V333" s="1" t="n"/>
      <c r="W333" s="1" t="n"/>
      <c r="X333" s="1" t="n"/>
      <c r="Y333" s="1" t="n"/>
      <c r="Z333" s="1" t="n"/>
      <c r="AA333" s="1" t="n"/>
      <c r="AB333" s="1" t="n"/>
      <c r="AC333" s="1" t="n"/>
      <c r="AD333" s="1" t="n"/>
      <c r="AE333" s="1" t="n"/>
      <c r="AF333" s="1" t="n"/>
      <c r="AG333" s="1" t="n"/>
      <c r="AH333" s="1" t="n"/>
      <c r="AI333" s="1" t="n"/>
      <c r="AJ333" s="1" t="n"/>
    </row>
    <row r="334" ht="15.75" customHeight="1">
      <c r="A334" s="445" t="inlineStr">
        <is>
          <t>Waste Service Supervisor</t>
        </is>
      </c>
      <c r="B334" s="440" t="n">
        <v>2</v>
      </c>
      <c r="C334" s="440">
        <f>COUNTIF(E334:E335,"&lt;&gt;")</f>
        <v/>
      </c>
      <c r="D334" s="441">
        <f>C334-B334</f>
        <v/>
      </c>
      <c r="E334" s="32" t="inlineStr">
        <is>
          <t>Mohammad Yusuf</t>
        </is>
      </c>
      <c r="F334" s="50" t="inlineStr">
        <is>
          <t>Soft Service</t>
        </is>
      </c>
      <c r="G334" s="68" t="inlineStr">
        <is>
          <t>C00641</t>
        </is>
      </c>
      <c r="H334" s="460" t="n">
        <v>2581355860</v>
      </c>
      <c r="I334" s="425" t="inlineStr">
        <is>
          <t>Approved</t>
        </is>
      </c>
      <c r="J334" s="496" t="n">
        <v>45964</v>
      </c>
      <c r="K334" s="14" t="inlineStr">
        <is>
          <t>MEHAN VISA</t>
        </is>
      </c>
      <c r="L334" s="71" t="inlineStr">
        <is>
          <t>-</t>
        </is>
      </c>
      <c r="N334" s="1" t="n"/>
      <c r="O334" s="1" t="n"/>
      <c r="P334" s="1" t="n"/>
      <c r="Q334" s="1" t="n"/>
      <c r="R334" s="1" t="n"/>
      <c r="S334" s="1" t="n"/>
      <c r="T334" s="1" t="n"/>
      <c r="U334" s="1" t="n"/>
      <c r="V334" s="1" t="n"/>
      <c r="W334" s="1" t="n"/>
      <c r="X334" s="1" t="n"/>
      <c r="Y334" s="1" t="n"/>
      <c r="Z334" s="1" t="n"/>
      <c r="AA334" s="1" t="n"/>
      <c r="AB334" s="1" t="n"/>
      <c r="AC334" s="1" t="n"/>
      <c r="AD334" s="1" t="n"/>
      <c r="AE334" s="1" t="n"/>
      <c r="AF334" s="1" t="n"/>
      <c r="AG334" s="1" t="n"/>
      <c r="AH334" s="1" t="n"/>
      <c r="AI334" s="1" t="n"/>
      <c r="AJ334" s="1" t="n"/>
    </row>
    <row r="335" ht="15.75" customHeight="1">
      <c r="A335" s="431" t="n"/>
      <c r="B335" s="431" t="n"/>
      <c r="C335" s="431" t="n"/>
      <c r="D335" s="431" t="n"/>
      <c r="E335" s="56" t="n"/>
      <c r="F335" s="50" t="inlineStr">
        <is>
          <t>Soft Service</t>
        </is>
      </c>
      <c r="G335" s="29" t="inlineStr">
        <is>
          <t>-</t>
        </is>
      </c>
      <c r="H335" s="57" t="inlineStr">
        <is>
          <t>-</t>
        </is>
      </c>
      <c r="I335" s="425" t="inlineStr">
        <is>
          <t>Vacant</t>
        </is>
      </c>
      <c r="J335" s="499" t="n"/>
      <c r="K335" s="14" t="inlineStr">
        <is>
          <t>-</t>
        </is>
      </c>
      <c r="L335" s="23" t="inlineStr">
        <is>
          <t>-</t>
        </is>
      </c>
      <c r="N335" s="1" t="n"/>
      <c r="O335" s="1" t="n"/>
      <c r="P335" s="1" t="n"/>
      <c r="Q335" s="1" t="n"/>
      <c r="R335" s="1" t="n"/>
      <c r="S335" s="1" t="n"/>
      <c r="T335" s="1" t="n"/>
      <c r="U335" s="1" t="n"/>
      <c r="V335" s="1" t="n"/>
      <c r="W335" s="1" t="n"/>
      <c r="X335" s="1" t="n"/>
      <c r="Y335" s="1" t="n"/>
      <c r="Z335" s="1" t="n"/>
      <c r="AA335" s="1" t="n"/>
      <c r="AB335" s="1" t="n"/>
      <c r="AC335" s="1" t="n"/>
      <c r="AD335" s="1" t="n"/>
      <c r="AE335" s="1" t="n"/>
      <c r="AF335" s="1" t="n"/>
      <c r="AG335" s="1" t="n"/>
      <c r="AH335" s="1" t="n"/>
      <c r="AI335" s="1" t="n"/>
      <c r="AJ335" s="1" t="n"/>
    </row>
    <row r="336" ht="15.75" customHeight="1">
      <c r="A336" s="445" t="inlineStr">
        <is>
          <t>Waste Segrigator</t>
        </is>
      </c>
      <c r="B336" s="440" t="n">
        <v>12</v>
      </c>
      <c r="C336" s="440">
        <f>COUNTIF(E336:E347,"&lt;&gt;")</f>
        <v/>
      </c>
      <c r="D336" s="441">
        <f>C336-B336</f>
        <v/>
      </c>
      <c r="E336" s="32" t="inlineStr">
        <is>
          <t>Md Fajlul Haque</t>
        </is>
      </c>
      <c r="F336" s="50" t="inlineStr">
        <is>
          <t>Soft Service</t>
        </is>
      </c>
      <c r="G336" s="460" t="n">
        <v>1249</v>
      </c>
      <c r="H336" s="460" t="n">
        <v>2588073086</v>
      </c>
      <c r="I336" s="425" t="inlineStr">
        <is>
          <t>Approved</t>
        </is>
      </c>
      <c r="J336" s="496" t="n">
        <v>45627</v>
      </c>
      <c r="K336" s="14" t="inlineStr">
        <is>
          <t>UCC( RENTAL)</t>
        </is>
      </c>
      <c r="L336" s="23" t="inlineStr">
        <is>
          <t>-</t>
        </is>
      </c>
      <c r="N336" s="1" t="n"/>
      <c r="O336" s="1" t="n"/>
      <c r="P336" s="1" t="n"/>
      <c r="Q336" s="1" t="n"/>
      <c r="R336" s="1" t="n"/>
      <c r="S336" s="1" t="n"/>
      <c r="T336" s="1" t="n"/>
      <c r="U336" s="1" t="n"/>
      <c r="V336" s="1" t="n"/>
      <c r="W336" s="1" t="n"/>
      <c r="X336" s="1" t="n"/>
      <c r="Y336" s="1" t="n"/>
      <c r="Z336" s="1" t="n"/>
      <c r="AA336" s="1" t="n"/>
      <c r="AB336" s="1" t="n"/>
      <c r="AC336" s="1" t="n"/>
      <c r="AD336" s="1" t="n"/>
      <c r="AE336" s="1" t="n"/>
      <c r="AF336" s="1" t="n"/>
      <c r="AG336" s="1" t="n"/>
      <c r="AH336" s="1" t="n"/>
      <c r="AI336" s="1" t="n"/>
      <c r="AJ336" s="1" t="n"/>
    </row>
    <row r="337" ht="15.75" customHeight="1">
      <c r="A337" s="429" t="n"/>
      <c r="B337" s="429" t="n"/>
      <c r="C337" s="429" t="n"/>
      <c r="D337" s="429" t="n"/>
      <c r="E337" s="32" t="inlineStr">
        <is>
          <t>Abdur Rahim</t>
        </is>
      </c>
      <c r="F337" s="50" t="inlineStr">
        <is>
          <t>Soft Service</t>
        </is>
      </c>
      <c r="G337" s="460" t="inlineStr">
        <is>
          <t>S367</t>
        </is>
      </c>
      <c r="H337" s="460" t="n">
        <v>2602871739</v>
      </c>
      <c r="I337" s="425" t="inlineStr">
        <is>
          <t>Approved</t>
        </is>
      </c>
      <c r="J337" s="496" t="n">
        <v>45820</v>
      </c>
      <c r="K337" s="14" t="inlineStr">
        <is>
          <t>SCC (RENTAL)</t>
        </is>
      </c>
      <c r="L337" s="23" t="inlineStr">
        <is>
          <t>-</t>
        </is>
      </c>
      <c r="N337" s="1" t="n"/>
      <c r="O337" s="1" t="n"/>
      <c r="P337" s="1" t="n"/>
      <c r="Q337" s="1" t="n"/>
      <c r="R337" s="1" t="n"/>
      <c r="S337" s="1" t="n"/>
      <c r="T337" s="1" t="n"/>
      <c r="U337" s="1" t="n"/>
      <c r="V337" s="1" t="n"/>
      <c r="W337" s="1" t="n"/>
      <c r="X337" s="1" t="n"/>
      <c r="Y337" s="1" t="n"/>
      <c r="Z337" s="1" t="n"/>
      <c r="AA337" s="1" t="n"/>
      <c r="AB337" s="1" t="n"/>
      <c r="AC337" s="1" t="n"/>
      <c r="AD337" s="1" t="n"/>
      <c r="AE337" s="1" t="n"/>
      <c r="AF337" s="1" t="n"/>
      <c r="AG337" s="1" t="n"/>
      <c r="AH337" s="1" t="n"/>
      <c r="AI337" s="1" t="n"/>
      <c r="AJ337" s="1" t="n"/>
    </row>
    <row r="338" ht="15.75" customHeight="1">
      <c r="A338" s="429" t="n"/>
      <c r="B338" s="429" t="n"/>
      <c r="C338" s="429" t="n"/>
      <c r="D338" s="429" t="n"/>
      <c r="E338" s="32" t="inlineStr">
        <is>
          <t>Taposh Mondal</t>
        </is>
      </c>
      <c r="F338" s="50" t="inlineStr">
        <is>
          <t>Soft Service</t>
        </is>
      </c>
      <c r="G338" s="460" t="inlineStr">
        <is>
          <t>S067</t>
        </is>
      </c>
      <c r="H338" s="460" t="n">
        <v>2588708095</v>
      </c>
      <c r="I338" s="425" t="inlineStr">
        <is>
          <t>Approved</t>
        </is>
      </c>
      <c r="J338" s="496" t="n">
        <v>45585</v>
      </c>
      <c r="K338" s="14" t="inlineStr">
        <is>
          <t>SCC (RENTAL)</t>
        </is>
      </c>
      <c r="L338" s="23" t="inlineStr">
        <is>
          <t>-</t>
        </is>
      </c>
      <c r="N338" s="1" t="n"/>
      <c r="O338" s="1" t="n"/>
      <c r="P338" s="1" t="n"/>
      <c r="Q338" s="1" t="n"/>
      <c r="R338" s="1" t="n"/>
      <c r="S338" s="1" t="n"/>
      <c r="T338" s="1" t="n"/>
      <c r="U338" s="1" t="n"/>
      <c r="V338" s="1" t="n"/>
      <c r="W338" s="1" t="n"/>
      <c r="X338" s="1" t="n"/>
      <c r="Y338" s="1" t="n"/>
      <c r="Z338" s="1" t="n"/>
      <c r="AA338" s="1" t="n"/>
      <c r="AB338" s="1" t="n"/>
      <c r="AC338" s="1" t="n"/>
      <c r="AD338" s="1" t="n"/>
      <c r="AE338" s="1" t="n"/>
      <c r="AF338" s="1" t="n"/>
      <c r="AG338" s="1" t="n"/>
      <c r="AH338" s="1" t="n"/>
      <c r="AI338" s="1" t="n"/>
      <c r="AJ338" s="1" t="n"/>
    </row>
    <row r="339" ht="15.75" customHeight="1">
      <c r="A339" s="429" t="n"/>
      <c r="B339" s="429" t="n"/>
      <c r="C339" s="429" t="n"/>
      <c r="D339" s="429" t="n"/>
      <c r="E339" s="32" t="inlineStr">
        <is>
          <t>Jabbar -- Tannu</t>
        </is>
      </c>
      <c r="F339" s="50" t="inlineStr">
        <is>
          <t>Soft Service</t>
        </is>
      </c>
      <c r="G339" s="460" t="inlineStr">
        <is>
          <t>R07715</t>
        </is>
      </c>
      <c r="H339" s="460" t="n">
        <v>2595522356</v>
      </c>
      <c r="I339" s="425" t="inlineStr">
        <is>
          <t>Approved</t>
        </is>
      </c>
      <c r="J339" s="496" t="n">
        <v>45702</v>
      </c>
      <c r="K339" s="14" t="inlineStr">
        <is>
          <t>MEHAN (RENTAL)</t>
        </is>
      </c>
      <c r="L339" s="23" t="inlineStr">
        <is>
          <t>-</t>
        </is>
      </c>
      <c r="N339" s="1" t="n"/>
      <c r="O339" s="1" t="n"/>
      <c r="P339" s="1" t="n"/>
      <c r="Q339" s="1" t="n"/>
      <c r="R339" s="1" t="n"/>
      <c r="S339" s="1" t="n"/>
      <c r="T339" s="1" t="n"/>
      <c r="U339" s="1" t="n"/>
      <c r="V339" s="1" t="n"/>
      <c r="W339" s="1" t="n"/>
      <c r="X339" s="1" t="n"/>
      <c r="Y339" s="1" t="n"/>
      <c r="Z339" s="1" t="n"/>
      <c r="AA339" s="1" t="n"/>
      <c r="AB339" s="1" t="n"/>
      <c r="AC339" s="1" t="n"/>
      <c r="AD339" s="1" t="n"/>
      <c r="AE339" s="1" t="n"/>
      <c r="AF339" s="1" t="n"/>
      <c r="AG339" s="1" t="n"/>
      <c r="AH339" s="1" t="n"/>
      <c r="AI339" s="1" t="n"/>
      <c r="AJ339" s="1" t="n"/>
    </row>
    <row r="340" ht="15.75" customHeight="1">
      <c r="A340" s="429" t="n"/>
      <c r="B340" s="429" t="n"/>
      <c r="C340" s="429" t="n"/>
      <c r="D340" s="429" t="n"/>
      <c r="E340" s="32" t="inlineStr">
        <is>
          <t>Mohd Rashid</t>
        </is>
      </c>
      <c r="F340" s="50" t="inlineStr">
        <is>
          <t>Soft Service</t>
        </is>
      </c>
      <c r="G340" s="460" t="inlineStr">
        <is>
          <t>GV104</t>
        </is>
      </c>
      <c r="H340" s="460" t="n">
        <v>2583494873</v>
      </c>
      <c r="I340" s="425" t="inlineStr">
        <is>
          <t>Approved</t>
        </is>
      </c>
      <c r="J340" s="496" t="n">
        <v>45585</v>
      </c>
      <c r="K340" s="14" t="inlineStr">
        <is>
          <t>Gulf Vision ( RENTAL)</t>
        </is>
      </c>
      <c r="L340" s="23" t="inlineStr">
        <is>
          <t>-</t>
        </is>
      </c>
      <c r="N340" s="1" t="n"/>
      <c r="O340" s="1" t="n"/>
      <c r="P340" s="1" t="n"/>
      <c r="Q340" s="1" t="n"/>
      <c r="R340" s="1" t="n"/>
      <c r="S340" s="1" t="n"/>
      <c r="T340" s="1" t="n"/>
      <c r="U340" s="1" t="n"/>
      <c r="V340" s="1" t="n"/>
      <c r="W340" s="1" t="n"/>
      <c r="X340" s="1" t="n"/>
      <c r="Y340" s="1" t="n"/>
      <c r="Z340" s="1" t="n"/>
      <c r="AA340" s="1" t="n"/>
      <c r="AB340" s="1" t="n"/>
      <c r="AC340" s="1" t="n"/>
      <c r="AD340" s="1" t="n"/>
      <c r="AE340" s="1" t="n"/>
      <c r="AF340" s="1" t="n"/>
      <c r="AG340" s="1" t="n"/>
      <c r="AH340" s="1" t="n"/>
      <c r="AI340" s="1" t="n"/>
      <c r="AJ340" s="1" t="n"/>
    </row>
    <row r="341" ht="15.75" customHeight="1">
      <c r="A341" s="429" t="n"/>
      <c r="B341" s="429" t="n"/>
      <c r="C341" s="429" t="n"/>
      <c r="D341" s="429" t="n"/>
      <c r="E341" s="32" t="n"/>
      <c r="F341" s="50" t="inlineStr">
        <is>
          <t>Soft Service</t>
        </is>
      </c>
      <c r="G341" s="460" t="n"/>
      <c r="H341" s="460" t="n"/>
      <c r="I341" s="425" t="inlineStr">
        <is>
          <t>Vacant</t>
        </is>
      </c>
      <c r="J341" s="496" t="n"/>
      <c r="K341" s="14" t="n"/>
      <c r="L341" s="23" t="inlineStr">
        <is>
          <t>-</t>
        </is>
      </c>
      <c r="N341" s="1" t="n"/>
      <c r="O341" s="1" t="n"/>
      <c r="P341" s="1" t="n"/>
      <c r="Q341" s="1" t="n"/>
      <c r="R341" s="1" t="n"/>
      <c r="S341" s="1" t="n"/>
      <c r="T341" s="1" t="n"/>
      <c r="U341" s="1" t="n"/>
      <c r="V341" s="1" t="n"/>
      <c r="W341" s="1" t="n"/>
      <c r="X341" s="1" t="n"/>
      <c r="Y341" s="1" t="n"/>
      <c r="Z341" s="1" t="n"/>
      <c r="AA341" s="1" t="n"/>
      <c r="AB341" s="1" t="n"/>
      <c r="AC341" s="1" t="n"/>
      <c r="AD341" s="1" t="n"/>
      <c r="AE341" s="1" t="n"/>
      <c r="AF341" s="1" t="n"/>
      <c r="AG341" s="1" t="n"/>
      <c r="AH341" s="1" t="n"/>
      <c r="AI341" s="1" t="n"/>
      <c r="AJ341" s="1" t="n"/>
    </row>
    <row r="342" ht="15.75" customHeight="1">
      <c r="A342" s="429" t="n"/>
      <c r="B342" s="429" t="n"/>
      <c r="C342" s="429" t="n"/>
      <c r="D342" s="429" t="n"/>
      <c r="E342" s="18" t="n"/>
      <c r="F342" s="50" t="inlineStr">
        <is>
          <t>Soft Service</t>
        </is>
      </c>
      <c r="G342" s="460" t="inlineStr">
        <is>
          <t>-</t>
        </is>
      </c>
      <c r="H342" s="460" t="inlineStr">
        <is>
          <t>-</t>
        </is>
      </c>
      <c r="I342" s="425" t="inlineStr">
        <is>
          <t>Vacant</t>
        </is>
      </c>
      <c r="J342" s="499" t="n"/>
      <c r="K342" s="14" t="inlineStr">
        <is>
          <t>-</t>
        </is>
      </c>
      <c r="L342" s="23" t="inlineStr">
        <is>
          <t>-</t>
        </is>
      </c>
      <c r="N342" s="1" t="n"/>
      <c r="O342" s="1" t="n"/>
      <c r="P342" s="1" t="n"/>
      <c r="Q342" s="1" t="n"/>
      <c r="R342" s="1" t="n"/>
      <c r="S342" s="1" t="n"/>
      <c r="T342" s="1" t="n"/>
      <c r="U342" s="1" t="n"/>
      <c r="V342" s="1" t="n"/>
      <c r="W342" s="1" t="n"/>
      <c r="X342" s="1" t="n"/>
      <c r="Y342" s="1" t="n"/>
      <c r="Z342" s="1" t="n"/>
      <c r="AA342" s="1" t="n"/>
      <c r="AB342" s="1" t="n"/>
      <c r="AC342" s="1" t="n"/>
      <c r="AD342" s="1" t="n"/>
      <c r="AE342" s="1" t="n"/>
      <c r="AF342" s="1" t="n"/>
      <c r="AG342" s="1" t="n"/>
      <c r="AH342" s="1" t="n"/>
      <c r="AI342" s="1" t="n"/>
      <c r="AJ342" s="1" t="n"/>
    </row>
    <row r="343" ht="15.75" customHeight="1">
      <c r="A343" s="429" t="n"/>
      <c r="B343" s="429" t="n"/>
      <c r="C343" s="429" t="n"/>
      <c r="D343" s="429" t="n"/>
      <c r="E343" s="32" t="inlineStr">
        <is>
          <t>Md Shaidul Islam</t>
        </is>
      </c>
      <c r="F343" s="50" t="inlineStr">
        <is>
          <t>Soft Service</t>
        </is>
      </c>
      <c r="G343" s="460" t="n">
        <v>2629941234</v>
      </c>
      <c r="H343" s="460" t="n">
        <v>2629931234</v>
      </c>
      <c r="I343" s="425" t="inlineStr">
        <is>
          <t>Approved</t>
        </is>
      </c>
      <c r="J343" s="496" t="n">
        <v>46070</v>
      </c>
      <c r="K343" s="14" t="inlineStr">
        <is>
          <t>SCC (RENTAL)</t>
        </is>
      </c>
      <c r="L343" s="23" t="inlineStr">
        <is>
          <t>-</t>
        </is>
      </c>
      <c r="N343" s="1" t="n"/>
      <c r="O343" s="1" t="n"/>
      <c r="P343" s="1" t="n"/>
      <c r="Q343" s="1" t="n"/>
      <c r="R343" s="1" t="n"/>
      <c r="S343" s="1" t="n"/>
      <c r="T343" s="1" t="n"/>
      <c r="U343" s="1" t="n"/>
      <c r="V343" s="1" t="n"/>
      <c r="W343" s="1" t="n"/>
      <c r="X343" s="1" t="n"/>
      <c r="Y343" s="1" t="n"/>
      <c r="Z343" s="1" t="n"/>
      <c r="AA343" s="1" t="n"/>
      <c r="AB343" s="1" t="n"/>
      <c r="AC343" s="1" t="n"/>
      <c r="AD343" s="1" t="n"/>
      <c r="AE343" s="1" t="n"/>
      <c r="AF343" s="1" t="n"/>
      <c r="AG343" s="1" t="n"/>
      <c r="AH343" s="1" t="n"/>
      <c r="AI343" s="1" t="n"/>
      <c r="AJ343" s="1" t="n"/>
    </row>
    <row r="344" ht="15.75" customHeight="1">
      <c r="A344" s="429" t="n"/>
      <c r="B344" s="429" t="n"/>
      <c r="C344" s="429" t="n"/>
      <c r="D344" s="429" t="n"/>
      <c r="E344" s="32" t="inlineStr">
        <is>
          <t>Miraz Hossain</t>
        </is>
      </c>
      <c r="F344" s="50" t="inlineStr">
        <is>
          <t>Soft Service</t>
        </is>
      </c>
      <c r="G344" s="460" t="n">
        <v>2626319152</v>
      </c>
      <c r="H344" s="460" t="n">
        <v>2626319152</v>
      </c>
      <c r="I344" s="425" t="inlineStr">
        <is>
          <t>Approved</t>
        </is>
      </c>
      <c r="J344" s="496" t="n">
        <v>46142</v>
      </c>
      <c r="K344" s="14" t="inlineStr">
        <is>
          <t>AB-HOOR RENTAL</t>
        </is>
      </c>
      <c r="L344" s="23" t="inlineStr">
        <is>
          <t>-</t>
        </is>
      </c>
      <c r="N344" s="1" t="n"/>
      <c r="O344" s="1" t="n"/>
      <c r="P344" s="1" t="n"/>
      <c r="Q344" s="1" t="n"/>
      <c r="R344" s="1" t="n"/>
      <c r="S344" s="1" t="n"/>
      <c r="T344" s="1" t="n"/>
      <c r="U344" s="1" t="n"/>
      <c r="V344" s="1" t="n"/>
      <c r="W344" s="1" t="n"/>
      <c r="X344" s="1" t="n"/>
      <c r="Y344" s="1" t="n"/>
      <c r="Z344" s="1" t="n"/>
      <c r="AA344" s="1" t="n"/>
      <c r="AB344" s="1" t="n"/>
      <c r="AC344" s="1" t="n"/>
      <c r="AD344" s="1" t="n"/>
      <c r="AE344" s="1" t="n"/>
      <c r="AF344" s="1" t="n"/>
      <c r="AG344" s="1" t="n"/>
      <c r="AH344" s="1" t="n"/>
      <c r="AI344" s="1" t="n"/>
      <c r="AJ344" s="1" t="n"/>
    </row>
    <row r="345" ht="15.75" customHeight="1">
      <c r="A345" s="429" t="n"/>
      <c r="B345" s="429" t="n"/>
      <c r="C345" s="429" t="n"/>
      <c r="D345" s="429" t="n"/>
      <c r="E345" s="18" t="n"/>
      <c r="F345" s="50" t="inlineStr">
        <is>
          <t>Soft Service</t>
        </is>
      </c>
      <c r="G345" s="460" t="inlineStr">
        <is>
          <t>-</t>
        </is>
      </c>
      <c r="H345" s="460" t="inlineStr">
        <is>
          <t>-</t>
        </is>
      </c>
      <c r="I345" s="425" t="inlineStr">
        <is>
          <t>Vacant</t>
        </is>
      </c>
      <c r="J345" s="499" t="n"/>
      <c r="K345" s="14" t="inlineStr">
        <is>
          <t>-</t>
        </is>
      </c>
      <c r="L345" s="23" t="inlineStr">
        <is>
          <t>-</t>
        </is>
      </c>
      <c r="N345" s="1" t="n"/>
      <c r="O345" s="1" t="n"/>
      <c r="P345" s="1" t="n"/>
      <c r="Q345" s="1" t="n"/>
      <c r="R345" s="1" t="n"/>
      <c r="S345" s="1" t="n"/>
      <c r="T345" s="1" t="n"/>
      <c r="U345" s="1" t="n"/>
      <c r="V345" s="1" t="n"/>
      <c r="W345" s="1" t="n"/>
      <c r="X345" s="1" t="n"/>
      <c r="Y345" s="1" t="n"/>
      <c r="Z345" s="1" t="n"/>
      <c r="AA345" s="1" t="n"/>
      <c r="AB345" s="1" t="n"/>
      <c r="AC345" s="1" t="n"/>
      <c r="AD345" s="1" t="n"/>
      <c r="AE345" s="1" t="n"/>
      <c r="AF345" s="1" t="n"/>
      <c r="AG345" s="1" t="n"/>
      <c r="AH345" s="1" t="n"/>
      <c r="AI345" s="1" t="n"/>
      <c r="AJ345" s="1" t="n"/>
    </row>
    <row r="346" ht="15.75" customHeight="1">
      <c r="A346" s="429" t="n"/>
      <c r="B346" s="429" t="n"/>
      <c r="C346" s="429" t="n"/>
      <c r="D346" s="429" t="n"/>
      <c r="E346" s="32" t="n"/>
      <c r="F346" s="50" t="inlineStr">
        <is>
          <t>Soft Service</t>
        </is>
      </c>
      <c r="G346" s="460" t="n"/>
      <c r="H346" s="460" t="n"/>
      <c r="I346" s="425" t="inlineStr">
        <is>
          <t>Vacant</t>
        </is>
      </c>
      <c r="J346" s="496" t="n"/>
      <c r="K346" s="14" t="n"/>
      <c r="L346" s="23" t="inlineStr">
        <is>
          <t>-</t>
        </is>
      </c>
      <c r="N346" s="1" t="n"/>
      <c r="O346" s="1" t="n"/>
      <c r="P346" s="1" t="n"/>
      <c r="Q346" s="1" t="n"/>
      <c r="R346" s="1" t="n"/>
      <c r="S346" s="1" t="n"/>
      <c r="T346" s="1" t="n"/>
      <c r="U346" s="1" t="n"/>
      <c r="V346" s="1" t="n"/>
      <c r="W346" s="1" t="n"/>
      <c r="X346" s="1" t="n"/>
      <c r="Y346" s="1" t="n"/>
      <c r="Z346" s="1" t="n"/>
      <c r="AA346" s="1" t="n"/>
      <c r="AB346" s="1" t="n"/>
      <c r="AC346" s="1" t="n"/>
      <c r="AD346" s="1" t="n"/>
      <c r="AE346" s="1" t="n"/>
      <c r="AF346" s="1" t="n"/>
      <c r="AG346" s="1" t="n"/>
      <c r="AH346" s="1" t="n"/>
      <c r="AI346" s="1" t="n"/>
      <c r="AJ346" s="1" t="n"/>
    </row>
    <row r="347" ht="15.75" customHeight="1">
      <c r="A347" s="431" t="n"/>
      <c r="B347" s="431" t="n"/>
      <c r="C347" s="431" t="n"/>
      <c r="D347" s="431" t="n"/>
      <c r="E347" s="32" t="inlineStr">
        <is>
          <t>Md Kawser</t>
        </is>
      </c>
      <c r="F347" s="50" t="inlineStr">
        <is>
          <t>Soft Service</t>
        </is>
      </c>
      <c r="G347" s="460" t="n">
        <v>2628106540</v>
      </c>
      <c r="H347" s="460" t="n">
        <v>2628106540</v>
      </c>
      <c r="I347" s="425" t="inlineStr">
        <is>
          <t>Approved</t>
        </is>
      </c>
      <c r="J347" s="496" t="n">
        <v>46142</v>
      </c>
      <c r="K347" s="14" t="inlineStr">
        <is>
          <t>AB-HOOR RENTAL</t>
        </is>
      </c>
      <c r="L347" s="23" t="inlineStr">
        <is>
          <t>-</t>
        </is>
      </c>
      <c r="N347" s="1" t="n"/>
      <c r="O347" s="1" t="n"/>
      <c r="P347" s="1" t="n"/>
      <c r="Q347" s="1" t="n"/>
      <c r="R347" s="1" t="n"/>
      <c r="S347" s="1" t="n"/>
      <c r="T347" s="1" t="n"/>
      <c r="U347" s="1" t="n"/>
      <c r="V347" s="1" t="n"/>
      <c r="W347" s="1" t="n"/>
      <c r="X347" s="1" t="n"/>
      <c r="Y347" s="1" t="n"/>
      <c r="Z347" s="1" t="n"/>
      <c r="AA347" s="1" t="n"/>
      <c r="AB347" s="1" t="n"/>
      <c r="AC347" s="1" t="n"/>
      <c r="AD347" s="1" t="n"/>
      <c r="AE347" s="1" t="n"/>
      <c r="AF347" s="1" t="n"/>
      <c r="AG347" s="1" t="n"/>
      <c r="AH347" s="1" t="n"/>
      <c r="AI347" s="1" t="n"/>
      <c r="AJ347" s="1" t="n"/>
    </row>
    <row r="348" ht="15.75" customHeight="1">
      <c r="A348" s="445" t="inlineStr">
        <is>
          <t>Waste Collector</t>
        </is>
      </c>
      <c r="B348" s="440" t="n">
        <v>6</v>
      </c>
      <c r="C348" s="440">
        <f>COUNTIF(E348:E353,"&lt;&gt;")</f>
        <v/>
      </c>
      <c r="D348" s="441">
        <f>C348-B348</f>
        <v/>
      </c>
      <c r="E348" s="32" t="inlineStr">
        <is>
          <t>Md Rakib</t>
        </is>
      </c>
      <c r="F348" s="50" t="inlineStr">
        <is>
          <t>Soft Service</t>
        </is>
      </c>
      <c r="G348" s="460" t="n">
        <v>2619194612</v>
      </c>
      <c r="H348" s="460" t="n">
        <v>2619194612</v>
      </c>
      <c r="I348" s="425" t="inlineStr">
        <is>
          <t>Approved</t>
        </is>
      </c>
      <c r="J348" s="496" t="n">
        <v>45967</v>
      </c>
      <c r="K348" s="14" t="inlineStr">
        <is>
          <t>Gulf Vision ( RENTAL)</t>
        </is>
      </c>
      <c r="L348" s="23" t="inlineStr">
        <is>
          <t>-</t>
        </is>
      </c>
      <c r="N348" s="1" t="n"/>
      <c r="O348" s="1" t="n"/>
      <c r="P348" s="1" t="n"/>
      <c r="Q348" s="1" t="n"/>
      <c r="R348" s="1" t="n"/>
      <c r="S348" s="1" t="n"/>
      <c r="T348" s="1" t="n"/>
      <c r="U348" s="1" t="n"/>
      <c r="V348" s="1" t="n"/>
      <c r="W348" s="1" t="n"/>
      <c r="X348" s="1" t="n"/>
      <c r="Y348" s="1" t="n"/>
      <c r="Z348" s="1" t="n"/>
      <c r="AA348" s="1" t="n"/>
      <c r="AB348" s="1" t="n"/>
      <c r="AC348" s="1" t="n"/>
      <c r="AD348" s="1" t="n"/>
      <c r="AE348" s="1" t="n"/>
      <c r="AF348" s="1" t="n"/>
      <c r="AG348" s="1" t="n"/>
      <c r="AH348" s="1" t="n"/>
      <c r="AI348" s="1" t="n"/>
      <c r="AJ348" s="1" t="n"/>
    </row>
    <row r="349" ht="15.75" customHeight="1">
      <c r="A349" s="429" t="n"/>
      <c r="B349" s="429" t="n"/>
      <c r="C349" s="429" t="n"/>
      <c r="D349" s="429" t="n"/>
      <c r="E349" s="32" t="inlineStr">
        <is>
          <t>Mohammed Bellal Hossain</t>
        </is>
      </c>
      <c r="F349" s="50" t="inlineStr">
        <is>
          <t>Soft Service</t>
        </is>
      </c>
      <c r="G349" s="460" t="n">
        <v>2621897020</v>
      </c>
      <c r="H349" s="460" t="n">
        <v>2621897020</v>
      </c>
      <c r="I349" s="425" t="inlineStr">
        <is>
          <t>Approved</t>
        </is>
      </c>
      <c r="J349" s="496" t="n">
        <v>46142</v>
      </c>
      <c r="K349" s="14" t="inlineStr">
        <is>
          <t>AB-HOOR RENTAL</t>
        </is>
      </c>
      <c r="L349" s="23" t="inlineStr">
        <is>
          <t>-</t>
        </is>
      </c>
      <c r="N349" s="1" t="n"/>
      <c r="O349" s="1" t="n"/>
      <c r="P349" s="1" t="n"/>
      <c r="Q349" s="1" t="n"/>
      <c r="R349" s="1" t="n"/>
      <c r="S349" s="1" t="n"/>
      <c r="T349" s="1" t="n"/>
      <c r="U349" s="1" t="n"/>
      <c r="V349" s="1" t="n"/>
      <c r="W349" s="1" t="n"/>
      <c r="X349" s="1" t="n"/>
      <c r="Y349" s="1" t="n"/>
      <c r="Z349" s="1" t="n"/>
      <c r="AA349" s="1" t="n"/>
      <c r="AB349" s="1" t="n"/>
      <c r="AC349" s="1" t="n"/>
      <c r="AD349" s="1" t="n"/>
      <c r="AE349" s="1" t="n"/>
      <c r="AF349" s="1" t="n"/>
      <c r="AG349" s="1" t="n"/>
      <c r="AH349" s="1" t="n"/>
      <c r="AI349" s="1" t="n"/>
      <c r="AJ349" s="1" t="n"/>
    </row>
    <row r="350" ht="15.75" customHeight="1">
      <c r="A350" s="429" t="n"/>
      <c r="B350" s="429" t="n"/>
      <c r="C350" s="429" t="n"/>
      <c r="D350" s="429" t="n"/>
      <c r="E350" s="32" t="inlineStr">
        <is>
          <t>Md Anamul Haque</t>
        </is>
      </c>
      <c r="F350" s="50" t="inlineStr">
        <is>
          <t>Soft Service</t>
        </is>
      </c>
      <c r="G350" s="460" t="inlineStr">
        <is>
          <t>R07469</t>
        </is>
      </c>
      <c r="H350" s="460" t="n">
        <v>2587196615</v>
      </c>
      <c r="I350" s="425" t="inlineStr">
        <is>
          <t>Approved</t>
        </is>
      </c>
      <c r="J350" s="496" t="n">
        <v>45592</v>
      </c>
      <c r="K350" s="14" t="inlineStr">
        <is>
          <t>MEHAN (RENTAL)</t>
        </is>
      </c>
      <c r="L350" s="23" t="inlineStr">
        <is>
          <t>-</t>
        </is>
      </c>
      <c r="N350" s="1" t="n"/>
      <c r="O350" s="1" t="n"/>
      <c r="P350" s="1" t="n"/>
      <c r="Q350" s="1" t="n"/>
      <c r="R350" s="1" t="n"/>
      <c r="S350" s="1" t="n"/>
      <c r="T350" s="1" t="n"/>
      <c r="U350" s="1" t="n"/>
      <c r="V350" s="1" t="n"/>
      <c r="W350" s="1" t="n"/>
      <c r="X350" s="1" t="n"/>
      <c r="Y350" s="1" t="n"/>
      <c r="Z350" s="1" t="n"/>
      <c r="AA350" s="1" t="n"/>
      <c r="AB350" s="1" t="n"/>
      <c r="AC350" s="1" t="n"/>
      <c r="AD350" s="1" t="n"/>
      <c r="AE350" s="1" t="n"/>
      <c r="AF350" s="1" t="n"/>
      <c r="AG350" s="1" t="n"/>
      <c r="AH350" s="1" t="n"/>
      <c r="AI350" s="1" t="n"/>
      <c r="AJ350" s="1" t="n"/>
    </row>
    <row r="351" ht="15.75" customHeight="1">
      <c r="A351" s="429" t="n"/>
      <c r="B351" s="429" t="n"/>
      <c r="C351" s="429" t="n"/>
      <c r="D351" s="429" t="n"/>
      <c r="E351" s="32" t="inlineStr">
        <is>
          <t>Md Al Hadis</t>
        </is>
      </c>
      <c r="F351" s="50" t="inlineStr">
        <is>
          <t>Soft Service</t>
        </is>
      </c>
      <c r="G351" s="460" t="inlineStr">
        <is>
          <t>R07468</t>
        </is>
      </c>
      <c r="H351" s="460" t="n">
        <v>2587196557</v>
      </c>
      <c r="I351" s="425" t="inlineStr">
        <is>
          <t>Approved</t>
        </is>
      </c>
      <c r="J351" s="496" t="n">
        <v>45592</v>
      </c>
      <c r="K351" s="14" t="inlineStr">
        <is>
          <t>MEHAN (RENTAL)</t>
        </is>
      </c>
      <c r="L351" s="23" t="inlineStr">
        <is>
          <t>-</t>
        </is>
      </c>
      <c r="N351" s="1" t="n"/>
      <c r="O351" s="1" t="n"/>
      <c r="P351" s="1" t="n"/>
      <c r="Q351" s="1" t="n"/>
      <c r="R351" s="1" t="n"/>
      <c r="S351" s="1" t="n"/>
      <c r="T351" s="1" t="n"/>
      <c r="U351" s="1" t="n"/>
      <c r="V351" s="1" t="n"/>
      <c r="W351" s="1" t="n"/>
      <c r="X351" s="1" t="n"/>
      <c r="Y351" s="1" t="n"/>
      <c r="Z351" s="1" t="n"/>
      <c r="AA351" s="1" t="n"/>
      <c r="AB351" s="1" t="n"/>
      <c r="AC351" s="1" t="n"/>
      <c r="AD351" s="1" t="n"/>
      <c r="AE351" s="1" t="n"/>
      <c r="AF351" s="1" t="n"/>
      <c r="AG351" s="1" t="n"/>
      <c r="AH351" s="1" t="n"/>
      <c r="AI351" s="1" t="n"/>
      <c r="AJ351" s="1" t="n"/>
    </row>
    <row r="352" ht="15.75" customHeight="1">
      <c r="A352" s="429" t="n"/>
      <c r="B352" s="429" t="n"/>
      <c r="C352" s="429" t="n"/>
      <c r="D352" s="429" t="n"/>
      <c r="E352" s="32" t="inlineStr">
        <is>
          <t>Md Ataur Rahman Sonar</t>
        </is>
      </c>
      <c r="F352" s="50" t="inlineStr">
        <is>
          <t>Soft Service</t>
        </is>
      </c>
      <c r="G352" s="460" t="n">
        <v>2607332513</v>
      </c>
      <c r="H352" s="460" t="n">
        <v>2607332513</v>
      </c>
      <c r="I352" s="425" t="inlineStr">
        <is>
          <t>Approved</t>
        </is>
      </c>
      <c r="J352" s="496" t="n">
        <v>45937</v>
      </c>
      <c r="K352" s="14" t="inlineStr">
        <is>
          <t>ESNAD (RENTAL)</t>
        </is>
      </c>
      <c r="L352" s="23" t="inlineStr">
        <is>
          <t>-</t>
        </is>
      </c>
      <c r="N352" s="1" t="n"/>
      <c r="O352" s="1" t="n"/>
      <c r="P352" s="1" t="n"/>
      <c r="Q352" s="1" t="n"/>
      <c r="R352" s="1" t="n"/>
      <c r="S352" s="1" t="n"/>
      <c r="T352" s="1" t="n"/>
      <c r="U352" s="1" t="n"/>
      <c r="V352" s="1" t="n"/>
      <c r="W352" s="1" t="n"/>
      <c r="X352" s="1" t="n"/>
      <c r="Y352" s="1" t="n"/>
      <c r="Z352" s="1" t="n"/>
      <c r="AA352" s="1" t="n"/>
      <c r="AB352" s="1" t="n"/>
      <c r="AC352" s="1" t="n"/>
      <c r="AD352" s="1" t="n"/>
      <c r="AE352" s="1" t="n"/>
      <c r="AF352" s="1" t="n"/>
      <c r="AG352" s="1" t="n"/>
      <c r="AH352" s="1" t="n"/>
      <c r="AI352" s="1" t="n"/>
      <c r="AJ352" s="1" t="n"/>
    </row>
    <row r="353" ht="15.75" customHeight="1">
      <c r="A353" s="431" t="n"/>
      <c r="B353" s="431" t="n"/>
      <c r="C353" s="431" t="n"/>
      <c r="D353" s="431" t="n"/>
      <c r="E353" s="54" t="inlineStr">
        <is>
          <t>Bulbul Molla</t>
        </is>
      </c>
      <c r="F353" s="50" t="inlineStr">
        <is>
          <t>Soft Service</t>
        </is>
      </c>
      <c r="G353" s="460" t="n">
        <v>2619159144</v>
      </c>
      <c r="H353" s="460" t="n">
        <v>2619159144</v>
      </c>
      <c r="I353" s="425" t="inlineStr">
        <is>
          <t>Approved</t>
        </is>
      </c>
      <c r="J353" s="496" t="n">
        <v>45967</v>
      </c>
      <c r="K353" s="14" t="inlineStr">
        <is>
          <t>Gulf Vision ( RENTAL)</t>
        </is>
      </c>
      <c r="L353" s="23" t="inlineStr">
        <is>
          <t>-</t>
        </is>
      </c>
      <c r="N353" s="1" t="n"/>
      <c r="O353" s="1" t="n"/>
      <c r="P353" s="1" t="n"/>
      <c r="Q353" s="1" t="n"/>
      <c r="R353" s="1" t="n"/>
      <c r="S353" s="1" t="n"/>
      <c r="T353" s="1" t="n"/>
      <c r="U353" s="1" t="n"/>
      <c r="V353" s="1" t="n"/>
      <c r="W353" s="1" t="n"/>
      <c r="X353" s="1" t="n"/>
      <c r="Y353" s="1" t="n"/>
      <c r="Z353" s="1" t="n"/>
      <c r="AA353" s="1" t="n"/>
      <c r="AB353" s="1" t="n"/>
      <c r="AC353" s="1" t="n"/>
      <c r="AD353" s="1" t="n"/>
      <c r="AE353" s="1" t="n"/>
      <c r="AF353" s="1" t="n"/>
      <c r="AG353" s="1" t="n"/>
      <c r="AH353" s="1" t="n"/>
      <c r="AI353" s="1" t="n"/>
      <c r="AJ353" s="1" t="n"/>
    </row>
    <row r="354" ht="14.25" customHeight="1">
      <c r="A354" s="72" t="inlineStr">
        <is>
          <t>Recreation In-Charge</t>
        </is>
      </c>
      <c r="B354" s="441" t="n">
        <v>1</v>
      </c>
      <c r="C354" s="441">
        <f>COUNTIF(E354,"&lt;&gt;")</f>
        <v/>
      </c>
      <c r="D354" s="450">
        <f>C354-B354</f>
        <v/>
      </c>
      <c r="E354" s="32" t="inlineStr">
        <is>
          <t>Jennifer Sumayao De La Cruz</t>
        </is>
      </c>
      <c r="F354" s="50" t="inlineStr">
        <is>
          <t>Soft Service</t>
        </is>
      </c>
      <c r="G354" s="460" t="inlineStr">
        <is>
          <t>-</t>
        </is>
      </c>
      <c r="H354" s="460" t="n">
        <v>2526449646</v>
      </c>
      <c r="I354" s="425" t="inlineStr">
        <is>
          <t>Approved</t>
        </is>
      </c>
      <c r="J354" s="496" t="n">
        <v>46165</v>
      </c>
      <c r="K354" s="14" t="inlineStr">
        <is>
          <t>AL-FALAK VISA</t>
        </is>
      </c>
      <c r="L354" s="73" t="inlineStr">
        <is>
          <t>-</t>
        </is>
      </c>
      <c r="N354" s="1" t="n"/>
      <c r="O354" s="1" t="n"/>
      <c r="P354" s="1" t="n"/>
      <c r="Q354" s="1" t="n"/>
      <c r="R354" s="1" t="n"/>
      <c r="S354" s="1" t="n"/>
      <c r="T354" s="1" t="n"/>
      <c r="U354" s="1" t="n"/>
      <c r="V354" s="1" t="n"/>
      <c r="W354" s="1" t="n"/>
      <c r="X354" s="1" t="n"/>
      <c r="Y354" s="1" t="n"/>
      <c r="Z354" s="1" t="n"/>
      <c r="AA354" s="1" t="n"/>
      <c r="AB354" s="1" t="n"/>
      <c r="AC354" s="1" t="n"/>
      <c r="AD354" s="1" t="n"/>
      <c r="AE354" s="1" t="n"/>
      <c r="AF354" s="1" t="n"/>
      <c r="AG354" s="1" t="n"/>
      <c r="AH354" s="1" t="n"/>
      <c r="AI354" s="1" t="n"/>
      <c r="AJ354" s="1" t="n"/>
    </row>
    <row r="355" ht="14.25" customHeight="1">
      <c r="A355" s="72" t="inlineStr">
        <is>
          <t>Recreation Coordinator</t>
        </is>
      </c>
      <c r="B355" s="441" t="n">
        <v>1</v>
      </c>
      <c r="C355" s="441">
        <f>COUNTIF(E355,"&lt;&gt;")</f>
        <v/>
      </c>
      <c r="D355" s="450">
        <f>C355-B355</f>
        <v/>
      </c>
      <c r="E355" s="22" t="inlineStr">
        <is>
          <t>Ehtisham Wani</t>
        </is>
      </c>
      <c r="F355" s="50" t="inlineStr">
        <is>
          <t>Soft Service</t>
        </is>
      </c>
      <c r="G355" s="27" t="n">
        <v>704259</v>
      </c>
      <c r="H355" s="19" t="n">
        <v>2637726650</v>
      </c>
      <c r="I355" s="425" t="inlineStr">
        <is>
          <t>Approved</t>
        </is>
      </c>
      <c r="J355" s="496" t="n">
        <v>46168</v>
      </c>
      <c r="K355" s="28" t="inlineStr">
        <is>
          <t>FMCO</t>
        </is>
      </c>
      <c r="L355" s="73" t="inlineStr">
        <is>
          <t>-</t>
        </is>
      </c>
      <c r="N355" s="1" t="n"/>
      <c r="O355" s="1" t="n"/>
      <c r="P355" s="1" t="n"/>
      <c r="Q355" s="1" t="n"/>
      <c r="R355" s="1" t="n"/>
      <c r="S355" s="1" t="n"/>
      <c r="T355" s="1" t="n"/>
      <c r="U355" s="1" t="n"/>
      <c r="V355" s="1" t="n"/>
      <c r="W355" s="1" t="n"/>
      <c r="X355" s="1" t="n"/>
      <c r="Y355" s="1" t="n"/>
      <c r="Z355" s="1" t="n"/>
      <c r="AA355" s="1" t="n"/>
      <c r="AB355" s="1" t="n"/>
      <c r="AC355" s="1" t="n"/>
      <c r="AD355" s="1" t="n"/>
      <c r="AE355" s="1" t="n"/>
      <c r="AF355" s="1" t="n"/>
      <c r="AG355" s="1" t="n"/>
      <c r="AH355" s="1" t="n"/>
      <c r="AI355" s="1" t="n"/>
      <c r="AJ355" s="1" t="n"/>
    </row>
    <row r="356" ht="14.25" customHeight="1">
      <c r="A356" s="446" t="inlineStr">
        <is>
          <t>Laundry Supervisor</t>
        </is>
      </c>
      <c r="B356" s="439" t="n">
        <v>2</v>
      </c>
      <c r="C356" s="439">
        <f>COUNTIF(E356:E357,"&lt;&gt;")</f>
        <v/>
      </c>
      <c r="D356" s="439">
        <f>C356-B356</f>
        <v/>
      </c>
      <c r="E356" s="70" t="inlineStr">
        <is>
          <t>Muhammad Talal</t>
        </is>
      </c>
      <c r="F356" s="50" t="inlineStr">
        <is>
          <t>Soft Service</t>
        </is>
      </c>
      <c r="G356" s="425" t="n">
        <v>703455</v>
      </c>
      <c r="H356" s="425" t="n">
        <v>2581992506</v>
      </c>
      <c r="I356" s="425" t="inlineStr">
        <is>
          <t>Approved</t>
        </is>
      </c>
      <c r="J356" s="496" t="n">
        <v>45586</v>
      </c>
      <c r="K356" s="14" t="inlineStr">
        <is>
          <t>FMCO</t>
        </is>
      </c>
      <c r="L356" s="74" t="inlineStr">
        <is>
          <t>-</t>
        </is>
      </c>
      <c r="N356" s="1" t="n"/>
      <c r="O356" s="1" t="n"/>
      <c r="P356" s="1" t="n"/>
      <c r="Q356" s="1" t="n"/>
      <c r="R356" s="1" t="n"/>
      <c r="S356" s="1" t="n"/>
      <c r="T356" s="1" t="n"/>
      <c r="U356" s="1" t="n"/>
      <c r="V356" s="1" t="n"/>
      <c r="W356" s="1" t="n"/>
      <c r="X356" s="1" t="n"/>
      <c r="Y356" s="1" t="n"/>
      <c r="Z356" s="1" t="n"/>
      <c r="AA356" s="1" t="n"/>
      <c r="AB356" s="1" t="n"/>
      <c r="AC356" s="1" t="n"/>
      <c r="AD356" s="1" t="n"/>
      <c r="AE356" s="1" t="n"/>
      <c r="AF356" s="1" t="n"/>
      <c r="AG356" s="1" t="n"/>
      <c r="AH356" s="1" t="n"/>
      <c r="AI356" s="1" t="n"/>
      <c r="AJ356" s="1" t="n"/>
    </row>
    <row r="357" ht="14.25" customHeight="1">
      <c r="A357" s="431" t="n"/>
      <c r="B357" s="431" t="n"/>
      <c r="C357" s="431" t="n"/>
      <c r="D357" s="431" t="n"/>
      <c r="E357" s="32" t="inlineStr">
        <is>
          <t>Danish Jamshed Muhammad</t>
        </is>
      </c>
      <c r="F357" s="50" t="inlineStr">
        <is>
          <t>Soft Service</t>
        </is>
      </c>
      <c r="G357" s="425" t="inlineStr">
        <is>
          <t>C00433</t>
        </is>
      </c>
      <c r="H357" s="425" t="n">
        <v>2581346158</v>
      </c>
      <c r="I357" s="425" t="inlineStr">
        <is>
          <t>Approved</t>
        </is>
      </c>
      <c r="J357" s="496" t="n">
        <v>45902</v>
      </c>
      <c r="K357" s="14" t="inlineStr">
        <is>
          <t>MEHAN VISA</t>
        </is>
      </c>
      <c r="L357" s="74" t="inlineStr">
        <is>
          <t>-</t>
        </is>
      </c>
      <c r="N357" s="1" t="n"/>
      <c r="O357" s="1" t="n"/>
      <c r="P357" s="1" t="n"/>
      <c r="Q357" s="1" t="n"/>
      <c r="R357" s="1" t="n"/>
      <c r="S357" s="1" t="n"/>
      <c r="T357" s="1" t="n"/>
      <c r="U357" s="1" t="n"/>
      <c r="V357" s="1" t="n"/>
      <c r="W357" s="1" t="n"/>
      <c r="X357" s="1" t="n"/>
      <c r="Y357" s="1" t="n"/>
      <c r="Z357" s="1" t="n"/>
      <c r="AA357" s="1" t="n"/>
      <c r="AB357" s="1" t="n"/>
      <c r="AC357" s="1" t="n"/>
      <c r="AD357" s="1" t="n"/>
      <c r="AE357" s="1" t="n"/>
      <c r="AF357" s="1" t="n"/>
      <c r="AG357" s="1" t="n"/>
      <c r="AH357" s="1" t="n"/>
      <c r="AI357" s="1" t="n"/>
      <c r="AJ357" s="1" t="n"/>
    </row>
    <row r="358" ht="14.25" customHeight="1">
      <c r="A358" s="446" t="inlineStr">
        <is>
          <t>Laundry Team leader</t>
        </is>
      </c>
      <c r="B358" s="439" t="n">
        <v>2</v>
      </c>
      <c r="C358" s="439">
        <f>COUNTIF(E358:E359,"&lt;&gt;")</f>
        <v/>
      </c>
      <c r="D358" s="439">
        <f>C358-B358</f>
        <v/>
      </c>
      <c r="E358" s="32" t="inlineStr">
        <is>
          <t>Abidmiya Malek</t>
        </is>
      </c>
      <c r="F358" s="50" t="inlineStr">
        <is>
          <t>Soft Service</t>
        </is>
      </c>
      <c r="G358" s="425" t="inlineStr">
        <is>
          <t>EM-0002840</t>
        </is>
      </c>
      <c r="H358" s="425" t="n">
        <v>2612362174</v>
      </c>
      <c r="I358" s="425" t="inlineStr">
        <is>
          <t>Approved</t>
        </is>
      </c>
      <c r="J358" s="496" t="n">
        <v>45902</v>
      </c>
      <c r="K358" s="14" t="inlineStr">
        <is>
          <t>AL-FALAK VISA</t>
        </is>
      </c>
      <c r="L358" s="75" t="inlineStr">
        <is>
          <t>-</t>
        </is>
      </c>
      <c r="N358" s="1" t="n"/>
      <c r="O358" s="1" t="n"/>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row>
    <row r="359" ht="14.25" customHeight="1">
      <c r="A359" s="431" t="n"/>
      <c r="B359" s="431" t="n"/>
      <c r="C359" s="431" t="n"/>
      <c r="D359" s="431" t="n"/>
      <c r="E359" s="32" t="inlineStr">
        <is>
          <t>Jamal Zahid</t>
        </is>
      </c>
      <c r="F359" s="50" t="inlineStr">
        <is>
          <t>Soft Service</t>
        </is>
      </c>
      <c r="G359" s="425" t="n">
        <v>701750</v>
      </c>
      <c r="H359" s="425" t="n">
        <v>2537299501</v>
      </c>
      <c r="I359" s="425" t="inlineStr">
        <is>
          <t>Approved</t>
        </is>
      </c>
      <c r="J359" s="496" t="n">
        <v>45937</v>
      </c>
      <c r="K359" s="14" t="inlineStr">
        <is>
          <t>FMCO</t>
        </is>
      </c>
      <c r="L359" s="75" t="inlineStr">
        <is>
          <t>-</t>
        </is>
      </c>
      <c r="N359" s="1" t="n"/>
      <c r="O359" s="1" t="n"/>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row>
    <row r="360" ht="14.25" customHeight="1">
      <c r="A360" s="446" t="inlineStr">
        <is>
          <t>Laundry Operatives</t>
        </is>
      </c>
      <c r="B360" s="439" t="n">
        <v>36</v>
      </c>
      <c r="C360" s="439">
        <f>COUNTIF(E360:E395,"&lt;&gt;")</f>
        <v/>
      </c>
      <c r="D360" s="439">
        <f>C360-B360</f>
        <v/>
      </c>
      <c r="E360" s="32" t="inlineStr">
        <is>
          <t>Afsar Ali</t>
        </is>
      </c>
      <c r="F360" s="50" t="inlineStr">
        <is>
          <t>Soft Service</t>
        </is>
      </c>
      <c r="G360" s="425" t="inlineStr">
        <is>
          <t>-</t>
        </is>
      </c>
      <c r="H360" s="425" t="n">
        <v>2571657887</v>
      </c>
      <c r="I360" s="425" t="inlineStr">
        <is>
          <t>Approved</t>
        </is>
      </c>
      <c r="J360" s="496" t="n">
        <v>46178</v>
      </c>
      <c r="K360" s="14" t="inlineStr">
        <is>
          <t>UCC( RENTAL)</t>
        </is>
      </c>
      <c r="L360" s="75" t="inlineStr">
        <is>
          <t>-</t>
        </is>
      </c>
      <c r="N360" s="1" t="n"/>
      <c r="O360" s="1" t="n"/>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row>
    <row r="361" ht="14.25" customHeight="1">
      <c r="A361" s="429" t="n"/>
      <c r="B361" s="429" t="n"/>
      <c r="C361" s="429" t="n"/>
      <c r="D361" s="429" t="n"/>
      <c r="E361" s="32" t="inlineStr">
        <is>
          <t>Md Showeb Molla</t>
        </is>
      </c>
      <c r="F361" s="50" t="inlineStr">
        <is>
          <t>Soft Service</t>
        </is>
      </c>
      <c r="G361" s="425" t="n">
        <v>1049</v>
      </c>
      <c r="H361" s="425" t="n">
        <v>2573679012</v>
      </c>
      <c r="I361" s="425" t="inlineStr">
        <is>
          <t>Approved</t>
        </is>
      </c>
      <c r="J361" s="496" t="n">
        <v>45648</v>
      </c>
      <c r="K361" s="14" t="inlineStr">
        <is>
          <t>UCC( RENTAL)</t>
        </is>
      </c>
      <c r="L361" s="75" t="inlineStr">
        <is>
          <t>-</t>
        </is>
      </c>
      <c r="N361" s="1" t="n"/>
      <c r="O361" s="1" t="n"/>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row>
    <row r="362" ht="14.25" customHeight="1">
      <c r="A362" s="429" t="n"/>
      <c r="B362" s="429" t="n"/>
      <c r="C362" s="429" t="n"/>
      <c r="D362" s="429" t="n"/>
      <c r="E362" s="32" t="inlineStr">
        <is>
          <t>Abdur Rahim</t>
        </is>
      </c>
      <c r="F362" s="50" t="inlineStr">
        <is>
          <t>Soft Service</t>
        </is>
      </c>
      <c r="G362" s="425" t="n">
        <v>1081</v>
      </c>
      <c r="H362" s="425" t="n">
        <v>2569926674</v>
      </c>
      <c r="I362" s="425" t="inlineStr">
        <is>
          <t>Approved</t>
        </is>
      </c>
      <c r="J362" s="496" t="n">
        <v>45648</v>
      </c>
      <c r="K362" s="14" t="inlineStr">
        <is>
          <t>UCC( RENTAL)</t>
        </is>
      </c>
      <c r="L362" s="75" t="inlineStr">
        <is>
          <t>-</t>
        </is>
      </c>
      <c r="N362" s="1" t="n"/>
      <c r="O362" s="1" t="n"/>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row>
    <row r="363" ht="14.25" customHeight="1">
      <c r="A363" s="429" t="n"/>
      <c r="B363" s="429" t="n"/>
      <c r="C363" s="429" t="n"/>
      <c r="D363" s="429" t="n"/>
      <c r="E363" s="32" t="inlineStr">
        <is>
          <t>Rasel Mia</t>
        </is>
      </c>
      <c r="F363" s="50" t="inlineStr">
        <is>
          <t>Soft Service</t>
        </is>
      </c>
      <c r="G363" s="425" t="n">
        <v>1296</v>
      </c>
      <c r="H363" s="425" t="n">
        <v>2598539993</v>
      </c>
      <c r="I363" s="425" t="inlineStr">
        <is>
          <t>Approved</t>
        </is>
      </c>
      <c r="J363" s="496" t="n">
        <v>45769</v>
      </c>
      <c r="K363" s="14" t="inlineStr">
        <is>
          <t>UCC( RENTAL)</t>
        </is>
      </c>
      <c r="L363" s="75" t="inlineStr">
        <is>
          <t>-</t>
        </is>
      </c>
      <c r="N363" s="1" t="n"/>
      <c r="O363" s="1" t="n"/>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row>
    <row r="364" ht="14.25" customHeight="1">
      <c r="A364" s="429" t="n"/>
      <c r="B364" s="429" t="n"/>
      <c r="C364" s="429" t="n"/>
      <c r="D364" s="429" t="n"/>
      <c r="E364" s="32" t="inlineStr">
        <is>
          <t>Mohammad Jibrail</t>
        </is>
      </c>
      <c r="F364" s="50" t="inlineStr">
        <is>
          <t>Soft Service</t>
        </is>
      </c>
      <c r="G364" s="425" t="n">
        <v>18987</v>
      </c>
      <c r="H364" s="425" t="n">
        <v>2575472887</v>
      </c>
      <c r="I364" s="425" t="inlineStr">
        <is>
          <t>Approved</t>
        </is>
      </c>
      <c r="J364" s="496" t="n">
        <v>45902</v>
      </c>
      <c r="K364" s="14" t="inlineStr">
        <is>
          <t>NASEER AL HAMDI</t>
        </is>
      </c>
      <c r="L364" s="75" t="inlineStr">
        <is>
          <t>-</t>
        </is>
      </c>
      <c r="N364" s="1" t="n"/>
      <c r="O364" s="1" t="n"/>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row>
    <row r="365" ht="14.25" customHeight="1">
      <c r="A365" s="429" t="n"/>
      <c r="B365" s="429" t="n"/>
      <c r="C365" s="429" t="n"/>
      <c r="D365" s="429" t="n"/>
      <c r="E365" s="32" t="inlineStr">
        <is>
          <t>Mohammad Belal</t>
        </is>
      </c>
      <c r="F365" s="50" t="inlineStr">
        <is>
          <t>Soft Service</t>
        </is>
      </c>
      <c r="G365" s="425" t="n">
        <v>700372</v>
      </c>
      <c r="H365" s="425" t="n">
        <v>2332859426</v>
      </c>
      <c r="I365" s="425" t="inlineStr">
        <is>
          <t>Approved</t>
        </is>
      </c>
      <c r="J365" s="496" t="n">
        <v>45604</v>
      </c>
      <c r="K365" s="14" t="inlineStr">
        <is>
          <t>FMCO</t>
        </is>
      </c>
      <c r="L365" s="75" t="inlineStr">
        <is>
          <t>-</t>
        </is>
      </c>
      <c r="N365" s="1" t="n"/>
      <c r="O365" s="1" t="n"/>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row>
    <row r="366" ht="14.25" customHeight="1">
      <c r="A366" s="429" t="n"/>
      <c r="B366" s="429" t="n"/>
      <c r="C366" s="429" t="n"/>
      <c r="D366" s="429" t="n"/>
      <c r="E366" s="32" t="inlineStr">
        <is>
          <t>Sagar Mahato</t>
        </is>
      </c>
      <c r="F366" s="50" t="inlineStr">
        <is>
          <t>Soft Service</t>
        </is>
      </c>
      <c r="G366" s="425" t="n">
        <v>701598</v>
      </c>
      <c r="H366" s="425" t="n">
        <v>2534892175</v>
      </c>
      <c r="I366" s="425" t="inlineStr">
        <is>
          <t>Approved</t>
        </is>
      </c>
      <c r="J366" s="496" t="n">
        <v>45902</v>
      </c>
      <c r="K366" s="14" t="inlineStr">
        <is>
          <t>FMCO</t>
        </is>
      </c>
      <c r="L366" s="75" t="inlineStr">
        <is>
          <t>-</t>
        </is>
      </c>
      <c r="N366" s="1" t="n"/>
      <c r="O366" s="1" t="n"/>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row>
    <row r="367" ht="14.25" customHeight="1">
      <c r="A367" s="429" t="n"/>
      <c r="B367" s="429" t="n"/>
      <c r="C367" s="429" t="n"/>
      <c r="D367" s="429" t="n"/>
      <c r="E367" s="32" t="inlineStr">
        <is>
          <t>Asim Shahzad</t>
        </is>
      </c>
      <c r="F367" s="50" t="inlineStr">
        <is>
          <t>Soft Service</t>
        </is>
      </c>
      <c r="G367" s="425" t="n">
        <v>701728</v>
      </c>
      <c r="H367" s="425" t="n">
        <v>2537909059</v>
      </c>
      <c r="I367" s="425" t="inlineStr">
        <is>
          <t>Approved</t>
        </is>
      </c>
      <c r="J367" s="496" t="n">
        <v>45604</v>
      </c>
      <c r="K367" s="14" t="inlineStr">
        <is>
          <t>FMCO</t>
        </is>
      </c>
      <c r="L367" s="20" t="n"/>
      <c r="N367" s="1" t="n"/>
      <c r="O367" s="1" t="n"/>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row>
    <row r="368" ht="14.25" customHeight="1">
      <c r="A368" s="429" t="n"/>
      <c r="B368" s="429" t="n"/>
      <c r="C368" s="429" t="n"/>
      <c r="D368" s="429" t="n"/>
      <c r="E368" s="32" t="inlineStr">
        <is>
          <t>Ravi Ram</t>
        </is>
      </c>
      <c r="F368" s="50" t="inlineStr">
        <is>
          <t>Soft Service</t>
        </is>
      </c>
      <c r="G368" s="425" t="n">
        <v>702140</v>
      </c>
      <c r="H368" s="425" t="n">
        <v>2545745610</v>
      </c>
      <c r="I368" s="425" t="inlineStr">
        <is>
          <t>Approved</t>
        </is>
      </c>
      <c r="J368" s="496" t="n">
        <v>45902</v>
      </c>
      <c r="K368" s="14" t="inlineStr">
        <is>
          <t>FMCO</t>
        </is>
      </c>
      <c r="L368" s="75" t="inlineStr">
        <is>
          <t>-</t>
        </is>
      </c>
      <c r="N368" s="1" t="n"/>
      <c r="O368" s="1" t="n"/>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row>
    <row r="369" ht="14.25" customHeight="1">
      <c r="A369" s="429" t="n"/>
      <c r="B369" s="429" t="n"/>
      <c r="C369" s="429" t="n"/>
      <c r="D369" s="429" t="n"/>
      <c r="E369" s="32" t="inlineStr">
        <is>
          <t>Md Mobin Mia</t>
        </is>
      </c>
      <c r="F369" s="50" t="inlineStr">
        <is>
          <t>Soft Service</t>
        </is>
      </c>
      <c r="G369" s="425" t="inlineStr">
        <is>
          <t>S448</t>
        </is>
      </c>
      <c r="H369" s="425" t="n">
        <v>2621897269</v>
      </c>
      <c r="I369" s="425" t="inlineStr">
        <is>
          <t>Approved</t>
        </is>
      </c>
      <c r="J369" s="496" t="n">
        <v>45996</v>
      </c>
      <c r="K369" s="14" t="inlineStr">
        <is>
          <t>SCC (RENTAL)</t>
        </is>
      </c>
      <c r="L369" s="75" t="inlineStr">
        <is>
          <t>-</t>
        </is>
      </c>
      <c r="N369" s="1" t="n"/>
      <c r="O369" s="1" t="n"/>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row>
    <row r="370" ht="14.25" customHeight="1">
      <c r="A370" s="429" t="n"/>
      <c r="B370" s="429" t="n"/>
      <c r="C370" s="429" t="n"/>
      <c r="D370" s="429" t="n"/>
      <c r="E370" s="22" t="inlineStr">
        <is>
          <t>Md Shamshul Huq</t>
        </is>
      </c>
      <c r="F370" s="439" t="inlineStr">
        <is>
          <t>Soft Service</t>
        </is>
      </c>
      <c r="G370" s="27" t="inlineStr">
        <is>
          <t>-</t>
        </is>
      </c>
      <c r="H370" s="19" t="n">
        <v>2627881481</v>
      </c>
      <c r="I370" s="425" t="inlineStr">
        <is>
          <t>Approved</t>
        </is>
      </c>
      <c r="J370" s="496" t="n">
        <v>46085</v>
      </c>
      <c r="K370" s="113" t="inlineStr">
        <is>
          <t>SCC</t>
        </is>
      </c>
      <c r="L370" s="75" t="inlineStr">
        <is>
          <t>-</t>
        </is>
      </c>
      <c r="N370" s="1" t="n"/>
      <c r="O370" s="1" t="n"/>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row>
    <row r="371" ht="14.25" customHeight="1">
      <c r="A371" s="429" t="n"/>
      <c r="B371" s="429" t="n"/>
      <c r="C371" s="429" t="n"/>
      <c r="D371" s="429" t="n"/>
      <c r="E371" s="32" t="inlineStr">
        <is>
          <t>Md Ariful Islam</t>
        </is>
      </c>
      <c r="F371" s="50" t="inlineStr">
        <is>
          <t>Soft Service</t>
        </is>
      </c>
      <c r="G371" s="425" t="inlineStr">
        <is>
          <t>GV227</t>
        </is>
      </c>
      <c r="H371" s="425" t="n">
        <v>2619194331</v>
      </c>
      <c r="I371" s="425" t="inlineStr">
        <is>
          <t>Approved</t>
        </is>
      </c>
      <c r="J371" s="496" t="n">
        <v>45967</v>
      </c>
      <c r="K371" s="14" t="inlineStr">
        <is>
          <t>GULF VISION ( RENTAL)</t>
        </is>
      </c>
      <c r="L371" s="75" t="inlineStr">
        <is>
          <t>-</t>
        </is>
      </c>
      <c r="N371" s="1" t="n"/>
      <c r="O371" s="1" t="n"/>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row>
    <row r="372" ht="14.25" customHeight="1">
      <c r="A372" s="429" t="n"/>
      <c r="B372" s="429" t="n"/>
      <c r="C372" s="429" t="n"/>
      <c r="D372" s="429" t="n"/>
      <c r="E372" s="32" t="inlineStr">
        <is>
          <t>Mahmudur Rahman</t>
        </is>
      </c>
      <c r="F372" s="50" t="inlineStr">
        <is>
          <t>Soft Service</t>
        </is>
      </c>
      <c r="G372" s="425" t="inlineStr">
        <is>
          <t>-</t>
        </is>
      </c>
      <c r="H372" s="425" t="n">
        <v>2588502761</v>
      </c>
      <c r="I372" s="425" t="inlineStr">
        <is>
          <t>Approved</t>
        </is>
      </c>
      <c r="J372" s="496" t="n">
        <v>46184</v>
      </c>
      <c r="K372" s="14" t="inlineStr">
        <is>
          <t>UCC( RENTAL)</t>
        </is>
      </c>
      <c r="L372" s="75" t="inlineStr">
        <is>
          <t>-</t>
        </is>
      </c>
      <c r="N372" s="1" t="n"/>
      <c r="O372" s="1" t="n"/>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row>
    <row r="373" ht="14.25" customHeight="1">
      <c r="A373" s="429" t="n"/>
      <c r="B373" s="429" t="n"/>
      <c r="C373" s="429" t="n"/>
      <c r="D373" s="429" t="n"/>
      <c r="E373" s="32" t="inlineStr">
        <is>
          <t>Sikandar Ali</t>
        </is>
      </c>
      <c r="F373" s="50" t="inlineStr">
        <is>
          <t>Soft Service</t>
        </is>
      </c>
      <c r="G373" s="425" t="inlineStr">
        <is>
          <t>R07471</t>
        </is>
      </c>
      <c r="H373" s="425" t="n">
        <v>2587196763</v>
      </c>
      <c r="I373" s="425" t="inlineStr">
        <is>
          <t>Approved</t>
        </is>
      </c>
      <c r="J373" s="496" t="n">
        <v>45592</v>
      </c>
      <c r="K373" s="14" t="inlineStr">
        <is>
          <t>MEHAN (RENTAL)</t>
        </is>
      </c>
      <c r="L373" s="75" t="inlineStr">
        <is>
          <t>-</t>
        </is>
      </c>
      <c r="N373" s="1" t="n"/>
      <c r="O373" s="1" t="n"/>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row>
    <row r="374" ht="14.25" customHeight="1">
      <c r="A374" s="429" t="n"/>
      <c r="B374" s="429" t="n"/>
      <c r="C374" s="429" t="n"/>
      <c r="D374" s="429" t="n"/>
      <c r="E374" s="32" t="inlineStr">
        <is>
          <t>Pappu Kumar Singh</t>
        </is>
      </c>
      <c r="F374" s="50" t="inlineStr">
        <is>
          <t>Soft Service</t>
        </is>
      </c>
      <c r="G374" s="425" t="inlineStr">
        <is>
          <t>S211</t>
        </is>
      </c>
      <c r="H374" s="425" t="n">
        <v>2597976436</v>
      </c>
      <c r="I374" s="425" t="inlineStr">
        <is>
          <t>Approved</t>
        </is>
      </c>
      <c r="J374" s="496" t="n">
        <v>45734</v>
      </c>
      <c r="K374" s="14" t="inlineStr">
        <is>
          <t>SCC (RENTAL)</t>
        </is>
      </c>
      <c r="L374" s="75" t="inlineStr">
        <is>
          <t>-</t>
        </is>
      </c>
      <c r="N374" s="1" t="n"/>
      <c r="O374" s="1" t="n"/>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row>
    <row r="375" ht="14.25" customHeight="1">
      <c r="A375" s="429" t="n"/>
      <c r="B375" s="429" t="n"/>
      <c r="C375" s="429" t="n"/>
      <c r="D375" s="429" t="n"/>
      <c r="E375" s="32" t="inlineStr">
        <is>
          <t>Saurabh Kumar</t>
        </is>
      </c>
      <c r="F375" s="50" t="inlineStr">
        <is>
          <t>Soft Service</t>
        </is>
      </c>
      <c r="G375" s="425" t="inlineStr">
        <is>
          <t>S218</t>
        </is>
      </c>
      <c r="H375" s="425" t="n">
        <v>2597976899</v>
      </c>
      <c r="I375" s="425" t="inlineStr">
        <is>
          <t>Approved</t>
        </is>
      </c>
      <c r="J375" s="496" t="n">
        <v>45734</v>
      </c>
      <c r="K375" s="14" t="inlineStr">
        <is>
          <t>SCC (RENTAL)</t>
        </is>
      </c>
      <c r="L375" s="75" t="inlineStr">
        <is>
          <t>-</t>
        </is>
      </c>
      <c r="N375" s="1" t="n"/>
      <c r="O375" s="1" t="n"/>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row>
    <row r="376" ht="14.25" customHeight="1">
      <c r="A376" s="429" t="n"/>
      <c r="B376" s="429" t="n"/>
      <c r="C376" s="429" t="n"/>
      <c r="D376" s="429" t="n"/>
      <c r="E376" s="32" t="inlineStr">
        <is>
          <t>Md Nazmul Hossain</t>
        </is>
      </c>
      <c r="F376" s="50" t="inlineStr">
        <is>
          <t>Soft Service</t>
        </is>
      </c>
      <c r="G376" s="425" t="inlineStr">
        <is>
          <t>S325</t>
        </is>
      </c>
      <c r="H376" s="425" t="n">
        <v>2602237139</v>
      </c>
      <c r="I376" s="425" t="inlineStr">
        <is>
          <t>Approved</t>
        </is>
      </c>
      <c r="J376" s="496" t="n">
        <v>45785</v>
      </c>
      <c r="K376" s="14" t="inlineStr">
        <is>
          <t>SCC (RENTAL)</t>
        </is>
      </c>
      <c r="L376" s="75" t="inlineStr">
        <is>
          <t>-</t>
        </is>
      </c>
      <c r="N376" s="1" t="n"/>
      <c r="O376" s="1" t="n"/>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row>
    <row r="377" ht="14.25" customHeight="1">
      <c r="A377" s="429" t="n"/>
      <c r="B377" s="429" t="n"/>
      <c r="C377" s="429" t="n"/>
      <c r="D377" s="429" t="n"/>
      <c r="E377" s="32" t="inlineStr">
        <is>
          <t>Ram Niwas Yadav</t>
        </is>
      </c>
      <c r="F377" s="50" t="inlineStr">
        <is>
          <t>Soft Service</t>
        </is>
      </c>
      <c r="G377" s="425" t="inlineStr">
        <is>
          <t>S336</t>
        </is>
      </c>
      <c r="H377" s="425" t="n">
        <v>2603240488</v>
      </c>
      <c r="I377" s="425" t="inlineStr">
        <is>
          <t>Approved</t>
        </is>
      </c>
      <c r="J377" s="496" t="n">
        <v>45785</v>
      </c>
      <c r="K377" s="14" t="inlineStr">
        <is>
          <t>SCC (RENTAL)</t>
        </is>
      </c>
      <c r="L377" s="75" t="inlineStr">
        <is>
          <t>-</t>
        </is>
      </c>
      <c r="N377" s="1" t="n"/>
      <c r="O377" s="1" t="n"/>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row>
    <row r="378" ht="14.25" customHeight="1">
      <c r="A378" s="429" t="n"/>
      <c r="B378" s="429" t="n"/>
      <c r="C378" s="429" t="n"/>
      <c r="D378" s="429" t="n"/>
      <c r="E378" s="32" t="inlineStr">
        <is>
          <t>Mohammad Mokim Nat</t>
        </is>
      </c>
      <c r="F378" s="50" t="inlineStr">
        <is>
          <t>Soft Service</t>
        </is>
      </c>
      <c r="G378" s="425" t="inlineStr">
        <is>
          <t>S337</t>
        </is>
      </c>
      <c r="H378" s="425" t="n">
        <v>2603239290</v>
      </c>
      <c r="I378" s="425" t="inlineStr">
        <is>
          <t>Approved</t>
        </is>
      </c>
      <c r="J378" s="496" t="n">
        <v>45785</v>
      </c>
      <c r="K378" s="14" t="inlineStr">
        <is>
          <t>SCC (RENTAL)</t>
        </is>
      </c>
      <c r="L378" s="75" t="inlineStr">
        <is>
          <t>-</t>
        </is>
      </c>
      <c r="N378" s="1" t="n"/>
      <c r="O378" s="1" t="n"/>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row>
    <row r="379" ht="14.25" customHeight="1">
      <c r="A379" s="429" t="n"/>
      <c r="B379" s="429" t="n"/>
      <c r="C379" s="429" t="n"/>
      <c r="D379" s="429" t="n"/>
      <c r="E379" s="32" t="inlineStr">
        <is>
          <t>Md Kawsar Miah</t>
        </is>
      </c>
      <c r="F379" s="50" t="inlineStr">
        <is>
          <t>Soft Service</t>
        </is>
      </c>
      <c r="G379" s="425" t="inlineStr">
        <is>
          <t>S343</t>
        </is>
      </c>
      <c r="H379" s="425" t="n">
        <v>2602871788</v>
      </c>
      <c r="I379" s="425" t="inlineStr">
        <is>
          <t>Approved</t>
        </is>
      </c>
      <c r="J379" s="496" t="n">
        <v>45809</v>
      </c>
      <c r="K379" s="14" t="inlineStr">
        <is>
          <t>SCC (RENTAL)</t>
        </is>
      </c>
      <c r="L379" s="75" t="inlineStr">
        <is>
          <t>-</t>
        </is>
      </c>
      <c r="N379" s="1" t="n"/>
      <c r="O379" s="1" t="n"/>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row>
    <row r="380" ht="14.25" customHeight="1">
      <c r="A380" s="429" t="n"/>
      <c r="B380" s="429" t="n"/>
      <c r="C380" s="429" t="n"/>
      <c r="D380" s="429" t="n"/>
      <c r="E380" s="32" t="inlineStr">
        <is>
          <t>Pablu Miah</t>
        </is>
      </c>
      <c r="F380" s="50" t="inlineStr">
        <is>
          <t>Soft Service</t>
        </is>
      </c>
      <c r="G380" s="425" t="inlineStr">
        <is>
          <t>S344</t>
        </is>
      </c>
      <c r="H380" s="425" t="n">
        <v>2602871952</v>
      </c>
      <c r="I380" s="425" t="inlineStr">
        <is>
          <t>Approved</t>
        </is>
      </c>
      <c r="J380" s="496" t="n">
        <v>45809</v>
      </c>
      <c r="K380" s="14" t="inlineStr">
        <is>
          <t>SCC (RENTAL)</t>
        </is>
      </c>
      <c r="L380" s="75" t="inlineStr">
        <is>
          <t>-</t>
        </is>
      </c>
      <c r="N380" s="1" t="n"/>
      <c r="O380" s="1" t="n"/>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row>
    <row r="381" ht="14.25" customHeight="1">
      <c r="A381" s="429" t="n"/>
      <c r="B381" s="429" t="n"/>
      <c r="C381" s="429" t="n"/>
      <c r="D381" s="429" t="n"/>
      <c r="E381" s="32" t="inlineStr">
        <is>
          <t>Md Motin Miah</t>
        </is>
      </c>
      <c r="F381" s="50" t="inlineStr">
        <is>
          <t>Soft Service</t>
        </is>
      </c>
      <c r="G381" s="425" t="inlineStr">
        <is>
          <t>S346</t>
        </is>
      </c>
      <c r="H381" s="425" t="n">
        <v>2602871820</v>
      </c>
      <c r="I381" s="425" t="inlineStr">
        <is>
          <t>Approved</t>
        </is>
      </c>
      <c r="J381" s="496" t="n">
        <v>45809</v>
      </c>
      <c r="K381" s="14" t="inlineStr">
        <is>
          <t>SCC (RENTAL)</t>
        </is>
      </c>
      <c r="L381" s="75" t="inlineStr">
        <is>
          <t>-</t>
        </is>
      </c>
      <c r="N381" s="1" t="n"/>
      <c r="O381" s="1" t="n"/>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row>
    <row r="382" ht="14.25" customHeight="1">
      <c r="A382" s="429" t="n"/>
      <c r="B382" s="429" t="n"/>
      <c r="C382" s="429" t="n"/>
      <c r="D382" s="429" t="n"/>
      <c r="E382" s="32" t="inlineStr">
        <is>
          <t>Toriqul Islam</t>
        </is>
      </c>
      <c r="F382" s="50" t="inlineStr">
        <is>
          <t>Soft Service</t>
        </is>
      </c>
      <c r="G382" s="425" t="inlineStr">
        <is>
          <t>S358</t>
        </is>
      </c>
      <c r="H382" s="425" t="n">
        <v>2606020903</v>
      </c>
      <c r="I382" s="425" t="inlineStr">
        <is>
          <t>Approved</t>
        </is>
      </c>
      <c r="J382" s="496" t="n">
        <v>45818</v>
      </c>
      <c r="K382" s="14" t="inlineStr">
        <is>
          <t>SCC (RENTAL)</t>
        </is>
      </c>
      <c r="L382" s="75" t="inlineStr">
        <is>
          <t>-</t>
        </is>
      </c>
      <c r="N382" s="1" t="n"/>
      <c r="O382" s="1" t="n"/>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row>
    <row r="383" ht="14.25" customHeight="1">
      <c r="A383" s="429" t="n"/>
      <c r="B383" s="429" t="n"/>
      <c r="C383" s="429" t="n"/>
      <c r="D383" s="429" t="n"/>
      <c r="E383" s="32" t="inlineStr">
        <is>
          <t>Badsha Miah</t>
        </is>
      </c>
      <c r="F383" s="50" t="inlineStr">
        <is>
          <t>Soft Service</t>
        </is>
      </c>
      <c r="G383" s="425" t="inlineStr">
        <is>
          <t>S366</t>
        </is>
      </c>
      <c r="H383" s="425" t="n">
        <v>2602238921</v>
      </c>
      <c r="I383" s="425" t="inlineStr">
        <is>
          <t>Approved</t>
        </is>
      </c>
      <c r="J383" s="496" t="n">
        <v>45820</v>
      </c>
      <c r="K383" s="14" t="inlineStr">
        <is>
          <t>SCC (RENTAL)</t>
        </is>
      </c>
      <c r="L383" s="75" t="inlineStr">
        <is>
          <t>-</t>
        </is>
      </c>
      <c r="N383" s="1" t="n"/>
      <c r="O383" s="1" t="n"/>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row>
    <row r="384" ht="14.25" customHeight="1">
      <c r="A384" s="429" t="n"/>
      <c r="B384" s="429" t="n"/>
      <c r="C384" s="429" t="n"/>
      <c r="D384" s="429" t="n"/>
      <c r="E384" s="32" t="n"/>
      <c r="F384" s="50" t="inlineStr">
        <is>
          <t>Soft Service</t>
        </is>
      </c>
      <c r="G384" s="425" t="inlineStr">
        <is>
          <t>-</t>
        </is>
      </c>
      <c r="H384" s="425" t="inlineStr">
        <is>
          <t>-</t>
        </is>
      </c>
      <c r="I384" s="425" t="inlineStr">
        <is>
          <t>Vacant</t>
        </is>
      </c>
      <c r="J384" s="496" t="n"/>
      <c r="K384" s="14" t="inlineStr">
        <is>
          <t>-</t>
        </is>
      </c>
      <c r="L384" s="75" t="n"/>
      <c r="N384" s="1" t="n"/>
      <c r="O384" s="1" t="n"/>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row>
    <row r="385" ht="14.25" customHeight="1">
      <c r="A385" s="429" t="n"/>
      <c r="B385" s="429" t="n"/>
      <c r="C385" s="429" t="n"/>
      <c r="D385" s="429" t="n"/>
      <c r="E385" s="32" t="inlineStr">
        <is>
          <t>Krishna Ram</t>
        </is>
      </c>
      <c r="F385" s="50" t="inlineStr">
        <is>
          <t>Soft Service</t>
        </is>
      </c>
      <c r="G385" s="425" t="n">
        <v>1321</v>
      </c>
      <c r="H385" s="425" t="n">
        <v>2609040486</v>
      </c>
      <c r="I385" s="425" t="inlineStr">
        <is>
          <t>Approved</t>
        </is>
      </c>
      <c r="J385" s="496" t="n">
        <v>45866</v>
      </c>
      <c r="K385" s="14" t="inlineStr">
        <is>
          <t>UCC( RENTAL)</t>
        </is>
      </c>
      <c r="L385" s="75" t="inlineStr">
        <is>
          <t>-</t>
        </is>
      </c>
      <c r="N385" s="1" t="n"/>
      <c r="O385" s="1" t="n"/>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row>
    <row r="386" ht="14.25" customHeight="1">
      <c r="A386" s="429" t="n"/>
      <c r="B386" s="429" t="n"/>
      <c r="C386" s="429" t="n"/>
      <c r="D386" s="429" t="n"/>
      <c r="E386" s="32" t="inlineStr">
        <is>
          <t>Sohel Rana Manik</t>
        </is>
      </c>
      <c r="F386" s="50" t="inlineStr">
        <is>
          <t>Soft Service</t>
        </is>
      </c>
      <c r="G386" s="425" t="n">
        <v>1189</v>
      </c>
      <c r="H386" s="425" t="n">
        <v>2574558009</v>
      </c>
      <c r="I386" s="425" t="inlineStr">
        <is>
          <t>Approved</t>
        </is>
      </c>
      <c r="J386" s="496" t="n">
        <v>45902</v>
      </c>
      <c r="K386" s="14" t="inlineStr">
        <is>
          <t>UCC( RENTAL)</t>
        </is>
      </c>
      <c r="L386" s="75" t="inlineStr">
        <is>
          <t>-</t>
        </is>
      </c>
      <c r="N386" s="1" t="n"/>
      <c r="O386" s="1" t="n"/>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row>
    <row r="387" ht="14.25" customHeight="1">
      <c r="A387" s="429" t="n"/>
      <c r="B387" s="429" t="n"/>
      <c r="C387" s="429" t="n"/>
      <c r="D387" s="429" t="n"/>
      <c r="E387" s="32" t="inlineStr">
        <is>
          <t>Krishna Das</t>
        </is>
      </c>
      <c r="F387" s="50" t="inlineStr">
        <is>
          <t>Soft Service</t>
        </is>
      </c>
      <c r="G387" s="425" t="inlineStr">
        <is>
          <t>S313</t>
        </is>
      </c>
      <c r="H387" s="425" t="n">
        <v>2606912703</v>
      </c>
      <c r="I387" s="425" t="inlineStr">
        <is>
          <t>Approved</t>
        </is>
      </c>
      <c r="J387" s="496" t="n">
        <v>45957</v>
      </c>
      <c r="K387" s="14" t="inlineStr">
        <is>
          <t>SCC (RENTAL)</t>
        </is>
      </c>
      <c r="L387" s="75" t="inlineStr">
        <is>
          <t>-</t>
        </is>
      </c>
      <c r="N387" s="1" t="n"/>
      <c r="O387" s="1" t="n"/>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row>
    <row r="388" ht="14.25" customHeight="1">
      <c r="A388" s="429" t="n"/>
      <c r="B388" s="429" t="n"/>
      <c r="C388" s="429" t="n"/>
      <c r="D388" s="429" t="n"/>
      <c r="E388" s="32" t="inlineStr">
        <is>
          <t>Md. Chand</t>
        </is>
      </c>
      <c r="F388" s="50" t="inlineStr">
        <is>
          <t>Soft Service</t>
        </is>
      </c>
      <c r="G388" s="425" t="inlineStr">
        <is>
          <t>S312</t>
        </is>
      </c>
      <c r="H388" s="425" t="n">
        <v>2606912455</v>
      </c>
      <c r="I388" s="425" t="inlineStr">
        <is>
          <t>Approved</t>
        </is>
      </c>
      <c r="J388" s="496" t="n">
        <v>45957</v>
      </c>
      <c r="K388" s="14" t="inlineStr">
        <is>
          <t>SCC (RENTAL)</t>
        </is>
      </c>
      <c r="L388" s="75" t="inlineStr">
        <is>
          <t>-</t>
        </is>
      </c>
      <c r="N388" s="1" t="n"/>
      <c r="O388" s="1" t="n"/>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row>
    <row r="389" ht="14.25" customHeight="1">
      <c r="A389" s="429" t="n"/>
      <c r="B389" s="429" t="n"/>
      <c r="C389" s="429" t="n"/>
      <c r="D389" s="429" t="n"/>
      <c r="E389" s="32" t="inlineStr">
        <is>
          <t>Redoy Shek</t>
        </is>
      </c>
      <c r="F389" s="50" t="inlineStr">
        <is>
          <t>Soft Service</t>
        </is>
      </c>
      <c r="G389" s="425" t="n">
        <v>2574755423</v>
      </c>
      <c r="H389" s="425" t="n">
        <v>2574755423</v>
      </c>
      <c r="I389" s="425" t="inlineStr">
        <is>
          <t>Approved</t>
        </is>
      </c>
      <c r="J389" s="496" t="n">
        <v>45937</v>
      </c>
      <c r="K389" s="14" t="inlineStr">
        <is>
          <t>UCC( RENTAL)</t>
        </is>
      </c>
      <c r="L389" s="75" t="inlineStr">
        <is>
          <t>-</t>
        </is>
      </c>
      <c r="N389" s="1" t="n"/>
      <c r="O389" s="1" t="n"/>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row>
    <row r="390" ht="14.25" customHeight="1">
      <c r="A390" s="429" t="n"/>
      <c r="B390" s="429" t="n"/>
      <c r="C390" s="429" t="n"/>
      <c r="D390" s="429" t="n"/>
      <c r="E390" s="32" t="inlineStr">
        <is>
          <t>Ashik Mahmud</t>
        </is>
      </c>
      <c r="F390" s="50" t="inlineStr">
        <is>
          <t>Soft Service</t>
        </is>
      </c>
      <c r="G390" s="425" t="inlineStr">
        <is>
          <t>S459</t>
        </is>
      </c>
      <c r="H390" s="425" t="n">
        <v>2621899067</v>
      </c>
      <c r="I390" s="425" t="inlineStr">
        <is>
          <t>Approved</t>
        </is>
      </c>
      <c r="J390" s="496" t="n">
        <v>45996</v>
      </c>
      <c r="K390" s="14" t="inlineStr">
        <is>
          <t>SCC (RENTAL)</t>
        </is>
      </c>
      <c r="L390" s="75" t="inlineStr">
        <is>
          <t>-</t>
        </is>
      </c>
      <c r="N390" s="1" t="n"/>
      <c r="O390" s="1" t="n"/>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row>
    <row r="391" ht="14.25" customHeight="1">
      <c r="A391" s="429" t="n"/>
      <c r="B391" s="429" t="n"/>
      <c r="C391" s="429" t="n"/>
      <c r="D391" s="429" t="n"/>
      <c r="E391" s="32" t="inlineStr">
        <is>
          <t>Abdul Momin</t>
        </is>
      </c>
      <c r="F391" s="50" t="inlineStr">
        <is>
          <t>Soft Service</t>
        </is>
      </c>
      <c r="G391" s="425" t="n">
        <v>2607764095</v>
      </c>
      <c r="H391" s="425" t="n">
        <v>2607764095</v>
      </c>
      <c r="I391" s="425" t="inlineStr">
        <is>
          <t>Approved</t>
        </is>
      </c>
      <c r="J391" s="496" t="n">
        <v>45944</v>
      </c>
      <c r="K391" s="14" t="inlineStr">
        <is>
          <t>ESNAD (RENTAL)</t>
        </is>
      </c>
      <c r="L391" s="75" t="inlineStr">
        <is>
          <t>-</t>
        </is>
      </c>
      <c r="N391" s="1" t="n"/>
      <c r="O391" s="1" t="n"/>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row>
    <row r="392" ht="14.25" customHeight="1">
      <c r="A392" s="429" t="n"/>
      <c r="B392" s="429" t="n"/>
      <c r="C392" s="429" t="n"/>
      <c r="D392" s="429" t="n"/>
      <c r="E392" s="32" t="inlineStr">
        <is>
          <t>Dayanand Ram</t>
        </is>
      </c>
      <c r="F392" s="50" t="inlineStr">
        <is>
          <t>Soft Service</t>
        </is>
      </c>
      <c r="G392" s="425" t="inlineStr">
        <is>
          <t>S314</t>
        </is>
      </c>
      <c r="H392" s="425" t="n">
        <v>2606912877</v>
      </c>
      <c r="I392" s="425" t="inlineStr">
        <is>
          <t>Approved</t>
        </is>
      </c>
      <c r="J392" s="496" t="n">
        <v>45957</v>
      </c>
      <c r="K392" s="14" t="inlineStr">
        <is>
          <t>SCC (RENTAL)</t>
        </is>
      </c>
      <c r="L392" s="75" t="inlineStr">
        <is>
          <t>-</t>
        </is>
      </c>
      <c r="N392" s="1" t="n"/>
      <c r="O392" s="1" t="n"/>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row>
    <row r="393" ht="14.25" customHeight="1">
      <c r="A393" s="429" t="n"/>
      <c r="B393" s="429" t="n"/>
      <c r="C393" s="429" t="n"/>
      <c r="D393" s="429" t="n"/>
      <c r="E393" s="32" t="inlineStr">
        <is>
          <t>Md Shariful Islam</t>
        </is>
      </c>
      <c r="F393" s="50" t="inlineStr">
        <is>
          <t>Soft Service</t>
        </is>
      </c>
      <c r="G393" s="425" t="inlineStr">
        <is>
          <t>GV228</t>
        </is>
      </c>
      <c r="H393" s="425" t="n">
        <v>2619194208</v>
      </c>
      <c r="I393" s="425" t="inlineStr">
        <is>
          <t>Approved</t>
        </is>
      </c>
      <c r="J393" s="496" t="n">
        <v>45967</v>
      </c>
      <c r="K393" s="14" t="inlineStr">
        <is>
          <t>Gulf Vision ( RENTAL)</t>
        </is>
      </c>
      <c r="L393" s="75" t="inlineStr">
        <is>
          <t>-</t>
        </is>
      </c>
      <c r="N393" s="1" t="n"/>
      <c r="O393" s="1" t="n"/>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row>
    <row r="394" ht="14.25" customHeight="1">
      <c r="A394" s="429" t="n"/>
      <c r="B394" s="429" t="n"/>
      <c r="C394" s="429" t="n"/>
      <c r="D394" s="429" t="n"/>
      <c r="E394" s="32" t="inlineStr">
        <is>
          <t>Sakil Hossain</t>
        </is>
      </c>
      <c r="F394" s="50" t="inlineStr">
        <is>
          <t>Soft Service</t>
        </is>
      </c>
      <c r="G394" s="425" t="inlineStr">
        <is>
          <t>GV231</t>
        </is>
      </c>
      <c r="H394" s="425" t="n">
        <v>2619886084</v>
      </c>
      <c r="I394" s="425" t="inlineStr">
        <is>
          <t>Approved</t>
        </is>
      </c>
      <c r="J394" s="496" t="n">
        <v>45967</v>
      </c>
      <c r="K394" s="14" t="inlineStr">
        <is>
          <t>Gulf Vision ( RENTAL)</t>
        </is>
      </c>
      <c r="L394" s="75" t="inlineStr">
        <is>
          <t>-</t>
        </is>
      </c>
      <c r="N394" s="1" t="n"/>
      <c r="O394" s="1" t="n"/>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row>
    <row r="395" ht="14.25" customHeight="1">
      <c r="A395" s="431" t="n"/>
      <c r="B395" s="431" t="n"/>
      <c r="C395" s="431" t="n"/>
      <c r="D395" s="431" t="n"/>
      <c r="E395" s="32" t="inlineStr">
        <is>
          <t>Mohammad Faisal</t>
        </is>
      </c>
      <c r="F395" s="50" t="inlineStr">
        <is>
          <t>Soft Service</t>
        </is>
      </c>
      <c r="G395" s="425" t="inlineStr">
        <is>
          <t>R09005</t>
        </is>
      </c>
      <c r="H395" s="425" t="n">
        <v>2609902339</v>
      </c>
      <c r="I395" s="425" t="inlineStr">
        <is>
          <t>Approved</t>
        </is>
      </c>
      <c r="J395" s="496" t="n">
        <v>45976</v>
      </c>
      <c r="K395" s="14" t="inlineStr">
        <is>
          <t>MEHAN (RENTAL)</t>
        </is>
      </c>
      <c r="L395" s="75" t="inlineStr">
        <is>
          <t>-</t>
        </is>
      </c>
      <c r="N395" s="1" t="n"/>
      <c r="O395" s="1" t="n"/>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row>
    <row r="396" ht="14.25" customHeight="1">
      <c r="A396" s="458" t="inlineStr">
        <is>
          <t>Laundry Driver</t>
        </is>
      </c>
      <c r="B396" s="441" t="n">
        <v>2</v>
      </c>
      <c r="C396" s="441">
        <f>COUNTIF(E396:E397,"&lt;&gt;")</f>
        <v/>
      </c>
      <c r="D396" s="441">
        <f>C396-B396</f>
        <v/>
      </c>
      <c r="E396" s="15" t="n"/>
      <c r="F396" s="50" t="inlineStr">
        <is>
          <t>Soft Service</t>
        </is>
      </c>
      <c r="G396" s="425" t="inlineStr">
        <is>
          <t>-</t>
        </is>
      </c>
      <c r="H396" s="425" t="inlineStr">
        <is>
          <t>-</t>
        </is>
      </c>
      <c r="I396" s="425" t="inlineStr">
        <is>
          <t>Vacant</t>
        </is>
      </c>
      <c r="J396" s="499" t="n"/>
      <c r="K396" s="14" t="inlineStr">
        <is>
          <t>-</t>
        </is>
      </c>
      <c r="L396" s="75" t="inlineStr">
        <is>
          <t>-</t>
        </is>
      </c>
      <c r="N396" s="1" t="n"/>
      <c r="O396" s="1" t="n"/>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row>
    <row r="397" ht="14.25" customHeight="1">
      <c r="A397" s="431" t="n"/>
      <c r="B397" s="431" t="n"/>
      <c r="C397" s="431" t="n"/>
      <c r="D397" s="431" t="n"/>
      <c r="E397" s="15" t="n"/>
      <c r="F397" s="50" t="inlineStr">
        <is>
          <t>Soft Service</t>
        </is>
      </c>
      <c r="G397" s="425" t="inlineStr">
        <is>
          <t>-</t>
        </is>
      </c>
      <c r="H397" s="425" t="inlineStr">
        <is>
          <t>-</t>
        </is>
      </c>
      <c r="I397" s="425" t="inlineStr">
        <is>
          <t>Vacant</t>
        </is>
      </c>
      <c r="J397" s="499" t="n"/>
      <c r="K397" s="14" t="inlineStr">
        <is>
          <t>-</t>
        </is>
      </c>
      <c r="L397" s="75" t="inlineStr">
        <is>
          <t>-</t>
        </is>
      </c>
      <c r="N397" s="1" t="n"/>
      <c r="O397" s="1" t="n"/>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row>
    <row r="398" ht="30" customHeight="1">
      <c r="A398" s="35" t="inlineStr">
        <is>
          <t>Total Team 
Laundry Services</t>
        </is>
      </c>
      <c r="B398" s="36" t="inlineStr">
        <is>
          <t>Contractual Requirement</t>
        </is>
      </c>
      <c r="C398" s="36" t="inlineStr">
        <is>
          <t>Approved</t>
        </is>
      </c>
      <c r="D398" s="36" t="inlineStr">
        <is>
          <t>Vacant Position</t>
        </is>
      </c>
      <c r="E398" s="37" t="inlineStr">
        <is>
          <t>Rejected</t>
        </is>
      </c>
      <c r="F398" s="38" t="inlineStr">
        <is>
          <t xml:space="preserve">Additional </t>
        </is>
      </c>
      <c r="G398" s="38" t="inlineStr">
        <is>
          <t>ID</t>
        </is>
      </c>
      <c r="H398" s="38" t="inlineStr">
        <is>
          <t>Iqama</t>
        </is>
      </c>
      <c r="I398" s="58" t="inlineStr">
        <is>
          <t>Status</t>
        </is>
      </c>
      <c r="J398" s="500" t="n"/>
      <c r="K398" s="40" t="n"/>
      <c r="L398" s="41" t="inlineStr">
        <is>
          <t>Remark/Notes</t>
        </is>
      </c>
      <c r="N398" s="1" t="n"/>
      <c r="O398" s="1" t="n"/>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row>
    <row r="399" ht="14.25" customHeight="1">
      <c r="A399" s="36">
        <f>COUNTIF(E354:E397,"&lt;&gt;")</f>
        <v/>
      </c>
      <c r="B399" s="36">
        <f>SUM(B161:B397)</f>
        <v/>
      </c>
      <c r="C399" s="36">
        <f>COUNTIF(I161:I397,"Approved")</f>
        <v/>
      </c>
      <c r="D399" s="36">
        <f>COUNTIF(I161:I397,"Vacant")</f>
        <v/>
      </c>
      <c r="E399" s="41">
        <f>COUNTIF(I354:I397,"Rejected")</f>
        <v/>
      </c>
      <c r="F399" s="38">
        <f>COUNTIF(I161:I397,"Additional")</f>
        <v/>
      </c>
      <c r="G399" s="38">
        <f>COUNTIF(G161:G397,"-")</f>
        <v/>
      </c>
      <c r="H399" s="38">
        <f>COUNTIF(H161:H397,"-")</f>
        <v/>
      </c>
      <c r="I399" s="42" t="n"/>
      <c r="J399" s="501" t="n"/>
      <c r="K399" s="43" t="n"/>
      <c r="L399" s="42" t="n"/>
      <c r="N399" s="1" t="n"/>
      <c r="O399" s="1" t="n"/>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row>
    <row r="400" ht="2.25" customHeight="1">
      <c r="A400" s="76" t="n"/>
      <c r="B400" s="77" t="n"/>
      <c r="C400" s="77" t="n"/>
      <c r="D400" s="77" t="n"/>
      <c r="E400" s="78" t="n"/>
      <c r="F400" s="78" t="n"/>
      <c r="G400" s="78" t="n"/>
      <c r="H400" s="78" t="n"/>
      <c r="I400" s="78" t="n"/>
      <c r="J400" s="506" t="n"/>
      <c r="K400" s="4" t="n"/>
      <c r="L400" s="79" t="n"/>
      <c r="N400" s="1" t="n"/>
      <c r="O400" s="1" t="n"/>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row>
    <row r="401" ht="26.25" customHeight="1">
      <c r="A401" s="8" t="inlineStr">
        <is>
          <t>Position</t>
        </is>
      </c>
      <c r="B401" s="9" t="inlineStr">
        <is>
          <t>Contractual Requirement</t>
        </is>
      </c>
      <c r="C401" s="9" t="inlineStr">
        <is>
          <t>On-Site Availability</t>
        </is>
      </c>
      <c r="D401" s="9" t="inlineStr">
        <is>
          <t>Vacant Position</t>
        </is>
      </c>
      <c r="E401" s="10" t="inlineStr">
        <is>
          <t>Emaployee Name</t>
        </is>
      </c>
      <c r="F401" s="11" t="inlineStr">
        <is>
          <t>Decipline</t>
        </is>
      </c>
      <c r="G401" s="12" t="inlineStr">
        <is>
          <t>ID</t>
        </is>
      </c>
      <c r="H401" s="11" t="inlineStr">
        <is>
          <t>Iqama</t>
        </is>
      </c>
      <c r="I401" s="12" t="inlineStr">
        <is>
          <t>Status</t>
        </is>
      </c>
      <c r="J401" s="503" t="n"/>
      <c r="K401" s="49" t="n"/>
      <c r="L401" s="13" t="inlineStr">
        <is>
          <t>Remarks/Notes</t>
        </is>
      </c>
      <c r="N401" s="1" t="n"/>
      <c r="O401" s="1" t="n"/>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row>
    <row r="402" ht="14.25" customHeight="1">
      <c r="A402" s="446" t="inlineStr">
        <is>
          <t>QHSE Manager</t>
        </is>
      </c>
      <c r="B402" s="439" t="n">
        <v>2</v>
      </c>
      <c r="C402" s="439">
        <f>COUNTIF(E402:E403,"&lt;&gt;")</f>
        <v/>
      </c>
      <c r="D402" s="439">
        <f>C402-B402</f>
        <v/>
      </c>
      <c r="E402" s="32" t="inlineStr">
        <is>
          <t>Sachin Narayan Dharne</t>
        </is>
      </c>
      <c r="F402" s="19" t="inlineStr">
        <is>
          <t>Health &amp; Safety</t>
        </is>
      </c>
      <c r="G402" s="425" t="n">
        <v>700486</v>
      </c>
      <c r="H402" s="425" t="n">
        <v>2509359515</v>
      </c>
      <c r="I402" s="425" t="inlineStr">
        <is>
          <t>Approved</t>
        </is>
      </c>
      <c r="J402" s="496" t="n">
        <v>45902</v>
      </c>
      <c r="K402" s="14" t="inlineStr">
        <is>
          <t>FMCO</t>
        </is>
      </c>
      <c r="L402" s="20" t="inlineStr">
        <is>
          <t>-</t>
        </is>
      </c>
      <c r="N402" s="1" t="n"/>
      <c r="O402" s="1" t="n"/>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row>
    <row r="403" ht="14.25" customHeight="1">
      <c r="A403" s="431" t="n"/>
      <c r="B403" s="431" t="n"/>
      <c r="C403" s="431" t="n"/>
      <c r="D403" s="431" t="n"/>
      <c r="E403" s="22" t="inlineStr">
        <is>
          <t>Umar Javaid</t>
        </is>
      </c>
      <c r="F403" s="19" t="inlineStr">
        <is>
          <t>Health &amp; Safety</t>
        </is>
      </c>
      <c r="G403" s="27" t="inlineStr">
        <is>
          <t>EM-0003730</t>
        </is>
      </c>
      <c r="H403" s="19" t="n">
        <v>2517315475</v>
      </c>
      <c r="I403" s="425" t="inlineStr">
        <is>
          <t>Approved</t>
        </is>
      </c>
      <c r="J403" s="496" t="n">
        <v>46148</v>
      </c>
      <c r="K403" s="28" t="inlineStr">
        <is>
          <t>AL-FALAK VISA</t>
        </is>
      </c>
      <c r="L403" s="74" t="inlineStr">
        <is>
          <t>-</t>
        </is>
      </c>
      <c r="N403" s="1" t="n"/>
      <c r="O403" s="1" t="n"/>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row>
    <row r="404" ht="14.25" customHeight="1">
      <c r="A404" s="458" t="inlineStr">
        <is>
          <t>Environmental Inspector</t>
        </is>
      </c>
      <c r="B404" s="441" t="n">
        <v>3</v>
      </c>
      <c r="C404" s="441">
        <f>COUNTIF(E404:E406,"&lt;&gt;")</f>
        <v/>
      </c>
      <c r="D404" s="441">
        <f>C404-B404</f>
        <v/>
      </c>
      <c r="E404" s="15" t="n"/>
      <c r="F404" s="19" t="inlineStr">
        <is>
          <t>Health &amp; Safety</t>
        </is>
      </c>
      <c r="G404" s="425" t="inlineStr">
        <is>
          <t>-</t>
        </is>
      </c>
      <c r="H404" s="425" t="inlineStr">
        <is>
          <t>-</t>
        </is>
      </c>
      <c r="I404" s="425" t="inlineStr">
        <is>
          <t>Vacant</t>
        </is>
      </c>
      <c r="J404" s="499" t="n"/>
      <c r="K404" s="14" t="inlineStr">
        <is>
          <t>-</t>
        </is>
      </c>
      <c r="L404" s="74" t="inlineStr">
        <is>
          <t>-</t>
        </is>
      </c>
      <c r="N404" s="1" t="n"/>
      <c r="O404" s="1" t="n"/>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row>
    <row r="405" ht="14.25" customHeight="1">
      <c r="A405" s="429" t="n"/>
      <c r="B405" s="429" t="n"/>
      <c r="C405" s="429" t="n"/>
      <c r="D405" s="429" t="n"/>
      <c r="E405" s="15" t="n"/>
      <c r="F405" s="19" t="inlineStr">
        <is>
          <t>Health &amp; Safety</t>
        </is>
      </c>
      <c r="G405" s="425" t="inlineStr">
        <is>
          <t>-</t>
        </is>
      </c>
      <c r="H405" s="425" t="inlineStr">
        <is>
          <t>-</t>
        </is>
      </c>
      <c r="I405" s="425" t="inlineStr">
        <is>
          <t>Vacant</t>
        </is>
      </c>
      <c r="J405" s="499" t="n"/>
      <c r="K405" s="14" t="inlineStr">
        <is>
          <t>-</t>
        </is>
      </c>
      <c r="L405" s="74" t="inlineStr">
        <is>
          <t>-</t>
        </is>
      </c>
      <c r="N405" s="1" t="n"/>
      <c r="O405" s="1" t="n"/>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row>
    <row r="406" ht="14.25" customHeight="1">
      <c r="A406" s="431" t="n"/>
      <c r="B406" s="431" t="n"/>
      <c r="C406" s="431" t="n"/>
      <c r="D406" s="431" t="n"/>
      <c r="E406" s="15" t="n"/>
      <c r="F406" s="19" t="inlineStr">
        <is>
          <t>Health &amp; Safety</t>
        </is>
      </c>
      <c r="G406" s="425" t="inlineStr">
        <is>
          <t>-</t>
        </is>
      </c>
      <c r="H406" s="425" t="inlineStr">
        <is>
          <t>-</t>
        </is>
      </c>
      <c r="I406" s="425" t="inlineStr">
        <is>
          <t>Vacant</t>
        </is>
      </c>
      <c r="J406" s="499" t="n"/>
      <c r="K406" s="14" t="inlineStr">
        <is>
          <t>-</t>
        </is>
      </c>
      <c r="L406" s="74" t="inlineStr">
        <is>
          <t>-</t>
        </is>
      </c>
      <c r="N406" s="1" t="n"/>
      <c r="O406" s="1" t="n"/>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row>
    <row r="407" ht="14.25" customHeight="1">
      <c r="A407" s="446" t="inlineStr">
        <is>
          <t>QHSE Officer</t>
        </is>
      </c>
      <c r="B407" s="439" t="n">
        <v>2</v>
      </c>
      <c r="C407" s="439">
        <f>COUNTIF(E407:E408,"&lt;&gt;")</f>
        <v/>
      </c>
      <c r="D407" s="439">
        <f>C407-B407</f>
        <v/>
      </c>
      <c r="E407" s="18" t="inlineStr">
        <is>
          <t>MD RUSSEL MAHMUD</t>
        </is>
      </c>
      <c r="F407" s="19" t="inlineStr">
        <is>
          <t>Health &amp; Safety</t>
        </is>
      </c>
      <c r="G407" s="425" t="inlineStr">
        <is>
          <t>-</t>
        </is>
      </c>
      <c r="H407" s="425" t="inlineStr">
        <is>
          <t>B00844925-</t>
        </is>
      </c>
      <c r="I407" s="425" t="inlineStr">
        <is>
          <t>Approved</t>
        </is>
      </c>
      <c r="J407" s="499" t="n">
        <v>46267</v>
      </c>
      <c r="K407" s="14" t="inlineStr">
        <is>
          <t>-</t>
        </is>
      </c>
      <c r="L407" s="74" t="inlineStr">
        <is>
          <t>-</t>
        </is>
      </c>
      <c r="N407" s="1" t="n"/>
      <c r="O407" s="1" t="n"/>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row>
    <row r="408" ht="14.25" customHeight="1">
      <c r="A408" s="431" t="n"/>
      <c r="B408" s="431" t="n"/>
      <c r="C408" s="431" t="n"/>
      <c r="D408" s="431" t="n"/>
      <c r="E408" s="32" t="inlineStr">
        <is>
          <t>Shabbir Ahmed</t>
        </is>
      </c>
      <c r="F408" s="19" t="inlineStr">
        <is>
          <t>Health &amp; Safety</t>
        </is>
      </c>
      <c r="G408" s="425" t="inlineStr">
        <is>
          <t>EM-0002679</t>
        </is>
      </c>
      <c r="H408" s="425" t="n">
        <v>2586128544</v>
      </c>
      <c r="I408" s="425" t="inlineStr">
        <is>
          <t>Approved</t>
        </is>
      </c>
      <c r="J408" s="496" t="n">
        <v>45599</v>
      </c>
      <c r="K408" s="14" t="inlineStr">
        <is>
          <t>AL-FALAK VISA</t>
        </is>
      </c>
      <c r="L408" s="74" t="inlineStr">
        <is>
          <t>-</t>
        </is>
      </c>
      <c r="N408" s="1" t="n"/>
      <c r="O408" s="1" t="n"/>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row>
    <row r="409" ht="14.25" customHeight="1">
      <c r="A409" s="446" t="inlineStr">
        <is>
          <t>Safety Officer</t>
        </is>
      </c>
      <c r="B409" s="439" t="n">
        <v>2</v>
      </c>
      <c r="C409" s="439">
        <f>COUNTIF(E409:E410,"&lt;&gt;")</f>
        <v/>
      </c>
      <c r="D409" s="439">
        <f>C409-B409</f>
        <v/>
      </c>
      <c r="E409" s="18" t="inlineStr">
        <is>
          <t>MOHAMED SAMIN ABDUL SALEEM</t>
        </is>
      </c>
      <c r="F409" s="19" t="inlineStr">
        <is>
          <t>Health &amp; Safety</t>
        </is>
      </c>
      <c r="G409" s="425" t="inlineStr">
        <is>
          <t>-</t>
        </is>
      </c>
      <c r="H409" s="425" t="inlineStr">
        <is>
          <t>AR904172</t>
        </is>
      </c>
      <c r="I409" s="425" t="inlineStr">
        <is>
          <t>Approved</t>
        </is>
      </c>
      <c r="J409" s="499" t="n">
        <v>46267</v>
      </c>
      <c r="K409" s="14" t="inlineStr">
        <is>
          <t>-</t>
        </is>
      </c>
      <c r="L409" s="74" t="inlineStr">
        <is>
          <t>-</t>
        </is>
      </c>
      <c r="N409" s="1" t="n"/>
      <c r="O409" s="1" t="n"/>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row>
    <row r="410" ht="14.25" customHeight="1">
      <c r="A410" s="431" t="n"/>
      <c r="B410" s="431" t="n"/>
      <c r="C410" s="431" t="n"/>
      <c r="D410" s="431" t="n"/>
      <c r="E410" s="14" t="inlineStr">
        <is>
          <t>Rehan Qadir</t>
        </is>
      </c>
      <c r="F410" s="19" t="inlineStr">
        <is>
          <t>Health &amp; Safety</t>
        </is>
      </c>
      <c r="G410" s="425" t="inlineStr">
        <is>
          <t>-</t>
        </is>
      </c>
      <c r="H410" s="425" t="inlineStr">
        <is>
          <t>-</t>
        </is>
      </c>
      <c r="I410" s="425" t="inlineStr">
        <is>
          <t>Approved</t>
        </is>
      </c>
      <c r="J410" s="507" t="n">
        <v>46234</v>
      </c>
      <c r="K410" s="14" t="inlineStr">
        <is>
          <t>-</t>
        </is>
      </c>
      <c r="L410" s="74" t="inlineStr">
        <is>
          <t>-</t>
        </is>
      </c>
      <c r="N410" s="1" t="n"/>
      <c r="O410" s="1" t="n"/>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row>
    <row r="411" ht="26.25" customHeight="1">
      <c r="A411" s="35" t="inlineStr">
        <is>
          <t>Total Team 
Health and Safety/HSE</t>
        </is>
      </c>
      <c r="B411" s="36" t="inlineStr">
        <is>
          <t>Contractual Requirement</t>
        </is>
      </c>
      <c r="C411" s="36" t="inlineStr">
        <is>
          <t>Approved</t>
        </is>
      </c>
      <c r="D411" s="36" t="inlineStr">
        <is>
          <t>Vacant Position</t>
        </is>
      </c>
      <c r="E411" s="37" t="inlineStr">
        <is>
          <t>Rejected</t>
        </is>
      </c>
      <c r="F411" s="38" t="inlineStr">
        <is>
          <t xml:space="preserve">Additional </t>
        </is>
      </c>
      <c r="G411" s="38" t="inlineStr">
        <is>
          <t>ID</t>
        </is>
      </c>
      <c r="H411" s="38" t="inlineStr">
        <is>
          <t>Iqama</t>
        </is>
      </c>
      <c r="I411" s="58" t="inlineStr">
        <is>
          <t>Status</t>
        </is>
      </c>
      <c r="J411" s="500" t="n"/>
      <c r="K411" s="40" t="n"/>
      <c r="L411" s="41" t="inlineStr">
        <is>
          <t>Remark/Notes</t>
        </is>
      </c>
      <c r="N411" s="1" t="n"/>
      <c r="O411" s="1" t="n"/>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row>
    <row r="412" ht="14.25" customHeight="1">
      <c r="A412" s="36">
        <f>COUNTIF(E402:E410,"&lt;&gt;")</f>
        <v/>
      </c>
      <c r="B412" s="36">
        <f>SUM(B402:B410)</f>
        <v/>
      </c>
      <c r="C412" s="36">
        <f>COUNTIF(I402:I410,"Approved")</f>
        <v/>
      </c>
      <c r="D412" s="36">
        <f>COUNTIF(I402:I410,"Vacant")</f>
        <v/>
      </c>
      <c r="E412" s="41">
        <f>COUNTIF(I402:I410,"Rejected")</f>
        <v/>
      </c>
      <c r="F412" s="38">
        <f>COUNTIF(I402:I410,"Additional")</f>
        <v/>
      </c>
      <c r="G412" s="38">
        <f>COUNTIF(G402:G410,"-")</f>
        <v/>
      </c>
      <c r="H412" s="38">
        <f>COUNTIF(H402:H410,"-")</f>
        <v/>
      </c>
      <c r="I412" s="42" t="n"/>
      <c r="J412" s="501" t="n"/>
      <c r="K412" s="43" t="n"/>
      <c r="L412" s="42" t="n"/>
      <c r="N412" s="1" t="n"/>
      <c r="O412" s="1" t="n"/>
      <c r="P412" s="1" t="n"/>
      <c r="Q412" s="1" t="n"/>
      <c r="R412" s="1" t="n"/>
      <c r="S412" s="1" t="n"/>
      <c r="T412" s="1" t="n"/>
      <c r="U412" s="1" t="n"/>
      <c r="V412" s="1" t="n"/>
      <c r="W412" s="1" t="n"/>
      <c r="X412" s="1" t="n"/>
      <c r="Y412" s="1" t="n"/>
      <c r="Z412" s="1" t="n"/>
      <c r="AA412" s="1" t="n"/>
      <c r="AB412" s="1" t="n"/>
      <c r="AC412" s="1" t="n"/>
      <c r="AD412" s="1" t="n"/>
      <c r="AE412" s="1" t="n"/>
      <c r="AF412" s="1" t="n"/>
      <c r="AG412" s="1" t="n"/>
      <c r="AH412" s="1" t="n"/>
      <c r="AI412" s="1" t="n"/>
      <c r="AJ412" s="1" t="n"/>
    </row>
    <row r="413" ht="2.25" customHeight="1">
      <c r="A413" s="76" t="n"/>
      <c r="B413" s="77" t="n"/>
      <c r="C413" s="77" t="n"/>
      <c r="D413" s="77" t="n"/>
      <c r="E413" s="78" t="n"/>
      <c r="F413" s="78" t="n"/>
      <c r="G413" s="78" t="n"/>
      <c r="H413" s="78" t="n"/>
      <c r="I413" s="78" t="n"/>
      <c r="J413" s="506" t="n"/>
      <c r="K413" s="4" t="n"/>
      <c r="L413" s="79" t="n"/>
      <c r="N413" s="1" t="n"/>
      <c r="O413" s="1" t="n"/>
      <c r="P413" s="1" t="n"/>
      <c r="Q413" s="1" t="n"/>
      <c r="R413" s="1" t="n"/>
      <c r="S413" s="1" t="n"/>
      <c r="T413" s="1" t="n"/>
      <c r="U413" s="1" t="n"/>
      <c r="V413" s="1" t="n"/>
      <c r="W413" s="1" t="n"/>
      <c r="X413" s="1" t="n"/>
      <c r="Y413" s="1" t="n"/>
      <c r="Z413" s="1" t="n"/>
      <c r="AA413" s="1" t="n"/>
      <c r="AB413" s="1" t="n"/>
      <c r="AC413" s="1" t="n"/>
      <c r="AD413" s="1" t="n"/>
      <c r="AE413" s="1" t="n"/>
      <c r="AF413" s="1" t="n"/>
      <c r="AG413" s="1" t="n"/>
      <c r="AH413" s="1" t="n"/>
      <c r="AI413" s="1" t="n"/>
      <c r="AJ413" s="1" t="n"/>
    </row>
    <row r="414" ht="26.25" customHeight="1">
      <c r="A414" s="8" t="inlineStr">
        <is>
          <t>Position</t>
        </is>
      </c>
      <c r="B414" s="9" t="inlineStr">
        <is>
          <t>Contractual Requirement</t>
        </is>
      </c>
      <c r="C414" s="9" t="inlineStr">
        <is>
          <t>On-Site Availability</t>
        </is>
      </c>
      <c r="D414" s="9" t="inlineStr">
        <is>
          <t>Vacant Position</t>
        </is>
      </c>
      <c r="E414" s="10" t="inlineStr">
        <is>
          <t>Emaployee Name</t>
        </is>
      </c>
      <c r="F414" s="11" t="inlineStr">
        <is>
          <t>Decipline</t>
        </is>
      </c>
      <c r="G414" s="12" t="inlineStr">
        <is>
          <t>ID</t>
        </is>
      </c>
      <c r="H414" s="11" t="inlineStr">
        <is>
          <t>Iqama</t>
        </is>
      </c>
      <c r="I414" s="12" t="inlineStr">
        <is>
          <t>Status</t>
        </is>
      </c>
      <c r="J414" s="503" t="n"/>
      <c r="K414" s="49" t="n"/>
      <c r="L414" s="13" t="inlineStr">
        <is>
          <t>Remarks/Notes</t>
        </is>
      </c>
      <c r="N414" s="1" t="n"/>
      <c r="O414" s="1" t="n"/>
      <c r="P414" s="1" t="n"/>
      <c r="Q414" s="1" t="n"/>
      <c r="R414" s="1" t="n"/>
      <c r="S414" s="1" t="n"/>
      <c r="T414" s="1" t="n"/>
      <c r="U414" s="1" t="n"/>
      <c r="V414" s="1" t="n"/>
      <c r="W414" s="1" t="n"/>
      <c r="X414" s="1" t="n"/>
      <c r="Y414" s="1" t="n"/>
      <c r="Z414" s="1" t="n"/>
      <c r="AA414" s="1" t="n"/>
      <c r="AB414" s="1" t="n"/>
      <c r="AC414" s="1" t="n"/>
      <c r="AD414" s="1" t="n"/>
      <c r="AE414" s="1" t="n"/>
      <c r="AF414" s="1" t="n"/>
      <c r="AG414" s="1" t="n"/>
      <c r="AH414" s="1" t="n"/>
      <c r="AI414" s="1" t="n"/>
      <c r="AJ414" s="1" t="n"/>
    </row>
    <row r="415" ht="14.25" customHeight="1">
      <c r="A415" s="446" t="inlineStr">
        <is>
          <t>Fire Protection Engineer</t>
        </is>
      </c>
      <c r="B415" s="439" t="n">
        <v>2</v>
      </c>
      <c r="C415" s="439">
        <f>COUNTIF(E415:E416,"&lt;&gt;")</f>
        <v/>
      </c>
      <c r="D415" s="439">
        <f>C415-B415</f>
        <v/>
      </c>
      <c r="E415" s="32" t="inlineStr">
        <is>
          <t>Badrul Alam Barbhuiya</t>
        </is>
      </c>
      <c r="F415" s="19" t="inlineStr">
        <is>
          <t>FLS</t>
        </is>
      </c>
      <c r="G415" s="425" t="n">
        <v>703391</v>
      </c>
      <c r="H415" s="425" t="n">
        <v>2469196378</v>
      </c>
      <c r="I415" s="425" t="inlineStr">
        <is>
          <t>Approved</t>
        </is>
      </c>
      <c r="J415" s="496" t="n">
        <v>45479</v>
      </c>
      <c r="K415" s="14" t="inlineStr">
        <is>
          <t>FMCO</t>
        </is>
      </c>
      <c r="L415" s="74" t="inlineStr">
        <is>
          <t>-</t>
        </is>
      </c>
      <c r="N415" s="1" t="n"/>
      <c r="O415" s="1" t="n"/>
      <c r="P415" s="1" t="n"/>
      <c r="Q415" s="1" t="n"/>
      <c r="R415" s="1" t="n"/>
      <c r="S415" s="1" t="n"/>
      <c r="T415" s="1" t="n"/>
      <c r="U415" s="1" t="n"/>
      <c r="V415" s="1" t="n"/>
      <c r="W415" s="1" t="n"/>
      <c r="X415" s="1" t="n"/>
      <c r="Y415" s="1" t="n"/>
      <c r="Z415" s="1" t="n"/>
      <c r="AA415" s="1" t="n"/>
      <c r="AB415" s="1" t="n"/>
      <c r="AC415" s="1" t="n"/>
      <c r="AD415" s="1" t="n"/>
      <c r="AE415" s="1" t="n"/>
      <c r="AF415" s="1" t="n"/>
      <c r="AG415" s="1" t="n"/>
      <c r="AH415" s="1" t="n"/>
      <c r="AI415" s="1" t="n"/>
      <c r="AJ415" s="1" t="n"/>
    </row>
    <row r="416" ht="14.25" customHeight="1">
      <c r="A416" s="431" t="n"/>
      <c r="B416" s="431" t="n"/>
      <c r="C416" s="431" t="n"/>
      <c r="D416" s="431" t="n"/>
      <c r="E416" s="15" t="n"/>
      <c r="F416" s="19" t="inlineStr">
        <is>
          <t>FLS</t>
        </is>
      </c>
      <c r="G416" s="425" t="inlineStr">
        <is>
          <t>-</t>
        </is>
      </c>
      <c r="H416" s="425" t="inlineStr">
        <is>
          <t>-</t>
        </is>
      </c>
      <c r="I416" s="425" t="inlineStr">
        <is>
          <t>Vacant</t>
        </is>
      </c>
      <c r="J416" s="499" t="n"/>
      <c r="K416" s="14" t="inlineStr">
        <is>
          <t>-</t>
        </is>
      </c>
      <c r="L416" s="74" t="inlineStr">
        <is>
          <t>-</t>
        </is>
      </c>
      <c r="N416" s="1" t="n"/>
      <c r="O416" s="1" t="n"/>
      <c r="P416" s="1" t="n"/>
      <c r="Q416" s="1" t="n"/>
      <c r="R416" s="1" t="n"/>
      <c r="S416" s="1" t="n"/>
      <c r="T416" s="1" t="n"/>
      <c r="U416" s="1" t="n"/>
      <c r="V416" s="1" t="n"/>
      <c r="W416" s="1" t="n"/>
      <c r="X416" s="1" t="n"/>
      <c r="Y416" s="1" t="n"/>
      <c r="Z416" s="1" t="n"/>
      <c r="AA416" s="1" t="n"/>
      <c r="AB416" s="1" t="n"/>
      <c r="AC416" s="1" t="n"/>
      <c r="AD416" s="1" t="n"/>
      <c r="AE416" s="1" t="n"/>
      <c r="AF416" s="1" t="n"/>
      <c r="AG416" s="1" t="n"/>
      <c r="AH416" s="1" t="n"/>
      <c r="AI416" s="1" t="n"/>
      <c r="AJ416" s="1" t="n"/>
    </row>
    <row r="417" ht="14.25" customHeight="1">
      <c r="A417" s="446" t="inlineStr">
        <is>
          <t>Fire Figting Team Leader</t>
        </is>
      </c>
      <c r="B417" s="439" t="n">
        <v>2</v>
      </c>
      <c r="C417" s="439">
        <f>COUNTIF(E417:E418,"&lt;&gt;")</f>
        <v/>
      </c>
      <c r="D417" s="439">
        <f>C417-B417</f>
        <v/>
      </c>
      <c r="E417" s="32" t="inlineStr">
        <is>
          <t>Abare Alam</t>
        </is>
      </c>
      <c r="F417" s="19" t="inlineStr">
        <is>
          <t>FLS</t>
        </is>
      </c>
      <c r="G417" s="425" t="inlineStr">
        <is>
          <t>EM-0001967</t>
        </is>
      </c>
      <c r="H417" s="425" t="n">
        <v>2586671428</v>
      </c>
      <c r="I417" s="425" t="inlineStr">
        <is>
          <t>Approved</t>
        </is>
      </c>
      <c r="J417" s="496" t="n">
        <v>45902</v>
      </c>
      <c r="K417" s="14" t="inlineStr">
        <is>
          <t>AL-FALAK VISA</t>
        </is>
      </c>
      <c r="L417" s="74" t="inlineStr">
        <is>
          <t>-</t>
        </is>
      </c>
      <c r="N417" s="1" t="n"/>
      <c r="O417" s="1" t="n"/>
      <c r="P417" s="1" t="n"/>
      <c r="Q417" s="1" t="n"/>
      <c r="R417" s="1" t="n"/>
      <c r="S417" s="1" t="n"/>
      <c r="T417" s="1" t="n"/>
      <c r="U417" s="1" t="n"/>
      <c r="V417" s="1" t="n"/>
      <c r="W417" s="1" t="n"/>
      <c r="X417" s="1" t="n"/>
      <c r="Y417" s="1" t="n"/>
      <c r="Z417" s="1" t="n"/>
      <c r="AA417" s="1" t="n"/>
      <c r="AB417" s="1" t="n"/>
      <c r="AC417" s="1" t="n"/>
      <c r="AD417" s="1" t="n"/>
      <c r="AE417" s="1" t="n"/>
      <c r="AF417" s="1" t="n"/>
      <c r="AG417" s="1" t="n"/>
      <c r="AH417" s="1" t="n"/>
      <c r="AI417" s="1" t="n"/>
      <c r="AJ417" s="1" t="n"/>
    </row>
    <row r="418" ht="14.25" customHeight="1">
      <c r="A418" s="431" t="n"/>
      <c r="B418" s="431" t="n"/>
      <c r="C418" s="431" t="n"/>
      <c r="D418" s="431" t="n"/>
      <c r="E418" s="15" t="n"/>
      <c r="F418" s="19" t="inlineStr">
        <is>
          <t>FLS</t>
        </is>
      </c>
      <c r="G418" s="425" t="inlineStr">
        <is>
          <t>-</t>
        </is>
      </c>
      <c r="H418" s="425" t="inlineStr">
        <is>
          <t>-</t>
        </is>
      </c>
      <c r="I418" s="425" t="inlineStr">
        <is>
          <t>Vacant</t>
        </is>
      </c>
      <c r="J418" s="499" t="n"/>
      <c r="K418" s="14" t="inlineStr">
        <is>
          <t>-</t>
        </is>
      </c>
      <c r="L418" s="74" t="inlineStr">
        <is>
          <t>-</t>
        </is>
      </c>
      <c r="N418" s="1" t="n"/>
      <c r="O418" s="1" t="n"/>
      <c r="P418" s="1" t="n"/>
      <c r="Q418" s="1" t="n"/>
      <c r="R418" s="1" t="n"/>
      <c r="S418" s="1" t="n"/>
      <c r="T418" s="1" t="n"/>
      <c r="U418" s="1" t="n"/>
      <c r="V418" s="1" t="n"/>
      <c r="W418" s="1" t="n"/>
      <c r="X418" s="1" t="n"/>
      <c r="Y418" s="1" t="n"/>
      <c r="Z418" s="1" t="n"/>
      <c r="AA418" s="1" t="n"/>
      <c r="AB418" s="1" t="n"/>
      <c r="AC418" s="1" t="n"/>
      <c r="AD418" s="1" t="n"/>
      <c r="AE418" s="1" t="n"/>
      <c r="AF418" s="1" t="n"/>
      <c r="AG418" s="1" t="n"/>
      <c r="AH418" s="1" t="n"/>
      <c r="AI418" s="1" t="n"/>
      <c r="AJ418" s="1" t="n"/>
    </row>
    <row r="419" ht="14.25" customHeight="1">
      <c r="A419" s="446" t="inlineStr">
        <is>
          <t>Fire Alarm Techncian</t>
        </is>
      </c>
      <c r="B419" s="439" t="n">
        <v>6</v>
      </c>
      <c r="C419" s="439">
        <f>COUNTIF(E419:E424,"&lt;&gt;")</f>
        <v/>
      </c>
      <c r="D419" s="439">
        <f>C419-B419</f>
        <v/>
      </c>
      <c r="E419" s="32" t="inlineStr">
        <is>
          <t>Arshalan Khan</t>
        </is>
      </c>
      <c r="F419" s="19" t="inlineStr">
        <is>
          <t>FLS</t>
        </is>
      </c>
      <c r="G419" s="425" t="inlineStr">
        <is>
          <t>C00789</t>
        </is>
      </c>
      <c r="H419" s="425" t="n">
        <v>2584344812</v>
      </c>
      <c r="I419" s="425" t="inlineStr">
        <is>
          <t>Approved</t>
        </is>
      </c>
      <c r="J419" s="496" t="n">
        <v>45599</v>
      </c>
      <c r="K419" s="14" t="inlineStr">
        <is>
          <t>MEHAN VISA</t>
        </is>
      </c>
      <c r="L419" s="74" t="inlineStr">
        <is>
          <t>-</t>
        </is>
      </c>
      <c r="N419" s="1" t="n"/>
      <c r="O419" s="1" t="n"/>
      <c r="P419" s="1" t="n"/>
      <c r="Q419" s="1" t="n"/>
      <c r="R419" s="1" t="n"/>
      <c r="S419" s="1" t="n"/>
      <c r="T419" s="1" t="n"/>
      <c r="U419" s="1" t="n"/>
      <c r="V419" s="1" t="n"/>
      <c r="W419" s="1" t="n"/>
      <c r="X419" s="1" t="n"/>
      <c r="Y419" s="1" t="n"/>
      <c r="Z419" s="1" t="n"/>
      <c r="AA419" s="1" t="n"/>
      <c r="AB419" s="1" t="n"/>
      <c r="AC419" s="1" t="n"/>
      <c r="AD419" s="1" t="n"/>
      <c r="AE419" s="1" t="n"/>
      <c r="AF419" s="1" t="n"/>
      <c r="AG419" s="1" t="n"/>
      <c r="AH419" s="1" t="n"/>
      <c r="AI419" s="1" t="n"/>
      <c r="AJ419" s="1" t="n"/>
    </row>
    <row r="420" ht="14.25" customHeight="1">
      <c r="A420" s="429" t="n"/>
      <c r="B420" s="429" t="n"/>
      <c r="C420" s="429" t="n"/>
      <c r="D420" s="429" t="n"/>
      <c r="E420" s="18" t="n"/>
      <c r="F420" s="80" t="n"/>
      <c r="G420" s="425" t="inlineStr">
        <is>
          <t>-</t>
        </is>
      </c>
      <c r="H420" s="425" t="inlineStr">
        <is>
          <t>-</t>
        </is>
      </c>
      <c r="I420" s="425" t="inlineStr">
        <is>
          <t>Vacant</t>
        </is>
      </c>
      <c r="J420" s="499" t="n"/>
      <c r="K420" s="14" t="inlineStr">
        <is>
          <t>-</t>
        </is>
      </c>
      <c r="L420" s="74" t="inlineStr">
        <is>
          <t>-</t>
        </is>
      </c>
      <c r="N420" s="1" t="n"/>
      <c r="O420" s="1" t="n"/>
      <c r="P420" s="1" t="n"/>
      <c r="Q420" s="1" t="n"/>
      <c r="R420" s="1" t="n"/>
      <c r="S420" s="1" t="n"/>
      <c r="T420" s="1" t="n"/>
      <c r="U420" s="1" t="n"/>
      <c r="V420" s="1" t="n"/>
      <c r="W420" s="1" t="n"/>
      <c r="X420" s="1" t="n"/>
      <c r="Y420" s="1" t="n"/>
      <c r="Z420" s="1" t="n"/>
      <c r="AA420" s="1" t="n"/>
      <c r="AB420" s="1" t="n"/>
      <c r="AC420" s="1" t="n"/>
      <c r="AD420" s="1" t="n"/>
      <c r="AE420" s="1" t="n"/>
      <c r="AF420" s="1" t="n"/>
      <c r="AG420" s="1" t="n"/>
      <c r="AH420" s="1" t="n"/>
      <c r="AI420" s="1" t="n"/>
      <c r="AJ420" s="1" t="n"/>
    </row>
    <row r="421" ht="14.25" customHeight="1">
      <c r="A421" s="429" t="n"/>
      <c r="B421" s="429" t="n"/>
      <c r="C421" s="429" t="n"/>
      <c r="D421" s="429" t="n"/>
      <c r="E421" s="32" t="inlineStr">
        <is>
          <t>Sakib Khan</t>
        </is>
      </c>
      <c r="F421" s="19" t="inlineStr">
        <is>
          <t>FLS</t>
        </is>
      </c>
      <c r="G421" s="425" t="inlineStr">
        <is>
          <t>EM-0002680</t>
        </is>
      </c>
      <c r="H421" s="425" t="n">
        <v>2586128734</v>
      </c>
      <c r="I421" s="425" t="inlineStr">
        <is>
          <t>Approved</t>
        </is>
      </c>
      <c r="J421" s="496" t="n">
        <v>45586</v>
      </c>
      <c r="K421" s="14" t="inlineStr">
        <is>
          <t>AL-FALAK VISA</t>
        </is>
      </c>
      <c r="L421" s="74" t="inlineStr">
        <is>
          <t>-</t>
        </is>
      </c>
      <c r="N421" s="1" t="n"/>
      <c r="O421" s="1" t="n"/>
      <c r="P421" s="1" t="n"/>
      <c r="Q421" s="1" t="n"/>
      <c r="R421" s="1" t="n"/>
      <c r="S421" s="1" t="n"/>
      <c r="T421" s="1" t="n"/>
      <c r="U421" s="1" t="n"/>
      <c r="V421" s="1" t="n"/>
      <c r="W421" s="1" t="n"/>
      <c r="X421" s="1" t="n"/>
      <c r="Y421" s="1" t="n"/>
      <c r="Z421" s="1" t="n"/>
      <c r="AA421" s="1" t="n"/>
      <c r="AB421" s="1" t="n"/>
      <c r="AC421" s="1" t="n"/>
      <c r="AD421" s="1" t="n"/>
      <c r="AE421" s="1" t="n"/>
      <c r="AF421" s="1" t="n"/>
      <c r="AG421" s="1" t="n"/>
      <c r="AH421" s="1" t="n"/>
      <c r="AI421" s="1" t="n"/>
      <c r="AJ421" s="1" t="n"/>
    </row>
    <row r="422" ht="14.25" customHeight="1">
      <c r="A422" s="429" t="n"/>
      <c r="B422" s="429" t="n"/>
      <c r="C422" s="429" t="n"/>
      <c r="D422" s="429" t="n"/>
      <c r="E422" s="32" t="inlineStr">
        <is>
          <t>SHAFIQUE AHMED SHAIKH</t>
        </is>
      </c>
      <c r="F422" s="19" t="inlineStr">
        <is>
          <t>FLS</t>
        </is>
      </c>
      <c r="G422" s="425" t="n"/>
      <c r="H422" s="425" t="inlineStr">
        <is>
          <t>AU883781</t>
        </is>
      </c>
      <c r="I422" s="425" t="inlineStr">
        <is>
          <t>Approved</t>
        </is>
      </c>
      <c r="J422" s="496" t="n">
        <v>46268</v>
      </c>
      <c r="K422" s="14" t="n"/>
      <c r="L422" s="74" t="inlineStr">
        <is>
          <t>-</t>
        </is>
      </c>
      <c r="N422" s="1" t="n"/>
      <c r="O422" s="1" t="n"/>
      <c r="P422" s="1" t="n"/>
      <c r="Q422" s="1" t="n"/>
      <c r="R422" s="1" t="n"/>
      <c r="S422" s="1" t="n"/>
      <c r="T422" s="1" t="n"/>
      <c r="U422" s="1" t="n"/>
      <c r="V422" s="1" t="n"/>
      <c r="W422" s="1" t="n"/>
      <c r="X422" s="1" t="n"/>
      <c r="Y422" s="1" t="n"/>
      <c r="Z422" s="1" t="n"/>
      <c r="AA422" s="1" t="n"/>
      <c r="AB422" s="1" t="n"/>
      <c r="AC422" s="1" t="n"/>
      <c r="AD422" s="1" t="n"/>
      <c r="AE422" s="1" t="n"/>
      <c r="AF422" s="1" t="n"/>
      <c r="AG422" s="1" t="n"/>
      <c r="AH422" s="1" t="n"/>
      <c r="AI422" s="1" t="n"/>
      <c r="AJ422" s="1" t="n"/>
    </row>
    <row r="423" ht="14.25" customHeight="1">
      <c r="A423" s="429" t="n"/>
      <c r="B423" s="429" t="n"/>
      <c r="C423" s="429" t="n"/>
      <c r="D423" s="429" t="n"/>
      <c r="E423" s="32" t="n"/>
      <c r="F423" s="19" t="inlineStr">
        <is>
          <t>FLS</t>
        </is>
      </c>
      <c r="G423" s="425" t="n"/>
      <c r="H423" s="425" t="n"/>
      <c r="I423" s="425" t="inlineStr">
        <is>
          <t>Vacant</t>
        </is>
      </c>
      <c r="J423" s="496" t="n"/>
      <c r="K423" s="14" t="n"/>
      <c r="L423" s="74" t="inlineStr">
        <is>
          <t>-</t>
        </is>
      </c>
      <c r="N423" s="1" t="n"/>
      <c r="O423" s="1" t="n"/>
      <c r="P423" s="1" t="n"/>
      <c r="Q423" s="1" t="n"/>
      <c r="R423" s="1" t="n"/>
      <c r="S423" s="1" t="n"/>
      <c r="T423" s="1" t="n"/>
      <c r="U423" s="1" t="n"/>
      <c r="V423" s="1" t="n"/>
      <c r="W423" s="1" t="n"/>
      <c r="X423" s="1" t="n"/>
      <c r="Y423" s="1" t="n"/>
      <c r="Z423" s="1" t="n"/>
      <c r="AA423" s="1" t="n"/>
      <c r="AB423" s="1" t="n"/>
      <c r="AC423" s="1" t="n"/>
      <c r="AD423" s="1" t="n"/>
      <c r="AE423" s="1" t="n"/>
      <c r="AF423" s="1" t="n"/>
      <c r="AG423" s="1" t="n"/>
      <c r="AH423" s="1" t="n"/>
      <c r="AI423" s="1" t="n"/>
      <c r="AJ423" s="1" t="n"/>
    </row>
    <row r="424" ht="14.25" customHeight="1">
      <c r="A424" s="431" t="n"/>
      <c r="B424" s="431" t="n"/>
      <c r="C424" s="431" t="n"/>
      <c r="D424" s="431" t="n"/>
      <c r="E424" s="32" t="inlineStr">
        <is>
          <t>Md Zaid Alam</t>
        </is>
      </c>
      <c r="F424" s="19" t="inlineStr">
        <is>
          <t>FLS</t>
        </is>
      </c>
      <c r="G424" s="425" t="inlineStr">
        <is>
          <t>EM-0001947</t>
        </is>
      </c>
      <c r="H424" s="425" t="n">
        <v>2585395300</v>
      </c>
      <c r="I424" s="425" t="inlineStr">
        <is>
          <t>Approved</t>
        </is>
      </c>
      <c r="J424" s="496" t="n">
        <v>45599</v>
      </c>
      <c r="K424" s="14" t="inlineStr">
        <is>
          <t>AL-FALAK VISA</t>
        </is>
      </c>
      <c r="L424" s="74" t="inlineStr">
        <is>
          <t>-</t>
        </is>
      </c>
      <c r="N424" s="1" t="n"/>
      <c r="O424" s="1" t="n"/>
      <c r="P424" s="1" t="n"/>
      <c r="Q424" s="1" t="n"/>
      <c r="R424" s="1" t="n"/>
      <c r="S424" s="1" t="n"/>
      <c r="T424" s="1" t="n"/>
      <c r="U424" s="1" t="n"/>
      <c r="V424" s="1" t="n"/>
      <c r="W424" s="1" t="n"/>
      <c r="X424" s="1" t="n"/>
      <c r="Y424" s="1" t="n"/>
      <c r="Z424" s="1" t="n"/>
      <c r="AA424" s="1" t="n"/>
      <c r="AB424" s="1" t="n"/>
      <c r="AC424" s="1" t="n"/>
      <c r="AD424" s="1" t="n"/>
      <c r="AE424" s="1" t="n"/>
      <c r="AF424" s="1" t="n"/>
      <c r="AG424" s="1" t="n"/>
      <c r="AH424" s="1" t="n"/>
      <c r="AI424" s="1" t="n"/>
      <c r="AJ424" s="1" t="n"/>
    </row>
    <row r="425" ht="26.25" customHeight="1">
      <c r="A425" s="35" t="inlineStr">
        <is>
          <t>Total Team 
Fire, Life and Safety/FLS</t>
        </is>
      </c>
      <c r="B425" s="36" t="inlineStr">
        <is>
          <t>Contractual Requirement</t>
        </is>
      </c>
      <c r="C425" s="36" t="inlineStr">
        <is>
          <t>Approved</t>
        </is>
      </c>
      <c r="D425" s="36" t="inlineStr">
        <is>
          <t>Vacant Position</t>
        </is>
      </c>
      <c r="E425" s="37" t="inlineStr">
        <is>
          <t>Rejected</t>
        </is>
      </c>
      <c r="F425" s="38" t="inlineStr">
        <is>
          <t xml:space="preserve">Additional </t>
        </is>
      </c>
      <c r="G425" s="38" t="inlineStr">
        <is>
          <t>ID</t>
        </is>
      </c>
      <c r="H425" s="38" t="inlineStr">
        <is>
          <t>Iqama</t>
        </is>
      </c>
      <c r="I425" s="58" t="inlineStr">
        <is>
          <t>Status</t>
        </is>
      </c>
      <c r="J425" s="500" t="n"/>
      <c r="K425" s="40" t="n"/>
      <c r="L425" s="41" t="inlineStr">
        <is>
          <t>Remark/Notes</t>
        </is>
      </c>
      <c r="N425" s="1" t="n"/>
      <c r="O425" s="1" t="n"/>
      <c r="P425" s="1" t="n"/>
      <c r="Q425" s="1" t="n"/>
      <c r="R425" s="1" t="n"/>
      <c r="S425" s="1" t="n"/>
      <c r="T425" s="1" t="n"/>
      <c r="U425" s="1" t="n"/>
      <c r="V425" s="1" t="n"/>
      <c r="W425" s="1" t="n"/>
      <c r="X425" s="1" t="n"/>
      <c r="Y425" s="1" t="n"/>
      <c r="Z425" s="1" t="n"/>
      <c r="AA425" s="1" t="n"/>
      <c r="AB425" s="1" t="n"/>
      <c r="AC425" s="1" t="n"/>
      <c r="AD425" s="1" t="n"/>
      <c r="AE425" s="1" t="n"/>
      <c r="AF425" s="1" t="n"/>
      <c r="AG425" s="1" t="n"/>
      <c r="AH425" s="1" t="n"/>
      <c r="AI425" s="1" t="n"/>
      <c r="AJ425" s="1" t="n"/>
    </row>
    <row r="426" ht="14.25" customHeight="1">
      <c r="A426" s="36">
        <f>COUNTIF(E415:E424,"&lt;&gt;")</f>
        <v/>
      </c>
      <c r="B426" s="36">
        <f>SUM(B415:B424)</f>
        <v/>
      </c>
      <c r="C426" s="36">
        <f>COUNTIF(I415:I424,"Approved")</f>
        <v/>
      </c>
      <c r="D426" s="36">
        <f>COUNTIF(I415:I424,"Vacant")</f>
        <v/>
      </c>
      <c r="E426" s="41">
        <f>COUNTIF(L415:L424,"Rejected")</f>
        <v/>
      </c>
      <c r="F426" s="38">
        <f>COUNTIF(I415:I424,"Additional")</f>
        <v/>
      </c>
      <c r="G426" s="38">
        <f>COUNTIF(G415:G424,"-")</f>
        <v/>
      </c>
      <c r="H426" s="38">
        <f>COUNTIF(H415:H424,"-")</f>
        <v/>
      </c>
      <c r="I426" s="42" t="n"/>
      <c r="J426" s="501" t="n"/>
      <c r="K426" s="43" t="n"/>
      <c r="L426" s="42" t="n"/>
      <c r="N426" s="1" t="n"/>
      <c r="O426" s="1" t="n"/>
      <c r="P426" s="1" t="n"/>
      <c r="Q426" s="1" t="n"/>
      <c r="R426" s="1" t="n"/>
      <c r="S426" s="1" t="n"/>
      <c r="T426" s="1" t="n"/>
      <c r="U426" s="1" t="n"/>
      <c r="V426" s="1" t="n"/>
      <c r="W426" s="1" t="n"/>
      <c r="X426" s="1" t="n"/>
      <c r="Y426" s="1" t="n"/>
      <c r="Z426" s="1" t="n"/>
      <c r="AA426" s="1" t="n"/>
      <c r="AB426" s="1" t="n"/>
      <c r="AC426" s="1" t="n"/>
      <c r="AD426" s="1" t="n"/>
      <c r="AE426" s="1" t="n"/>
      <c r="AF426" s="1" t="n"/>
      <c r="AG426" s="1" t="n"/>
      <c r="AH426" s="1" t="n"/>
      <c r="AI426" s="1" t="n"/>
      <c r="AJ426" s="1" t="n"/>
    </row>
    <row r="427" ht="2.25" customHeight="1">
      <c r="A427" s="81" t="n"/>
      <c r="B427" s="82" t="n"/>
      <c r="C427" s="82" t="n"/>
      <c r="D427" s="82" t="n"/>
      <c r="E427" s="83" t="n"/>
      <c r="F427" s="83" t="n"/>
      <c r="G427" s="83" t="n"/>
      <c r="H427" s="83" t="n"/>
      <c r="I427" s="83" t="n"/>
      <c r="J427" s="508" t="n"/>
      <c r="K427" s="84" t="n"/>
      <c r="L427" s="85" t="n"/>
      <c r="N427" s="1" t="n"/>
      <c r="O427" s="1" t="n"/>
      <c r="P427" s="1" t="n"/>
      <c r="Q427" s="1" t="n"/>
      <c r="R427" s="1" t="n"/>
      <c r="S427" s="1" t="n"/>
      <c r="T427" s="1" t="n"/>
      <c r="U427" s="1" t="n"/>
      <c r="V427" s="1" t="n"/>
      <c r="W427" s="1" t="n"/>
      <c r="X427" s="1" t="n"/>
      <c r="Y427" s="1" t="n"/>
      <c r="Z427" s="1" t="n"/>
      <c r="AA427" s="1" t="n"/>
      <c r="AB427" s="1" t="n"/>
      <c r="AC427" s="1" t="n"/>
      <c r="AD427" s="1" t="n"/>
      <c r="AE427" s="1" t="n"/>
      <c r="AF427" s="1" t="n"/>
      <c r="AG427" s="1" t="n"/>
      <c r="AH427" s="1" t="n"/>
      <c r="AI427" s="1" t="n"/>
      <c r="AJ427" s="1" t="n"/>
    </row>
    <row r="428" ht="26.25" customHeight="1">
      <c r="A428" s="8" t="inlineStr">
        <is>
          <t>Position</t>
        </is>
      </c>
      <c r="B428" s="9" t="inlineStr">
        <is>
          <t>Contractual Requirement</t>
        </is>
      </c>
      <c r="C428" s="9" t="inlineStr">
        <is>
          <t>On-Site Availability</t>
        </is>
      </c>
      <c r="D428" s="9" t="inlineStr">
        <is>
          <t>Vacant Position</t>
        </is>
      </c>
      <c r="E428" s="10" t="inlineStr">
        <is>
          <t>Emaployee Name</t>
        </is>
      </c>
      <c r="F428" s="11" t="inlineStr">
        <is>
          <t>Decipline</t>
        </is>
      </c>
      <c r="G428" s="12" t="inlineStr">
        <is>
          <t>ID</t>
        </is>
      </c>
      <c r="H428" s="11" t="inlineStr">
        <is>
          <t>Iqama</t>
        </is>
      </c>
      <c r="I428" s="12" t="inlineStr">
        <is>
          <t>Status</t>
        </is>
      </c>
      <c r="J428" s="503" t="n"/>
      <c r="K428" s="49" t="n"/>
      <c r="L428" s="13" t="inlineStr">
        <is>
          <t>Remarks/Notes</t>
        </is>
      </c>
      <c r="N428" s="1" t="n"/>
      <c r="O428" s="1" t="n"/>
      <c r="P428" s="1" t="n"/>
      <c r="Q428" s="1" t="n"/>
      <c r="R428" s="1" t="n"/>
      <c r="S428" s="1" t="n"/>
      <c r="T428" s="1" t="n"/>
      <c r="U428" s="1" t="n"/>
      <c r="V428" s="1" t="n"/>
      <c r="W428" s="1" t="n"/>
      <c r="X428" s="1" t="n"/>
      <c r="Y428" s="1" t="n"/>
      <c r="Z428" s="1" t="n"/>
      <c r="AA428" s="1" t="n"/>
      <c r="AB428" s="1" t="n"/>
      <c r="AC428" s="1" t="n"/>
      <c r="AD428" s="1" t="n"/>
      <c r="AE428" s="1" t="n"/>
      <c r="AF428" s="1" t="n"/>
      <c r="AG428" s="1" t="n"/>
      <c r="AH428" s="1" t="n"/>
      <c r="AI428" s="1" t="n"/>
      <c r="AJ428" s="1" t="n"/>
    </row>
    <row r="429" ht="15" customHeight="1">
      <c r="A429" s="445" t="inlineStr">
        <is>
          <t>Security Manager</t>
        </is>
      </c>
      <c r="B429" s="440" t="n">
        <v>1</v>
      </c>
      <c r="C429" s="440">
        <f>COUNTIF(E429,"&lt;&gt;")</f>
        <v/>
      </c>
      <c r="D429" s="441">
        <f>C429-B429</f>
        <v/>
      </c>
      <c r="E429" s="52" t="n"/>
      <c r="F429" s="19" t="inlineStr">
        <is>
          <t>Security Services</t>
        </is>
      </c>
      <c r="G429" s="425" t="inlineStr">
        <is>
          <t>-</t>
        </is>
      </c>
      <c r="H429" s="29" t="inlineStr">
        <is>
          <t>-</t>
        </is>
      </c>
      <c r="I429" s="425" t="inlineStr">
        <is>
          <t>Vacant</t>
        </is>
      </c>
      <c r="J429" s="499" t="n"/>
      <c r="K429" s="425" t="inlineStr">
        <is>
          <t>-</t>
        </is>
      </c>
      <c r="L429" s="183" t="inlineStr">
        <is>
          <t>-</t>
        </is>
      </c>
      <c r="N429" s="1" t="n"/>
      <c r="O429" s="1" t="n"/>
      <c r="P429" s="1" t="n"/>
      <c r="Q429" s="1" t="n"/>
      <c r="R429" s="1" t="n"/>
      <c r="S429" s="1" t="n"/>
      <c r="T429" s="1" t="n"/>
      <c r="U429" s="1" t="n"/>
      <c r="V429" s="1" t="n"/>
      <c r="W429" s="1" t="n"/>
      <c r="X429" s="1" t="n"/>
      <c r="Y429" s="1" t="n"/>
      <c r="Z429" s="1" t="n"/>
      <c r="AA429" s="1" t="n"/>
      <c r="AB429" s="1" t="n"/>
      <c r="AC429" s="1" t="n"/>
      <c r="AD429" s="1" t="n"/>
      <c r="AE429" s="1" t="n"/>
      <c r="AF429" s="1" t="n"/>
      <c r="AG429" s="1" t="n"/>
      <c r="AH429" s="1" t="n"/>
      <c r="AI429" s="1" t="n"/>
      <c r="AJ429" s="1" t="n"/>
    </row>
    <row r="430" ht="15" customHeight="1">
      <c r="A430" s="452" t="inlineStr">
        <is>
          <t>Security Supervisor</t>
        </is>
      </c>
      <c r="B430" s="439" t="n">
        <v>8</v>
      </c>
      <c r="C430" s="439">
        <f>COUNTIF(E430:E437,"&lt;&gt;")</f>
        <v/>
      </c>
      <c r="D430" s="432">
        <f>C430-B430</f>
        <v/>
      </c>
      <c r="E430" s="32" t="inlineStr">
        <is>
          <t>Bandar Mohammed Alqahtani</t>
        </is>
      </c>
      <c r="F430" s="19" t="inlineStr">
        <is>
          <t>Security Services</t>
        </is>
      </c>
      <c r="G430" s="425" t="n">
        <v>703767</v>
      </c>
      <c r="H430" s="425" t="n">
        <v>1086875620</v>
      </c>
      <c r="I430" s="425" t="inlineStr">
        <is>
          <t>Approved</t>
        </is>
      </c>
      <c r="J430" s="496" t="n">
        <v>45705</v>
      </c>
      <c r="K430" s="425" t="inlineStr">
        <is>
          <t>FMCO</t>
        </is>
      </c>
      <c r="L430" s="183" t="inlineStr">
        <is>
          <t>-</t>
        </is>
      </c>
      <c r="N430" s="1" t="n"/>
      <c r="O430" s="1" t="n"/>
      <c r="P430" s="1" t="n"/>
      <c r="Q430" s="1" t="n"/>
      <c r="R430" s="1" t="n"/>
      <c r="S430" s="1" t="n"/>
      <c r="T430" s="1" t="n"/>
      <c r="U430" s="1" t="n"/>
      <c r="V430" s="1" t="n"/>
      <c r="W430" s="1" t="n"/>
      <c r="X430" s="1" t="n"/>
      <c r="Y430" s="1" t="n"/>
      <c r="Z430" s="1" t="n"/>
      <c r="AA430" s="1" t="n"/>
      <c r="AB430" s="1" t="n"/>
      <c r="AC430" s="1" t="n"/>
      <c r="AD430" s="1" t="n"/>
      <c r="AE430" s="1" t="n"/>
      <c r="AF430" s="1" t="n"/>
      <c r="AG430" s="1" t="n"/>
      <c r="AH430" s="1" t="n"/>
      <c r="AI430" s="1" t="n"/>
      <c r="AJ430" s="1" t="n"/>
    </row>
    <row r="431" ht="15" customHeight="1">
      <c r="A431" s="429" t="n"/>
      <c r="B431" s="429" t="n"/>
      <c r="C431" s="429" t="n"/>
      <c r="D431" s="429" t="n"/>
      <c r="E431" s="32" t="inlineStr">
        <is>
          <t>Dalal Ali Alsahli</t>
        </is>
      </c>
      <c r="F431" s="19" t="inlineStr">
        <is>
          <t>Security Services</t>
        </is>
      </c>
      <c r="G431" s="425" t="n">
        <v>704069</v>
      </c>
      <c r="H431" s="425" t="n">
        <v>1097320277</v>
      </c>
      <c r="I431" s="425" t="inlineStr">
        <is>
          <t>Approved</t>
        </is>
      </c>
      <c r="J431" s="496" t="n">
        <v>45992</v>
      </c>
      <c r="K431" s="425" t="inlineStr">
        <is>
          <t>FMCO</t>
        </is>
      </c>
      <c r="L431" s="183" t="inlineStr">
        <is>
          <t>-</t>
        </is>
      </c>
      <c r="N431" s="1" t="n"/>
      <c r="O431" s="1" t="n"/>
      <c r="P431" s="1" t="n"/>
      <c r="Q431" s="1" t="n"/>
      <c r="R431" s="1" t="n"/>
      <c r="S431" s="1" t="n"/>
      <c r="T431" s="1" t="n"/>
      <c r="U431" s="1" t="n"/>
      <c r="V431" s="1" t="n"/>
      <c r="W431" s="1" t="n"/>
      <c r="X431" s="1" t="n"/>
      <c r="Y431" s="1" t="n"/>
      <c r="Z431" s="1" t="n"/>
      <c r="AA431" s="1" t="n"/>
      <c r="AB431" s="1" t="n"/>
      <c r="AC431" s="1" t="n"/>
      <c r="AD431" s="1" t="n"/>
      <c r="AE431" s="1" t="n"/>
      <c r="AF431" s="1" t="n"/>
      <c r="AG431" s="1" t="n"/>
      <c r="AH431" s="1" t="n"/>
      <c r="AI431" s="1" t="n"/>
      <c r="AJ431" s="1" t="n"/>
    </row>
    <row r="432" ht="15" customHeight="1">
      <c r="A432" s="429" t="n"/>
      <c r="B432" s="429" t="n"/>
      <c r="C432" s="429" t="n"/>
      <c r="D432" s="429" t="n"/>
      <c r="E432" s="32" t="inlineStr">
        <is>
          <t>Musad Mohammed Siren</t>
        </is>
      </c>
      <c r="F432" s="19" t="inlineStr">
        <is>
          <t>Security Services</t>
        </is>
      </c>
      <c r="G432" s="425" t="n">
        <v>704021</v>
      </c>
      <c r="H432" s="425" t="n">
        <v>1075325751</v>
      </c>
      <c r="I432" s="425" t="inlineStr">
        <is>
          <t>Approved</t>
        </is>
      </c>
      <c r="J432" s="496" t="n">
        <v>45908</v>
      </c>
      <c r="K432" s="425" t="inlineStr">
        <is>
          <t>FMCO</t>
        </is>
      </c>
      <c r="L432" s="183" t="inlineStr">
        <is>
          <t>-</t>
        </is>
      </c>
      <c r="N432" s="1" t="n"/>
      <c r="O432" s="1" t="n"/>
      <c r="P432" s="1" t="n"/>
      <c r="Q432" s="1" t="n"/>
      <c r="R432" s="1" t="n"/>
      <c r="S432" s="1" t="n"/>
      <c r="T432" s="1" t="n"/>
      <c r="U432" s="1" t="n"/>
      <c r="V432" s="1" t="n"/>
      <c r="W432" s="1" t="n"/>
      <c r="X432" s="1" t="n"/>
      <c r="Y432" s="1" t="n"/>
      <c r="Z432" s="1" t="n"/>
      <c r="AA432" s="1" t="n"/>
      <c r="AB432" s="1" t="n"/>
      <c r="AC432" s="1" t="n"/>
      <c r="AD432" s="1" t="n"/>
      <c r="AE432" s="1" t="n"/>
      <c r="AF432" s="1" t="n"/>
      <c r="AG432" s="1" t="n"/>
      <c r="AH432" s="1" t="n"/>
      <c r="AI432" s="1" t="n"/>
      <c r="AJ432" s="1" t="n"/>
    </row>
    <row r="433" ht="15" customHeight="1">
      <c r="A433" s="429" t="n"/>
      <c r="B433" s="429" t="n"/>
      <c r="C433" s="429" t="n"/>
      <c r="D433" s="429" t="n"/>
      <c r="E433" s="65" t="n"/>
      <c r="F433" s="19" t="inlineStr">
        <is>
          <t>Security Services</t>
        </is>
      </c>
      <c r="G433" s="425" t="inlineStr">
        <is>
          <t>-</t>
        </is>
      </c>
      <c r="H433" s="29" t="inlineStr">
        <is>
          <t>-</t>
        </is>
      </c>
      <c r="I433" s="230" t="n"/>
      <c r="J433" s="504" t="n"/>
      <c r="K433" s="425" t="inlineStr">
        <is>
          <t>-</t>
        </is>
      </c>
      <c r="L433" s="183" t="inlineStr">
        <is>
          <t>-</t>
        </is>
      </c>
      <c r="N433" s="1" t="n"/>
      <c r="O433" s="1" t="n"/>
      <c r="P433" s="1" t="n"/>
      <c r="Q433" s="1" t="n"/>
      <c r="R433" s="1" t="n"/>
      <c r="S433" s="1" t="n"/>
      <c r="T433" s="1" t="n"/>
      <c r="U433" s="1" t="n"/>
      <c r="V433" s="1" t="n"/>
      <c r="W433" s="1" t="n"/>
      <c r="X433" s="1" t="n"/>
      <c r="Y433" s="1" t="n"/>
      <c r="Z433" s="1" t="n"/>
      <c r="AA433" s="1" t="n"/>
      <c r="AB433" s="1" t="n"/>
      <c r="AC433" s="1" t="n"/>
      <c r="AD433" s="1" t="n"/>
      <c r="AE433" s="1" t="n"/>
      <c r="AF433" s="1" t="n"/>
      <c r="AG433" s="1" t="n"/>
      <c r="AH433" s="1" t="n"/>
      <c r="AI433" s="1" t="n"/>
      <c r="AJ433" s="1" t="n"/>
    </row>
    <row r="434" ht="15" customHeight="1">
      <c r="A434" s="429" t="n"/>
      <c r="B434" s="429" t="n"/>
      <c r="C434" s="429" t="n"/>
      <c r="D434" s="429" t="n"/>
      <c r="E434" s="52" t="n"/>
      <c r="F434" s="19" t="inlineStr">
        <is>
          <t>Security Services</t>
        </is>
      </c>
      <c r="G434" s="425" t="inlineStr">
        <is>
          <t>-</t>
        </is>
      </c>
      <c r="H434" s="29" t="inlineStr">
        <is>
          <t>-</t>
        </is>
      </c>
      <c r="I434" s="425" t="inlineStr">
        <is>
          <t>Vacant</t>
        </is>
      </c>
      <c r="J434" s="499" t="n"/>
      <c r="K434" s="425" t="inlineStr">
        <is>
          <t>-</t>
        </is>
      </c>
      <c r="L434" s="183" t="inlineStr">
        <is>
          <t>-</t>
        </is>
      </c>
      <c r="N434" s="1" t="n"/>
      <c r="O434" s="1" t="n"/>
      <c r="P434" s="1" t="n"/>
      <c r="Q434" s="1" t="n"/>
      <c r="R434" s="1" t="n"/>
      <c r="S434" s="1" t="n"/>
      <c r="T434" s="1" t="n"/>
      <c r="U434" s="1" t="n"/>
      <c r="V434" s="1" t="n"/>
      <c r="W434" s="1" t="n"/>
      <c r="X434" s="1" t="n"/>
      <c r="Y434" s="1" t="n"/>
      <c r="Z434" s="1" t="n"/>
      <c r="AA434" s="1" t="n"/>
      <c r="AB434" s="1" t="n"/>
      <c r="AC434" s="1" t="n"/>
      <c r="AD434" s="1" t="n"/>
      <c r="AE434" s="1" t="n"/>
      <c r="AF434" s="1" t="n"/>
      <c r="AG434" s="1" t="n"/>
      <c r="AH434" s="1" t="n"/>
      <c r="AI434" s="1" t="n"/>
      <c r="AJ434" s="1" t="n"/>
    </row>
    <row r="435" ht="15" customHeight="1">
      <c r="A435" s="429" t="n"/>
      <c r="B435" s="429" t="n"/>
      <c r="C435" s="429" t="n"/>
      <c r="D435" s="429" t="n"/>
      <c r="E435" s="56" t="n"/>
      <c r="F435" s="19" t="inlineStr">
        <is>
          <t>Security Services</t>
        </is>
      </c>
      <c r="G435" s="425" t="inlineStr">
        <is>
          <t>-</t>
        </is>
      </c>
      <c r="H435" s="29" t="inlineStr">
        <is>
          <t>-</t>
        </is>
      </c>
      <c r="I435" s="425" t="inlineStr">
        <is>
          <t>Vacant</t>
        </is>
      </c>
      <c r="J435" s="499" t="n"/>
      <c r="K435" s="425" t="inlineStr">
        <is>
          <t>-</t>
        </is>
      </c>
      <c r="L435" s="183" t="inlineStr">
        <is>
          <t>-</t>
        </is>
      </c>
      <c r="N435" s="1" t="n"/>
      <c r="O435" s="1" t="n"/>
      <c r="P435" s="1" t="n"/>
      <c r="Q435" s="1" t="n"/>
      <c r="R435" s="1" t="n"/>
      <c r="S435" s="1" t="n"/>
      <c r="T435" s="1" t="n"/>
      <c r="U435" s="1" t="n"/>
      <c r="V435" s="1" t="n"/>
      <c r="W435" s="1" t="n"/>
      <c r="X435" s="1" t="n"/>
      <c r="Y435" s="1" t="n"/>
      <c r="Z435" s="1" t="n"/>
      <c r="AA435" s="1" t="n"/>
      <c r="AB435" s="1" t="n"/>
      <c r="AC435" s="1" t="n"/>
      <c r="AD435" s="1" t="n"/>
      <c r="AE435" s="1" t="n"/>
      <c r="AF435" s="1" t="n"/>
      <c r="AG435" s="1" t="n"/>
      <c r="AH435" s="1" t="n"/>
      <c r="AI435" s="1" t="n"/>
      <c r="AJ435" s="1" t="n"/>
    </row>
    <row r="436" ht="15" customHeight="1">
      <c r="A436" s="429" t="n"/>
      <c r="B436" s="429" t="n"/>
      <c r="C436" s="429" t="n"/>
      <c r="D436" s="429" t="n"/>
      <c r="E436" s="56" t="n"/>
      <c r="F436" s="19" t="inlineStr">
        <is>
          <t>Security Services</t>
        </is>
      </c>
      <c r="G436" s="425" t="inlineStr">
        <is>
          <t>-</t>
        </is>
      </c>
      <c r="H436" s="29" t="inlineStr">
        <is>
          <t>-</t>
        </is>
      </c>
      <c r="I436" s="425" t="inlineStr">
        <is>
          <t>Vacant</t>
        </is>
      </c>
      <c r="J436" s="499" t="n"/>
      <c r="K436" s="425" t="inlineStr">
        <is>
          <t>-</t>
        </is>
      </c>
      <c r="L436" s="183" t="inlineStr">
        <is>
          <t>-</t>
        </is>
      </c>
      <c r="N436" s="1" t="n"/>
      <c r="O436" s="1" t="n"/>
      <c r="P436" s="1" t="n"/>
      <c r="Q436" s="1" t="n"/>
      <c r="R436" s="1" t="n"/>
      <c r="S436" s="1" t="n"/>
      <c r="T436" s="1" t="n"/>
      <c r="U436" s="1" t="n"/>
      <c r="V436" s="1" t="n"/>
      <c r="W436" s="1" t="n"/>
      <c r="X436" s="1" t="n"/>
      <c r="Y436" s="1" t="n"/>
      <c r="Z436" s="1" t="n"/>
      <c r="AA436" s="1" t="n"/>
      <c r="AB436" s="1" t="n"/>
      <c r="AC436" s="1" t="n"/>
      <c r="AD436" s="1" t="n"/>
      <c r="AE436" s="1" t="n"/>
      <c r="AF436" s="1" t="n"/>
      <c r="AG436" s="1" t="n"/>
      <c r="AH436" s="1" t="n"/>
      <c r="AI436" s="1" t="n"/>
      <c r="AJ436" s="1" t="n"/>
    </row>
    <row r="437" ht="15" customHeight="1">
      <c r="A437" s="431" t="n"/>
      <c r="B437" s="431" t="n"/>
      <c r="C437" s="431" t="n"/>
      <c r="D437" s="431" t="n"/>
      <c r="E437" s="56" t="n"/>
      <c r="F437" s="19" t="inlineStr">
        <is>
          <t>Security Services</t>
        </is>
      </c>
      <c r="G437" s="425" t="inlineStr">
        <is>
          <t>-</t>
        </is>
      </c>
      <c r="H437" s="29" t="inlineStr">
        <is>
          <t>-</t>
        </is>
      </c>
      <c r="I437" s="425" t="inlineStr">
        <is>
          <t>Vacant</t>
        </is>
      </c>
      <c r="J437" s="499" t="n"/>
      <c r="K437" s="425" t="inlineStr">
        <is>
          <t>-</t>
        </is>
      </c>
      <c r="L437" s="183" t="inlineStr">
        <is>
          <t>-</t>
        </is>
      </c>
      <c r="N437" s="1" t="n"/>
      <c r="O437" s="1" t="n"/>
      <c r="P437" s="1" t="n"/>
      <c r="Q437" s="1" t="n"/>
      <c r="R437" s="1" t="n"/>
      <c r="S437" s="1" t="n"/>
      <c r="T437" s="1" t="n"/>
      <c r="U437" s="1" t="n"/>
      <c r="V437" s="1" t="n"/>
      <c r="W437" s="1" t="n"/>
      <c r="X437" s="1" t="n"/>
      <c r="Y437" s="1" t="n"/>
      <c r="Z437" s="1" t="n"/>
      <c r="AA437" s="1" t="n"/>
      <c r="AB437" s="1" t="n"/>
      <c r="AC437" s="1" t="n"/>
      <c r="AD437" s="1" t="n"/>
      <c r="AE437" s="1" t="n"/>
      <c r="AF437" s="1" t="n"/>
      <c r="AG437" s="1" t="n"/>
      <c r="AH437" s="1" t="n"/>
      <c r="AI437" s="1" t="n"/>
      <c r="AJ437" s="1" t="n"/>
    </row>
    <row r="438" ht="15" customHeight="1">
      <c r="A438" s="452" t="inlineStr">
        <is>
          <t>Security Admins</t>
        </is>
      </c>
      <c r="B438" s="439" t="n">
        <v>8</v>
      </c>
      <c r="C438" s="439">
        <f>COUNTIF(E438:E445,"&lt;&gt;")</f>
        <v/>
      </c>
      <c r="D438" s="432">
        <f>C438-B438</f>
        <v/>
      </c>
      <c r="E438" s="32" t="inlineStr">
        <is>
          <t>Munahi Mutlaq Binherais</t>
        </is>
      </c>
      <c r="F438" s="19" t="inlineStr">
        <is>
          <t>Security Services</t>
        </is>
      </c>
      <c r="G438" s="425" t="n">
        <v>703628</v>
      </c>
      <c r="H438" s="425" t="n">
        <v>1139608168</v>
      </c>
      <c r="I438" s="425" t="inlineStr">
        <is>
          <t>Approved</t>
        </is>
      </c>
      <c r="J438" s="496" t="n">
        <v>45624</v>
      </c>
      <c r="K438" s="425" t="inlineStr">
        <is>
          <t>FMCO</t>
        </is>
      </c>
      <c r="L438" s="183" t="inlineStr">
        <is>
          <t>-</t>
        </is>
      </c>
      <c r="N438" s="1" t="n"/>
      <c r="O438" s="1" t="n"/>
      <c r="P438" s="1" t="n"/>
      <c r="Q438" s="1" t="n"/>
      <c r="R438" s="1" t="n"/>
      <c r="S438" s="1" t="n"/>
      <c r="T438" s="1" t="n"/>
      <c r="U438" s="1" t="n"/>
      <c r="V438" s="1" t="n"/>
      <c r="W438" s="1" t="n"/>
      <c r="X438" s="1" t="n"/>
      <c r="Y438" s="1" t="n"/>
      <c r="Z438" s="1" t="n"/>
      <c r="AA438" s="1" t="n"/>
      <c r="AB438" s="1" t="n"/>
      <c r="AC438" s="1" t="n"/>
      <c r="AD438" s="1" t="n"/>
      <c r="AE438" s="1" t="n"/>
      <c r="AF438" s="1" t="n"/>
      <c r="AG438" s="1" t="n"/>
      <c r="AH438" s="1" t="n"/>
      <c r="AI438" s="1" t="n"/>
      <c r="AJ438" s="1" t="n"/>
    </row>
    <row r="439" ht="15" customHeight="1">
      <c r="A439" s="429" t="n"/>
      <c r="B439" s="429" t="n"/>
      <c r="C439" s="429" t="n"/>
      <c r="D439" s="429" t="n"/>
      <c r="E439" s="32" t="inlineStr">
        <is>
          <t>Sattam Mohammed Alqahtani</t>
        </is>
      </c>
      <c r="F439" s="19" t="inlineStr">
        <is>
          <t>Security Services</t>
        </is>
      </c>
      <c r="G439" s="425" t="n">
        <v>703881</v>
      </c>
      <c r="H439" s="425" t="n">
        <v>1126340585</v>
      </c>
      <c r="I439" s="425" t="inlineStr">
        <is>
          <t>Approved</t>
        </is>
      </c>
      <c r="J439" s="496" t="n">
        <v>45844</v>
      </c>
      <c r="K439" s="425" t="inlineStr">
        <is>
          <t>FMCO</t>
        </is>
      </c>
      <c r="L439" s="183" t="inlineStr">
        <is>
          <t>-</t>
        </is>
      </c>
      <c r="N439" s="1" t="n"/>
      <c r="O439" s="1" t="n"/>
      <c r="P439" s="1" t="n"/>
      <c r="Q439" s="1" t="n"/>
      <c r="R439" s="1" t="n"/>
      <c r="S439" s="1" t="n"/>
      <c r="T439" s="1" t="n"/>
      <c r="U439" s="1" t="n"/>
      <c r="V439" s="1" t="n"/>
      <c r="W439" s="1" t="n"/>
      <c r="X439" s="1" t="n"/>
      <c r="Y439" s="1" t="n"/>
      <c r="Z439" s="1" t="n"/>
      <c r="AA439" s="1" t="n"/>
      <c r="AB439" s="1" t="n"/>
      <c r="AC439" s="1" t="n"/>
      <c r="AD439" s="1" t="n"/>
      <c r="AE439" s="1" t="n"/>
      <c r="AF439" s="1" t="n"/>
      <c r="AG439" s="1" t="n"/>
      <c r="AH439" s="1" t="n"/>
      <c r="AI439" s="1" t="n"/>
      <c r="AJ439" s="1" t="n"/>
    </row>
    <row r="440" ht="15" customHeight="1">
      <c r="A440" s="429" t="n"/>
      <c r="B440" s="429" t="n"/>
      <c r="C440" s="429" t="n"/>
      <c r="D440" s="429" t="n"/>
      <c r="E440" s="32" t="inlineStr">
        <is>
          <t>Nasser Mohammed Algahtani</t>
        </is>
      </c>
      <c r="F440" s="19" t="inlineStr">
        <is>
          <t>Security Services</t>
        </is>
      </c>
      <c r="G440" s="425" t="n">
        <v>703831</v>
      </c>
      <c r="H440" s="425" t="n">
        <v>1136677083</v>
      </c>
      <c r="I440" s="425" t="inlineStr">
        <is>
          <t>Approved</t>
        </is>
      </c>
      <c r="J440" s="496" t="n">
        <v>45789</v>
      </c>
      <c r="K440" s="425" t="inlineStr">
        <is>
          <t>FMCO</t>
        </is>
      </c>
      <c r="L440" s="183" t="inlineStr">
        <is>
          <t>-</t>
        </is>
      </c>
      <c r="N440" s="1" t="n"/>
      <c r="O440" s="1" t="n"/>
      <c r="P440" s="1" t="n"/>
      <c r="Q440" s="1" t="n"/>
      <c r="R440" s="1" t="n"/>
      <c r="S440" s="1" t="n"/>
      <c r="T440" s="1" t="n"/>
      <c r="U440" s="1" t="n"/>
      <c r="V440" s="1" t="n"/>
      <c r="W440" s="1" t="n"/>
      <c r="X440" s="1" t="n"/>
      <c r="Y440" s="1" t="n"/>
      <c r="Z440" s="1" t="n"/>
      <c r="AA440" s="1" t="n"/>
      <c r="AB440" s="1" t="n"/>
      <c r="AC440" s="1" t="n"/>
      <c r="AD440" s="1" t="n"/>
      <c r="AE440" s="1" t="n"/>
      <c r="AF440" s="1" t="n"/>
      <c r="AG440" s="1" t="n"/>
      <c r="AH440" s="1" t="n"/>
      <c r="AI440" s="1" t="n"/>
      <c r="AJ440" s="1" t="n"/>
    </row>
    <row r="441" ht="15" customHeight="1">
      <c r="A441" s="429" t="n"/>
      <c r="B441" s="429" t="n"/>
      <c r="C441" s="429" t="n"/>
      <c r="D441" s="429" t="n"/>
      <c r="E441" s="18" t="n"/>
      <c r="F441" s="19" t="inlineStr">
        <is>
          <t>Security Services</t>
        </is>
      </c>
      <c r="G441" s="425" t="inlineStr">
        <is>
          <t>-</t>
        </is>
      </c>
      <c r="H441" s="425" t="inlineStr">
        <is>
          <t>-</t>
        </is>
      </c>
      <c r="I441" s="425" t="inlineStr">
        <is>
          <t>Vacant</t>
        </is>
      </c>
      <c r="J441" s="499" t="n"/>
      <c r="K441" s="425" t="inlineStr">
        <is>
          <t>-</t>
        </is>
      </c>
      <c r="L441" s="183" t="inlineStr">
        <is>
          <t>-</t>
        </is>
      </c>
      <c r="N441" s="1" t="n"/>
      <c r="O441" s="1" t="n"/>
      <c r="P441" s="1" t="n"/>
      <c r="Q441" s="1" t="n"/>
      <c r="R441" s="1" t="n"/>
      <c r="S441" s="1" t="n"/>
      <c r="T441" s="1" t="n"/>
      <c r="U441" s="1" t="n"/>
      <c r="V441" s="1" t="n"/>
      <c r="W441" s="1" t="n"/>
      <c r="X441" s="1" t="n"/>
      <c r="Y441" s="1" t="n"/>
      <c r="Z441" s="1" t="n"/>
      <c r="AA441" s="1" t="n"/>
      <c r="AB441" s="1" t="n"/>
      <c r="AC441" s="1" t="n"/>
      <c r="AD441" s="1" t="n"/>
      <c r="AE441" s="1" t="n"/>
      <c r="AF441" s="1" t="n"/>
      <c r="AG441" s="1" t="n"/>
      <c r="AH441" s="1" t="n"/>
      <c r="AI441" s="1" t="n"/>
      <c r="AJ441" s="1" t="n"/>
    </row>
    <row r="442" ht="15" customHeight="1">
      <c r="A442" s="429" t="n"/>
      <c r="B442" s="429" t="n"/>
      <c r="C442" s="429" t="n"/>
      <c r="D442" s="429" t="n"/>
      <c r="E442" s="56" t="n"/>
      <c r="F442" s="19" t="inlineStr">
        <is>
          <t>Security Services</t>
        </is>
      </c>
      <c r="G442" s="425" t="inlineStr">
        <is>
          <t>-</t>
        </is>
      </c>
      <c r="H442" s="29" t="inlineStr">
        <is>
          <t>-</t>
        </is>
      </c>
      <c r="I442" s="425" t="inlineStr">
        <is>
          <t>Vacant</t>
        </is>
      </c>
      <c r="J442" s="499" t="n"/>
      <c r="K442" s="425" t="inlineStr">
        <is>
          <t>-</t>
        </is>
      </c>
      <c r="L442" s="183" t="inlineStr">
        <is>
          <t>-</t>
        </is>
      </c>
      <c r="N442" s="1" t="n"/>
      <c r="O442" s="1" t="n"/>
      <c r="P442" s="1" t="n"/>
      <c r="Q442" s="1" t="n"/>
      <c r="R442" s="1" t="n"/>
      <c r="S442" s="1" t="n"/>
      <c r="T442" s="1" t="n"/>
      <c r="U442" s="1" t="n"/>
      <c r="V442" s="1" t="n"/>
      <c r="W442" s="1" t="n"/>
      <c r="X442" s="1" t="n"/>
      <c r="Y442" s="1" t="n"/>
      <c r="Z442" s="1" t="n"/>
      <c r="AA442" s="1" t="n"/>
      <c r="AB442" s="1" t="n"/>
      <c r="AC442" s="1" t="n"/>
      <c r="AD442" s="1" t="n"/>
      <c r="AE442" s="1" t="n"/>
      <c r="AF442" s="1" t="n"/>
      <c r="AG442" s="1" t="n"/>
      <c r="AH442" s="1" t="n"/>
      <c r="AI442" s="1" t="n"/>
      <c r="AJ442" s="1" t="n"/>
    </row>
    <row r="443" ht="15" customHeight="1">
      <c r="A443" s="429" t="n"/>
      <c r="B443" s="429" t="n"/>
      <c r="C443" s="429" t="n"/>
      <c r="D443" s="429" t="n"/>
      <c r="E443" s="56" t="n"/>
      <c r="F443" s="19" t="inlineStr">
        <is>
          <t>Security Services</t>
        </is>
      </c>
      <c r="G443" s="425" t="inlineStr">
        <is>
          <t>-</t>
        </is>
      </c>
      <c r="H443" s="29" t="inlineStr">
        <is>
          <t>-</t>
        </is>
      </c>
      <c r="I443" s="425" t="inlineStr">
        <is>
          <t>Vacant</t>
        </is>
      </c>
      <c r="J443" s="499" t="n"/>
      <c r="K443" s="425" t="inlineStr">
        <is>
          <t>-</t>
        </is>
      </c>
      <c r="L443" s="183" t="inlineStr">
        <is>
          <t>-</t>
        </is>
      </c>
      <c r="N443" s="1" t="n"/>
      <c r="O443" s="1" t="n"/>
      <c r="P443" s="1" t="n"/>
      <c r="Q443" s="1" t="n"/>
      <c r="R443" s="1" t="n"/>
      <c r="S443" s="1" t="n"/>
      <c r="T443" s="1" t="n"/>
      <c r="U443" s="1" t="n"/>
      <c r="V443" s="1" t="n"/>
      <c r="W443" s="1" t="n"/>
      <c r="X443" s="1" t="n"/>
      <c r="Y443" s="1" t="n"/>
      <c r="Z443" s="1" t="n"/>
      <c r="AA443" s="1" t="n"/>
      <c r="AB443" s="1" t="n"/>
      <c r="AC443" s="1" t="n"/>
      <c r="AD443" s="1" t="n"/>
      <c r="AE443" s="1" t="n"/>
      <c r="AF443" s="1" t="n"/>
      <c r="AG443" s="1" t="n"/>
      <c r="AH443" s="1" t="n"/>
      <c r="AI443" s="1" t="n"/>
      <c r="AJ443" s="1" t="n"/>
    </row>
    <row r="444" ht="15" customHeight="1">
      <c r="A444" s="429" t="n"/>
      <c r="B444" s="429" t="n"/>
      <c r="C444" s="429" t="n"/>
      <c r="D444" s="429" t="n"/>
      <c r="E444" s="56" t="n"/>
      <c r="F444" s="19" t="inlineStr">
        <is>
          <t>Security Services</t>
        </is>
      </c>
      <c r="G444" s="425" t="inlineStr">
        <is>
          <t>-</t>
        </is>
      </c>
      <c r="H444" s="29" t="inlineStr">
        <is>
          <t>-</t>
        </is>
      </c>
      <c r="I444" s="425" t="inlineStr">
        <is>
          <t>Vacant</t>
        </is>
      </c>
      <c r="J444" s="499" t="n"/>
      <c r="K444" s="425" t="inlineStr">
        <is>
          <t>-</t>
        </is>
      </c>
      <c r="L444" s="231" t="inlineStr">
        <is>
          <t>-</t>
        </is>
      </c>
      <c r="N444" s="1" t="n"/>
      <c r="O444" s="1" t="n"/>
      <c r="P444" s="1" t="n"/>
      <c r="Q444" s="1" t="n"/>
      <c r="R444" s="1" t="n"/>
      <c r="S444" s="1" t="n"/>
      <c r="T444" s="1" t="n"/>
      <c r="U444" s="1" t="n"/>
      <c r="V444" s="1" t="n"/>
      <c r="W444" s="1" t="n"/>
      <c r="X444" s="1" t="n"/>
      <c r="Y444" s="1" t="n"/>
      <c r="Z444" s="1" t="n"/>
      <c r="AA444" s="1" t="n"/>
      <c r="AB444" s="1" t="n"/>
      <c r="AC444" s="1" t="n"/>
      <c r="AD444" s="1" t="n"/>
      <c r="AE444" s="1" t="n"/>
      <c r="AF444" s="1" t="n"/>
      <c r="AG444" s="1" t="n"/>
      <c r="AH444" s="1" t="n"/>
      <c r="AI444" s="1" t="n"/>
      <c r="AJ444" s="1" t="n"/>
    </row>
    <row r="445" ht="15" customHeight="1">
      <c r="A445" s="431" t="n"/>
      <c r="B445" s="431" t="n"/>
      <c r="C445" s="431" t="n"/>
      <c r="D445" s="431" t="n"/>
      <c r="E445" s="56" t="n"/>
      <c r="F445" s="19" t="inlineStr">
        <is>
          <t>Security Services</t>
        </is>
      </c>
      <c r="G445" s="425" t="inlineStr">
        <is>
          <t>-</t>
        </is>
      </c>
      <c r="H445" s="29" t="inlineStr">
        <is>
          <t>-</t>
        </is>
      </c>
      <c r="I445" s="425" t="inlineStr">
        <is>
          <t>Vacant</t>
        </is>
      </c>
      <c r="J445" s="499" t="n"/>
      <c r="K445" s="425" t="inlineStr">
        <is>
          <t>-</t>
        </is>
      </c>
      <c r="L445" s="183" t="inlineStr">
        <is>
          <t>-</t>
        </is>
      </c>
      <c r="N445" s="1" t="n"/>
      <c r="O445" s="1" t="n"/>
      <c r="P445" s="1" t="n"/>
      <c r="Q445" s="1" t="n"/>
      <c r="R445" s="1" t="n"/>
      <c r="S445" s="1" t="n"/>
      <c r="T445" s="1" t="n"/>
      <c r="U445" s="1" t="n"/>
      <c r="V445" s="1" t="n"/>
      <c r="W445" s="1" t="n"/>
      <c r="X445" s="1" t="n"/>
      <c r="Y445" s="1" t="n"/>
      <c r="Z445" s="1" t="n"/>
      <c r="AA445" s="1" t="n"/>
      <c r="AB445" s="1" t="n"/>
      <c r="AC445" s="1" t="n"/>
      <c r="AD445" s="1" t="n"/>
      <c r="AE445" s="1" t="n"/>
      <c r="AF445" s="1" t="n"/>
      <c r="AG445" s="1" t="n"/>
      <c r="AH445" s="1" t="n"/>
      <c r="AI445" s="1" t="n"/>
      <c r="AJ445" s="1" t="n"/>
    </row>
    <row r="446" ht="15" customHeight="1">
      <c r="A446" s="449" t="inlineStr">
        <is>
          <t>Security Watchman/Guards</t>
        </is>
      </c>
      <c r="B446" s="439" t="n">
        <v>60</v>
      </c>
      <c r="C446" s="439">
        <f>COUNTIF(E446:E505,"&lt;&gt;")</f>
        <v/>
      </c>
      <c r="D446" s="439">
        <f>C446-B446</f>
        <v/>
      </c>
      <c r="E446" s="32" t="inlineStr">
        <is>
          <t>Ali Abdullah Alotaibi</t>
        </is>
      </c>
      <c r="F446" s="19" t="inlineStr">
        <is>
          <t>Security Services</t>
        </is>
      </c>
      <c r="G446" s="425" t="n">
        <v>703621</v>
      </c>
      <c r="H446" s="425" t="n">
        <v>1101816948</v>
      </c>
      <c r="I446" s="425" t="inlineStr">
        <is>
          <t>Approved</t>
        </is>
      </c>
      <c r="J446" s="496" t="n">
        <v>45624</v>
      </c>
      <c r="K446" s="425" t="inlineStr">
        <is>
          <t>FMCO</t>
        </is>
      </c>
      <c r="L446" s="86" t="inlineStr">
        <is>
          <t>-</t>
        </is>
      </c>
      <c r="N446" s="1" t="n"/>
      <c r="O446" s="1" t="n"/>
      <c r="P446" s="1" t="n"/>
      <c r="Q446" s="1" t="n"/>
      <c r="R446" s="1" t="n"/>
      <c r="S446" s="1" t="n"/>
      <c r="T446" s="1" t="n"/>
      <c r="U446" s="1" t="n"/>
      <c r="V446" s="1" t="n"/>
      <c r="W446" s="1" t="n"/>
      <c r="X446" s="1" t="n"/>
      <c r="Y446" s="1" t="n"/>
      <c r="Z446" s="1" t="n"/>
      <c r="AA446" s="1" t="n"/>
      <c r="AB446" s="1" t="n"/>
      <c r="AC446" s="1" t="n"/>
      <c r="AD446" s="1" t="n"/>
      <c r="AE446" s="1" t="n"/>
      <c r="AF446" s="1" t="n"/>
      <c r="AG446" s="1" t="n"/>
      <c r="AH446" s="1" t="n"/>
      <c r="AI446" s="1" t="n"/>
      <c r="AJ446" s="1" t="n"/>
    </row>
    <row r="447" ht="15" customHeight="1">
      <c r="A447" s="429" t="n"/>
      <c r="B447" s="429" t="n"/>
      <c r="C447" s="429" t="n"/>
      <c r="D447" s="429" t="n"/>
      <c r="E447" s="32" t="inlineStr">
        <is>
          <t>Bader Bandar Huwaymil</t>
        </is>
      </c>
      <c r="F447" s="19" t="inlineStr">
        <is>
          <t>Security Services</t>
        </is>
      </c>
      <c r="G447" s="425" t="n">
        <v>703798</v>
      </c>
      <c r="H447" s="425" t="n">
        <v>1127914636</v>
      </c>
      <c r="I447" s="425" t="inlineStr">
        <is>
          <t>Approved</t>
        </is>
      </c>
      <c r="J447" s="496" t="n">
        <v>45754</v>
      </c>
      <c r="K447" s="425" t="inlineStr">
        <is>
          <t>FMCO</t>
        </is>
      </c>
      <c r="L447" s="86" t="inlineStr">
        <is>
          <t>-</t>
        </is>
      </c>
      <c r="N447" s="1" t="n"/>
      <c r="O447" s="1" t="n"/>
      <c r="P447" s="1" t="n"/>
      <c r="Q447" s="1" t="n"/>
      <c r="R447" s="1" t="n"/>
      <c r="S447" s="1" t="n"/>
      <c r="T447" s="1" t="n"/>
      <c r="U447" s="1" t="n"/>
      <c r="V447" s="1" t="n"/>
      <c r="W447" s="1" t="n"/>
      <c r="X447" s="1" t="n"/>
      <c r="Y447" s="1" t="n"/>
      <c r="Z447" s="1" t="n"/>
      <c r="AA447" s="1" t="n"/>
      <c r="AB447" s="1" t="n"/>
      <c r="AC447" s="1" t="n"/>
      <c r="AD447" s="1" t="n"/>
      <c r="AE447" s="1" t="n"/>
      <c r="AF447" s="1" t="n"/>
      <c r="AG447" s="1" t="n"/>
      <c r="AH447" s="1" t="n"/>
      <c r="AI447" s="1" t="n"/>
      <c r="AJ447" s="1" t="n"/>
    </row>
    <row r="448" ht="15" customHeight="1">
      <c r="A448" s="429" t="n"/>
      <c r="B448" s="429" t="n"/>
      <c r="C448" s="429" t="n"/>
      <c r="D448" s="429" t="n"/>
      <c r="E448" s="32" t="inlineStr">
        <is>
          <t>Abdulaziz Abdullah Alguraini</t>
        </is>
      </c>
      <c r="F448" s="19" t="inlineStr">
        <is>
          <t>Security Services</t>
        </is>
      </c>
      <c r="G448" s="425" t="n">
        <v>703799</v>
      </c>
      <c r="H448" s="425" t="n">
        <v>1112756430</v>
      </c>
      <c r="I448" s="425" t="inlineStr">
        <is>
          <t>Approved</t>
        </is>
      </c>
      <c r="J448" s="496" t="n">
        <v>45754</v>
      </c>
      <c r="K448" s="425" t="inlineStr">
        <is>
          <t>FMCO</t>
        </is>
      </c>
      <c r="L448" s="86" t="inlineStr">
        <is>
          <t>-</t>
        </is>
      </c>
      <c r="N448" s="1" t="n"/>
      <c r="O448" s="1" t="n"/>
      <c r="P448" s="1" t="n"/>
      <c r="Q448" s="1" t="n"/>
      <c r="R448" s="1" t="n"/>
      <c r="S448" s="1" t="n"/>
      <c r="T448" s="1" t="n"/>
      <c r="U448" s="1" t="n"/>
      <c r="V448" s="1" t="n"/>
      <c r="W448" s="1" t="n"/>
      <c r="X448" s="1" t="n"/>
      <c r="Y448" s="1" t="n"/>
      <c r="Z448" s="1" t="n"/>
      <c r="AA448" s="1" t="n"/>
      <c r="AB448" s="1" t="n"/>
      <c r="AC448" s="1" t="n"/>
      <c r="AD448" s="1" t="n"/>
      <c r="AE448" s="1" t="n"/>
      <c r="AF448" s="1" t="n"/>
      <c r="AG448" s="1" t="n"/>
      <c r="AH448" s="1" t="n"/>
      <c r="AI448" s="1" t="n"/>
      <c r="AJ448" s="1" t="n"/>
    </row>
    <row r="449" ht="15" customHeight="1">
      <c r="A449" s="429" t="n"/>
      <c r="B449" s="429" t="n"/>
      <c r="C449" s="429" t="n"/>
      <c r="D449" s="429" t="n"/>
      <c r="E449" s="32" t="inlineStr">
        <is>
          <t>Musharbih Abdullah Qaysi</t>
        </is>
      </c>
      <c r="F449" s="19" t="inlineStr">
        <is>
          <t>Security Services</t>
        </is>
      </c>
      <c r="G449" s="425" t="n">
        <v>703800</v>
      </c>
      <c r="H449" s="425" t="n">
        <v>1131196774</v>
      </c>
      <c r="I449" s="425" t="inlineStr">
        <is>
          <t>Approved</t>
        </is>
      </c>
      <c r="J449" s="496" t="n">
        <v>45754</v>
      </c>
      <c r="K449" s="425" t="inlineStr">
        <is>
          <t>FMCO</t>
        </is>
      </c>
      <c r="L449" s="86" t="inlineStr">
        <is>
          <t>-</t>
        </is>
      </c>
      <c r="N449" s="1" t="n"/>
      <c r="O449" s="1" t="n"/>
      <c r="P449" s="1" t="n"/>
      <c r="Q449" s="1" t="n"/>
      <c r="R449" s="1" t="n"/>
      <c r="S449" s="1" t="n"/>
      <c r="T449" s="1" t="n"/>
      <c r="U449" s="1" t="n"/>
      <c r="V449" s="1" t="n"/>
      <c r="W449" s="1" t="n"/>
      <c r="X449" s="1" t="n"/>
      <c r="Y449" s="1" t="n"/>
      <c r="Z449" s="1" t="n"/>
      <c r="AA449" s="1" t="n"/>
      <c r="AB449" s="1" t="n"/>
      <c r="AC449" s="1" t="n"/>
      <c r="AD449" s="1" t="n"/>
      <c r="AE449" s="1" t="n"/>
      <c r="AF449" s="1" t="n"/>
      <c r="AG449" s="1" t="n"/>
      <c r="AH449" s="1" t="n"/>
      <c r="AI449" s="1" t="n"/>
      <c r="AJ449" s="1" t="n"/>
    </row>
    <row r="450" ht="15" customHeight="1">
      <c r="A450" s="429" t="n"/>
      <c r="B450" s="429" t="n"/>
      <c r="C450" s="429" t="n"/>
      <c r="D450" s="429" t="n"/>
      <c r="E450" s="32" t="inlineStr">
        <is>
          <t>Khulud Ali Alsahli</t>
        </is>
      </c>
      <c r="F450" s="19" t="inlineStr">
        <is>
          <t>Security Services</t>
        </is>
      </c>
      <c r="G450" s="425" t="n">
        <v>703864</v>
      </c>
      <c r="H450" s="425" t="n">
        <v>1112246853</v>
      </c>
      <c r="I450" s="425" t="inlineStr">
        <is>
          <t>Approved</t>
        </is>
      </c>
      <c r="J450" s="496" t="n">
        <v>45824</v>
      </c>
      <c r="K450" s="425" t="inlineStr">
        <is>
          <t>FMCO</t>
        </is>
      </c>
      <c r="L450" s="86" t="inlineStr">
        <is>
          <t>-</t>
        </is>
      </c>
      <c r="N450" s="1" t="n"/>
      <c r="O450" s="1" t="n"/>
      <c r="P450" s="1" t="n"/>
      <c r="Q450" s="1" t="n"/>
      <c r="R450" s="1" t="n"/>
      <c r="S450" s="1" t="n"/>
      <c r="T450" s="1" t="n"/>
      <c r="U450" s="1" t="n"/>
      <c r="V450" s="1" t="n"/>
      <c r="W450" s="1" t="n"/>
      <c r="X450" s="1" t="n"/>
      <c r="Y450" s="1" t="n"/>
      <c r="Z450" s="1" t="n"/>
      <c r="AA450" s="1" t="n"/>
      <c r="AB450" s="1" t="n"/>
      <c r="AC450" s="1" t="n"/>
      <c r="AD450" s="1" t="n"/>
      <c r="AE450" s="1" t="n"/>
      <c r="AF450" s="1" t="n"/>
      <c r="AG450" s="1" t="n"/>
      <c r="AH450" s="1" t="n"/>
      <c r="AI450" s="1" t="n"/>
      <c r="AJ450" s="1" t="n"/>
    </row>
    <row r="451" ht="15" customHeight="1">
      <c r="A451" s="429" t="n"/>
      <c r="B451" s="429" t="n"/>
      <c r="C451" s="429" t="n"/>
      <c r="D451" s="429" t="n"/>
      <c r="E451" s="32" t="inlineStr">
        <is>
          <t>Rajeh Zaid Alqahtani</t>
        </is>
      </c>
      <c r="F451" s="19" t="inlineStr">
        <is>
          <t>Security Services</t>
        </is>
      </c>
      <c r="G451" s="425" t="n">
        <v>703880</v>
      </c>
      <c r="H451" s="425" t="n">
        <v>1138956238</v>
      </c>
      <c r="I451" s="425" t="inlineStr">
        <is>
          <t>Approved</t>
        </is>
      </c>
      <c r="J451" s="496" t="n">
        <v>45844</v>
      </c>
      <c r="K451" s="425" t="inlineStr">
        <is>
          <t>FMCO</t>
        </is>
      </c>
      <c r="L451" s="86" t="inlineStr">
        <is>
          <t>-</t>
        </is>
      </c>
      <c r="N451" s="1" t="n"/>
      <c r="O451" s="1" t="n"/>
      <c r="P451" s="1" t="n"/>
      <c r="Q451" s="1" t="n"/>
      <c r="R451" s="1" t="n"/>
      <c r="S451" s="1" t="n"/>
      <c r="T451" s="1" t="n"/>
      <c r="U451" s="1" t="n"/>
      <c r="V451" s="1" t="n"/>
      <c r="W451" s="1" t="n"/>
      <c r="X451" s="1" t="n"/>
      <c r="Y451" s="1" t="n"/>
      <c r="Z451" s="1" t="n"/>
      <c r="AA451" s="1" t="n"/>
      <c r="AB451" s="1" t="n"/>
      <c r="AC451" s="1" t="n"/>
      <c r="AD451" s="1" t="n"/>
      <c r="AE451" s="1" t="n"/>
      <c r="AF451" s="1" t="n"/>
      <c r="AG451" s="1" t="n"/>
      <c r="AH451" s="1" t="n"/>
      <c r="AI451" s="1" t="n"/>
      <c r="AJ451" s="1" t="n"/>
    </row>
    <row r="452" ht="15" customHeight="1">
      <c r="A452" s="429" t="n"/>
      <c r="B452" s="429" t="n"/>
      <c r="C452" s="429" t="n"/>
      <c r="D452" s="429" t="n"/>
      <c r="E452" s="32" t="inlineStr">
        <is>
          <t>Muhannad Saeed Alawaji</t>
        </is>
      </c>
      <c r="F452" s="19" t="inlineStr">
        <is>
          <t>Security Services</t>
        </is>
      </c>
      <c r="G452" s="425" t="n">
        <v>704008</v>
      </c>
      <c r="H452" s="425" t="n">
        <v>1123076620</v>
      </c>
      <c r="I452" s="425" t="inlineStr">
        <is>
          <t>Approved</t>
        </is>
      </c>
      <c r="J452" s="496" t="n">
        <v>45904</v>
      </c>
      <c r="K452" s="425" t="inlineStr">
        <is>
          <t>FMCO</t>
        </is>
      </c>
      <c r="L452" s="86" t="inlineStr">
        <is>
          <t>-</t>
        </is>
      </c>
      <c r="N452" s="1" t="n"/>
      <c r="O452" s="1" t="n"/>
      <c r="P452" s="1" t="n"/>
      <c r="Q452" s="1" t="n"/>
      <c r="R452" s="1" t="n"/>
      <c r="S452" s="1" t="n"/>
      <c r="T452" s="1" t="n"/>
      <c r="U452" s="1" t="n"/>
      <c r="V452" s="1" t="n"/>
      <c r="W452" s="1" t="n"/>
      <c r="X452" s="1" t="n"/>
      <c r="Y452" s="1" t="n"/>
      <c r="Z452" s="1" t="n"/>
      <c r="AA452" s="1" t="n"/>
      <c r="AB452" s="1" t="n"/>
      <c r="AC452" s="1" t="n"/>
      <c r="AD452" s="1" t="n"/>
      <c r="AE452" s="1" t="n"/>
      <c r="AF452" s="1" t="n"/>
      <c r="AG452" s="1" t="n"/>
      <c r="AH452" s="1" t="n"/>
      <c r="AI452" s="1" t="n"/>
      <c r="AJ452" s="1" t="n"/>
    </row>
    <row r="453" ht="15" customHeight="1">
      <c r="A453" s="429" t="n"/>
      <c r="B453" s="429" t="n"/>
      <c r="C453" s="429" t="n"/>
      <c r="D453" s="429" t="n"/>
      <c r="E453" s="32" t="inlineStr">
        <is>
          <t>Abdulaziz Rashed Alghuwainem</t>
        </is>
      </c>
      <c r="F453" s="19" t="inlineStr">
        <is>
          <t>Security Services</t>
        </is>
      </c>
      <c r="G453" s="425" t="n">
        <v>704012</v>
      </c>
      <c r="H453" s="425" t="n">
        <v>1064467945</v>
      </c>
      <c r="I453" s="425" t="inlineStr">
        <is>
          <t>Approved</t>
        </is>
      </c>
      <c r="J453" s="496" t="n">
        <v>45904</v>
      </c>
      <c r="K453" s="425" t="inlineStr">
        <is>
          <t>FMCO</t>
        </is>
      </c>
      <c r="L453" s="86" t="inlineStr">
        <is>
          <t>-</t>
        </is>
      </c>
      <c r="N453" s="1" t="n"/>
      <c r="O453" s="1" t="n"/>
      <c r="P453" s="1" t="n"/>
      <c r="Q453" s="1" t="n"/>
      <c r="R453" s="1" t="n"/>
      <c r="S453" s="1" t="n"/>
      <c r="T453" s="1" t="n"/>
      <c r="U453" s="1" t="n"/>
      <c r="V453" s="1" t="n"/>
      <c r="W453" s="1" t="n"/>
      <c r="X453" s="1" t="n"/>
      <c r="Y453" s="1" t="n"/>
      <c r="Z453" s="1" t="n"/>
      <c r="AA453" s="1" t="n"/>
      <c r="AB453" s="1" t="n"/>
      <c r="AC453" s="1" t="n"/>
      <c r="AD453" s="1" t="n"/>
      <c r="AE453" s="1" t="n"/>
      <c r="AF453" s="1" t="n"/>
      <c r="AG453" s="1" t="n"/>
      <c r="AH453" s="1" t="n"/>
      <c r="AI453" s="1" t="n"/>
      <c r="AJ453" s="1" t="n"/>
    </row>
    <row r="454" ht="15" customHeight="1">
      <c r="A454" s="429" t="n"/>
      <c r="B454" s="429" t="n"/>
      <c r="C454" s="429" t="n"/>
      <c r="D454" s="429" t="n"/>
      <c r="E454" s="32" t="inlineStr">
        <is>
          <t>Ali Mohsen Al Qahtani</t>
        </is>
      </c>
      <c r="F454" s="19" t="inlineStr">
        <is>
          <t>Security Services</t>
        </is>
      </c>
      <c r="G454" s="425" t="n">
        <v>703762</v>
      </c>
      <c r="H454" s="425" t="n">
        <v>1135809059</v>
      </c>
      <c r="I454" s="425" t="inlineStr">
        <is>
          <t>Approved</t>
        </is>
      </c>
      <c r="J454" s="496" t="n">
        <v>45704</v>
      </c>
      <c r="K454" s="425" t="inlineStr">
        <is>
          <t>FMCO</t>
        </is>
      </c>
      <c r="L454" s="86" t="inlineStr">
        <is>
          <t>-</t>
        </is>
      </c>
      <c r="N454" s="1" t="n"/>
      <c r="O454" s="1" t="n"/>
      <c r="P454" s="1" t="n"/>
      <c r="Q454" s="1" t="n"/>
      <c r="R454" s="1" t="n"/>
      <c r="S454" s="1" t="n"/>
      <c r="T454" s="1" t="n"/>
      <c r="U454" s="1" t="n"/>
      <c r="V454" s="1" t="n"/>
      <c r="W454" s="1" t="n"/>
      <c r="X454" s="1" t="n"/>
      <c r="Y454" s="1" t="n"/>
      <c r="Z454" s="1" t="n"/>
      <c r="AA454" s="1" t="n"/>
      <c r="AB454" s="1" t="n"/>
      <c r="AC454" s="1" t="n"/>
      <c r="AD454" s="1" t="n"/>
      <c r="AE454" s="1" t="n"/>
      <c r="AF454" s="1" t="n"/>
      <c r="AG454" s="1" t="n"/>
      <c r="AH454" s="1" t="n"/>
      <c r="AI454" s="1" t="n"/>
      <c r="AJ454" s="1" t="n"/>
    </row>
    <row r="455" ht="15" customHeight="1">
      <c r="A455" s="429" t="n"/>
      <c r="B455" s="429" t="n"/>
      <c r="C455" s="429" t="n"/>
      <c r="D455" s="429" t="n"/>
      <c r="E455" s="32" t="inlineStr">
        <is>
          <t>Abdullah Ahmed Qaysi</t>
        </is>
      </c>
      <c r="F455" s="19" t="inlineStr">
        <is>
          <t>Security Services</t>
        </is>
      </c>
      <c r="G455" s="425" t="n">
        <v>704015</v>
      </c>
      <c r="H455" s="425" t="n">
        <v>1136433693</v>
      </c>
      <c r="I455" s="425" t="inlineStr">
        <is>
          <t>Approved</t>
        </is>
      </c>
      <c r="J455" s="496" t="n">
        <v>45904</v>
      </c>
      <c r="K455" s="425" t="inlineStr">
        <is>
          <t>FMCO</t>
        </is>
      </c>
      <c r="L455" s="86" t="inlineStr">
        <is>
          <t>-</t>
        </is>
      </c>
      <c r="N455" s="1" t="n"/>
      <c r="O455" s="1" t="n"/>
      <c r="P455" s="1" t="n"/>
      <c r="Q455" s="1" t="n"/>
      <c r="R455" s="1" t="n"/>
      <c r="S455" s="1" t="n"/>
      <c r="T455" s="1" t="n"/>
      <c r="U455" s="1" t="n"/>
      <c r="V455" s="1" t="n"/>
      <c r="W455" s="1" t="n"/>
      <c r="X455" s="1" t="n"/>
      <c r="Y455" s="1" t="n"/>
      <c r="Z455" s="1" t="n"/>
      <c r="AA455" s="1" t="n"/>
      <c r="AB455" s="1" t="n"/>
      <c r="AC455" s="1" t="n"/>
      <c r="AD455" s="1" t="n"/>
      <c r="AE455" s="1" t="n"/>
      <c r="AF455" s="1" t="n"/>
      <c r="AG455" s="1" t="n"/>
      <c r="AH455" s="1" t="n"/>
      <c r="AI455" s="1" t="n"/>
      <c r="AJ455" s="1" t="n"/>
    </row>
    <row r="456" ht="15" customHeight="1">
      <c r="A456" s="429" t="n"/>
      <c r="B456" s="429" t="n"/>
      <c r="C456" s="429" t="n"/>
      <c r="D456" s="429" t="n"/>
      <c r="E456" s="32" t="inlineStr">
        <is>
          <t>Osama Mohammed Gesi</t>
        </is>
      </c>
      <c r="F456" s="19" t="inlineStr">
        <is>
          <t>Security Services</t>
        </is>
      </c>
      <c r="G456" s="425" t="n">
        <v>704038</v>
      </c>
      <c r="H456" s="425" t="n">
        <v>1130820374</v>
      </c>
      <c r="I456" s="425" t="inlineStr">
        <is>
          <t>Approved</t>
        </is>
      </c>
      <c r="J456" s="496" t="n">
        <v>45949</v>
      </c>
      <c r="K456" s="425" t="inlineStr">
        <is>
          <t>FMCO</t>
        </is>
      </c>
      <c r="L456" s="86" t="inlineStr">
        <is>
          <t>-</t>
        </is>
      </c>
      <c r="N456" s="1" t="n"/>
      <c r="O456" s="1" t="n"/>
      <c r="P456" s="1" t="n"/>
      <c r="Q456" s="1" t="n"/>
      <c r="R456" s="1" t="n"/>
      <c r="S456" s="1" t="n"/>
      <c r="T456" s="1" t="n"/>
      <c r="U456" s="1" t="n"/>
      <c r="V456" s="1" t="n"/>
      <c r="W456" s="1" t="n"/>
      <c r="X456" s="1" t="n"/>
      <c r="Y456" s="1" t="n"/>
      <c r="Z456" s="1" t="n"/>
      <c r="AA456" s="1" t="n"/>
      <c r="AB456" s="1" t="n"/>
      <c r="AC456" s="1" t="n"/>
      <c r="AD456" s="1" t="n"/>
      <c r="AE456" s="1" t="n"/>
      <c r="AF456" s="1" t="n"/>
      <c r="AG456" s="1" t="n"/>
      <c r="AH456" s="1" t="n"/>
      <c r="AI456" s="1" t="n"/>
      <c r="AJ456" s="1" t="n"/>
    </row>
    <row r="457" ht="15" customHeight="1">
      <c r="A457" s="429" t="n"/>
      <c r="B457" s="429" t="n"/>
      <c r="C457" s="429" t="n"/>
      <c r="D457" s="429" t="n"/>
      <c r="E457" s="32" t="inlineStr">
        <is>
          <t>Waled Khalid Alawaji</t>
        </is>
      </c>
      <c r="F457" s="19" t="inlineStr">
        <is>
          <t>Security Services</t>
        </is>
      </c>
      <c r="G457" s="425" t="n">
        <v>704040</v>
      </c>
      <c r="H457" s="425" t="n">
        <v>1113088007</v>
      </c>
      <c r="I457" s="425" t="inlineStr">
        <is>
          <t>Approved</t>
        </is>
      </c>
      <c r="J457" s="496" t="n">
        <v>45952</v>
      </c>
      <c r="K457" s="425" t="inlineStr">
        <is>
          <t>FMCO</t>
        </is>
      </c>
      <c r="L457" s="86" t="inlineStr">
        <is>
          <t>-</t>
        </is>
      </c>
      <c r="N457" s="1" t="n"/>
      <c r="O457" s="1" t="n"/>
      <c r="P457" s="1" t="n"/>
      <c r="Q457" s="1" t="n"/>
      <c r="R457" s="1" t="n"/>
      <c r="S457" s="1" t="n"/>
      <c r="T457" s="1" t="n"/>
      <c r="U457" s="1" t="n"/>
      <c r="V457" s="1" t="n"/>
      <c r="W457" s="1" t="n"/>
      <c r="X457" s="1" t="n"/>
      <c r="Y457" s="1" t="n"/>
      <c r="Z457" s="1" t="n"/>
      <c r="AA457" s="1" t="n"/>
      <c r="AB457" s="1" t="n"/>
      <c r="AC457" s="1" t="n"/>
      <c r="AD457" s="1" t="n"/>
      <c r="AE457" s="1" t="n"/>
      <c r="AF457" s="1" t="n"/>
      <c r="AG457" s="1" t="n"/>
      <c r="AH457" s="1" t="n"/>
      <c r="AI457" s="1" t="n"/>
      <c r="AJ457" s="1" t="n"/>
    </row>
    <row r="458" ht="15" customHeight="1">
      <c r="A458" s="429" t="n"/>
      <c r="B458" s="429" t="n"/>
      <c r="C458" s="429" t="n"/>
      <c r="D458" s="429" t="n"/>
      <c r="E458" s="32" t="inlineStr">
        <is>
          <t>Mohammed Ali Albishi</t>
        </is>
      </c>
      <c r="F458" s="19" t="inlineStr">
        <is>
          <t>Security Services</t>
        </is>
      </c>
      <c r="G458" s="425" t="n">
        <v>704051</v>
      </c>
      <c r="H458" s="425" t="n">
        <v>1120126956</v>
      </c>
      <c r="I458" s="425" t="inlineStr">
        <is>
          <t>Approved</t>
        </is>
      </c>
      <c r="J458" s="496" t="n">
        <v>45972</v>
      </c>
      <c r="K458" s="425" t="inlineStr">
        <is>
          <t>FMCO</t>
        </is>
      </c>
      <c r="L458" s="86" t="inlineStr">
        <is>
          <t>-</t>
        </is>
      </c>
      <c r="N458" s="1" t="n"/>
      <c r="O458" s="1" t="n"/>
      <c r="P458" s="1" t="n"/>
      <c r="Q458" s="1" t="n"/>
      <c r="R458" s="1" t="n"/>
      <c r="S458" s="1" t="n"/>
      <c r="T458" s="1" t="n"/>
      <c r="U458" s="1" t="n"/>
      <c r="V458" s="1" t="n"/>
      <c r="W458" s="1" t="n"/>
      <c r="X458" s="1" t="n"/>
      <c r="Y458" s="1" t="n"/>
      <c r="Z458" s="1" t="n"/>
      <c r="AA458" s="1" t="n"/>
      <c r="AB458" s="1" t="n"/>
      <c r="AC458" s="1" t="n"/>
      <c r="AD458" s="1" t="n"/>
      <c r="AE458" s="1" t="n"/>
      <c r="AF458" s="1" t="n"/>
      <c r="AG458" s="1" t="n"/>
      <c r="AH458" s="1" t="n"/>
      <c r="AI458" s="1" t="n"/>
      <c r="AJ458" s="1" t="n"/>
    </row>
    <row r="459" ht="15" customHeight="1">
      <c r="A459" s="429" t="n"/>
      <c r="B459" s="429" t="n"/>
      <c r="C459" s="429" t="n"/>
      <c r="D459" s="429" t="n"/>
      <c r="E459" s="32" t="inlineStr">
        <is>
          <t>Fahad Salman Alqahtani</t>
        </is>
      </c>
      <c r="F459" s="19" t="inlineStr">
        <is>
          <t>Security Services</t>
        </is>
      </c>
      <c r="G459" s="425" t="n">
        <v>704053</v>
      </c>
      <c r="H459" s="425" t="n">
        <v>1114766270</v>
      </c>
      <c r="I459" s="425" t="inlineStr">
        <is>
          <t>Approved</t>
        </is>
      </c>
      <c r="J459" s="496" t="n">
        <v>45972</v>
      </c>
      <c r="K459" s="425" t="inlineStr">
        <is>
          <t>FMCO</t>
        </is>
      </c>
      <c r="L459" s="86" t="inlineStr">
        <is>
          <t>-</t>
        </is>
      </c>
      <c r="N459" s="1" t="n"/>
      <c r="O459" s="1" t="n"/>
      <c r="P459" s="1" t="n"/>
      <c r="Q459" s="1" t="n"/>
      <c r="R459" s="1" t="n"/>
      <c r="S459" s="1" t="n"/>
      <c r="T459" s="1" t="n"/>
      <c r="U459" s="1" t="n"/>
      <c r="V459" s="1" t="n"/>
      <c r="W459" s="1" t="n"/>
      <c r="X459" s="1" t="n"/>
      <c r="Y459" s="1" t="n"/>
      <c r="Z459" s="1" t="n"/>
      <c r="AA459" s="1" t="n"/>
      <c r="AB459" s="1" t="n"/>
      <c r="AC459" s="1" t="n"/>
      <c r="AD459" s="1" t="n"/>
      <c r="AE459" s="1" t="n"/>
      <c r="AF459" s="1" t="n"/>
      <c r="AG459" s="1" t="n"/>
      <c r="AH459" s="1" t="n"/>
      <c r="AI459" s="1" t="n"/>
      <c r="AJ459" s="1" t="n"/>
    </row>
    <row r="460" ht="15" customHeight="1">
      <c r="A460" s="429" t="n"/>
      <c r="B460" s="429" t="n"/>
      <c r="C460" s="429" t="n"/>
      <c r="D460" s="429" t="n"/>
      <c r="E460" s="32" t="inlineStr">
        <is>
          <t>Abdullah Turki Alhomidi</t>
        </is>
      </c>
      <c r="F460" s="19" t="inlineStr">
        <is>
          <t>Security Services</t>
        </is>
      </c>
      <c r="G460" s="425" t="n">
        <v>704129</v>
      </c>
      <c r="H460" s="425" t="n">
        <v>1151168398</v>
      </c>
      <c r="I460" s="425" t="inlineStr">
        <is>
          <t>Approved</t>
        </is>
      </c>
      <c r="J460" s="496" t="n">
        <v>46047</v>
      </c>
      <c r="K460" s="425" t="inlineStr">
        <is>
          <t>FMCO</t>
        </is>
      </c>
      <c r="L460" s="86" t="inlineStr">
        <is>
          <t>-</t>
        </is>
      </c>
      <c r="N460" s="1" t="n"/>
      <c r="O460" s="1" t="n"/>
      <c r="P460" s="1" t="n"/>
      <c r="Q460" s="1" t="n"/>
      <c r="R460" s="1" t="n"/>
      <c r="S460" s="1" t="n"/>
      <c r="T460" s="1" t="n"/>
      <c r="U460" s="1" t="n"/>
      <c r="V460" s="1" t="n"/>
      <c r="W460" s="1" t="n"/>
      <c r="X460" s="1" t="n"/>
      <c r="Y460" s="1" t="n"/>
      <c r="Z460" s="1" t="n"/>
      <c r="AA460" s="1" t="n"/>
      <c r="AB460" s="1" t="n"/>
      <c r="AC460" s="1" t="n"/>
      <c r="AD460" s="1" t="n"/>
      <c r="AE460" s="1" t="n"/>
      <c r="AF460" s="1" t="n"/>
      <c r="AG460" s="1" t="n"/>
      <c r="AH460" s="1" t="n"/>
      <c r="AI460" s="1" t="n"/>
      <c r="AJ460" s="1" t="n"/>
    </row>
    <row r="461" ht="15" customHeight="1">
      <c r="A461" s="429" t="n"/>
      <c r="B461" s="429" t="n"/>
      <c r="C461" s="429" t="n"/>
      <c r="D461" s="429" t="n"/>
      <c r="E461" s="32" t="inlineStr">
        <is>
          <t>Farraj Fahhad Aldawsari</t>
        </is>
      </c>
      <c r="F461" s="19" t="inlineStr">
        <is>
          <t>Security Services</t>
        </is>
      </c>
      <c r="G461" s="425" t="n">
        <v>704116</v>
      </c>
      <c r="H461" s="425" t="n">
        <v>1053845432</v>
      </c>
      <c r="I461" s="425" t="inlineStr">
        <is>
          <t>Approved</t>
        </is>
      </c>
      <c r="J461" s="496" t="n">
        <v>46044</v>
      </c>
      <c r="K461" s="425" t="inlineStr">
        <is>
          <t>FMCO</t>
        </is>
      </c>
      <c r="L461" s="86" t="inlineStr">
        <is>
          <t>-</t>
        </is>
      </c>
      <c r="N461" s="1" t="n"/>
      <c r="O461" s="1" t="n"/>
      <c r="P461" s="1" t="n"/>
      <c r="Q461" s="1" t="n"/>
      <c r="R461" s="1" t="n"/>
      <c r="S461" s="1" t="n"/>
      <c r="T461" s="1" t="n"/>
      <c r="U461" s="1" t="n"/>
      <c r="V461" s="1" t="n"/>
      <c r="W461" s="1" t="n"/>
      <c r="X461" s="1" t="n"/>
      <c r="Y461" s="1" t="n"/>
      <c r="Z461" s="1" t="n"/>
      <c r="AA461" s="1" t="n"/>
      <c r="AB461" s="1" t="n"/>
      <c r="AC461" s="1" t="n"/>
      <c r="AD461" s="1" t="n"/>
      <c r="AE461" s="1" t="n"/>
      <c r="AF461" s="1" t="n"/>
      <c r="AG461" s="1" t="n"/>
      <c r="AH461" s="1" t="n"/>
      <c r="AI461" s="1" t="n"/>
      <c r="AJ461" s="1" t="n"/>
    </row>
    <row r="462" ht="15" customHeight="1">
      <c r="A462" s="429" t="n"/>
      <c r="B462" s="429" t="n"/>
      <c r="C462" s="429" t="n"/>
      <c r="D462" s="429" t="n"/>
      <c r="E462" s="32" t="inlineStr">
        <is>
          <t>Khalaf Abdullah Alhababi</t>
        </is>
      </c>
      <c r="F462" s="19" t="inlineStr">
        <is>
          <t>Security Services</t>
        </is>
      </c>
      <c r="G462" s="425" t="n">
        <v>704118</v>
      </c>
      <c r="H462" s="425" t="n">
        <v>1090198001</v>
      </c>
      <c r="I462" s="425" t="inlineStr">
        <is>
          <t>Approved</t>
        </is>
      </c>
      <c r="J462" s="496" t="n">
        <v>46047</v>
      </c>
      <c r="K462" s="425" t="inlineStr">
        <is>
          <t>FMCO</t>
        </is>
      </c>
      <c r="L462" s="86" t="inlineStr">
        <is>
          <t>-</t>
        </is>
      </c>
      <c r="N462" s="1" t="n"/>
      <c r="O462" s="1" t="n"/>
      <c r="P462" s="1" t="n"/>
      <c r="Q462" s="1" t="n"/>
      <c r="R462" s="1" t="n"/>
      <c r="S462" s="1" t="n"/>
      <c r="T462" s="1" t="n"/>
      <c r="U462" s="1" t="n"/>
      <c r="V462" s="1" t="n"/>
      <c r="W462" s="1" t="n"/>
      <c r="X462" s="1" t="n"/>
      <c r="Y462" s="1" t="n"/>
      <c r="Z462" s="1" t="n"/>
      <c r="AA462" s="1" t="n"/>
      <c r="AB462" s="1" t="n"/>
      <c r="AC462" s="1" t="n"/>
      <c r="AD462" s="1" t="n"/>
      <c r="AE462" s="1" t="n"/>
      <c r="AF462" s="1" t="n"/>
      <c r="AG462" s="1" t="n"/>
      <c r="AH462" s="1" t="n"/>
      <c r="AI462" s="1" t="n"/>
      <c r="AJ462" s="1" t="n"/>
    </row>
    <row r="463" ht="15" customHeight="1">
      <c r="A463" s="429" t="n"/>
      <c r="B463" s="429" t="n"/>
      <c r="C463" s="429" t="n"/>
      <c r="D463" s="429" t="n"/>
      <c r="E463" s="32" t="inlineStr">
        <is>
          <t>Abdullah Salem Gharib Al-Qahtani</t>
        </is>
      </c>
      <c r="F463" s="19" t="inlineStr">
        <is>
          <t>Security Services</t>
        </is>
      </c>
      <c r="G463" s="425" t="n">
        <v>704228</v>
      </c>
      <c r="H463" s="425" t="n">
        <v>1124766575</v>
      </c>
      <c r="I463" s="425" t="inlineStr">
        <is>
          <t>Approved</t>
        </is>
      </c>
      <c r="J463" s="496" t="n">
        <v>46131</v>
      </c>
      <c r="K463" s="425" t="inlineStr">
        <is>
          <t>FMCO</t>
        </is>
      </c>
      <c r="L463" s="86" t="inlineStr">
        <is>
          <t>-</t>
        </is>
      </c>
      <c r="N463" s="1" t="n"/>
      <c r="O463" s="1" t="n"/>
      <c r="P463" s="1" t="n"/>
      <c r="Q463" s="1" t="n"/>
      <c r="R463" s="1" t="n"/>
      <c r="S463" s="1" t="n"/>
      <c r="T463" s="1" t="n"/>
      <c r="U463" s="1" t="n"/>
      <c r="V463" s="1" t="n"/>
      <c r="W463" s="1" t="n"/>
      <c r="X463" s="1" t="n"/>
      <c r="Y463" s="1" t="n"/>
      <c r="Z463" s="1" t="n"/>
      <c r="AA463" s="1" t="n"/>
      <c r="AB463" s="1" t="n"/>
      <c r="AC463" s="1" t="n"/>
      <c r="AD463" s="1" t="n"/>
      <c r="AE463" s="1" t="n"/>
      <c r="AF463" s="1" t="n"/>
      <c r="AG463" s="1" t="n"/>
      <c r="AH463" s="1" t="n"/>
      <c r="AI463" s="1" t="n"/>
      <c r="AJ463" s="1" t="n"/>
    </row>
    <row r="464" ht="15" customHeight="1">
      <c r="A464" s="429" t="n"/>
      <c r="B464" s="429" t="n"/>
      <c r="C464" s="429" t="n"/>
      <c r="D464" s="429" t="n"/>
      <c r="E464" s="32" t="inlineStr">
        <is>
          <t>Sultan Thaar Alqahtani</t>
        </is>
      </c>
      <c r="F464" s="19" t="inlineStr">
        <is>
          <t>Security Services</t>
        </is>
      </c>
      <c r="G464" s="425" t="n">
        <v>704220</v>
      </c>
      <c r="H464" s="425" t="n">
        <v>1134981719</v>
      </c>
      <c r="I464" s="425" t="inlineStr">
        <is>
          <t>Approved</t>
        </is>
      </c>
      <c r="J464" s="496" t="n">
        <v>46131</v>
      </c>
      <c r="K464" s="425" t="inlineStr">
        <is>
          <t>FMCO</t>
        </is>
      </c>
      <c r="L464" s="86" t="inlineStr">
        <is>
          <t>-</t>
        </is>
      </c>
      <c r="N464" s="1" t="n"/>
      <c r="O464" s="1" t="n"/>
      <c r="P464" s="1" t="n"/>
      <c r="Q464" s="1" t="n"/>
      <c r="R464" s="1" t="n"/>
      <c r="S464" s="1" t="n"/>
      <c r="T464" s="1" t="n"/>
      <c r="U464" s="1" t="n"/>
      <c r="V464" s="1" t="n"/>
      <c r="W464" s="1" t="n"/>
      <c r="X464" s="1" t="n"/>
      <c r="Y464" s="1" t="n"/>
      <c r="Z464" s="1" t="n"/>
      <c r="AA464" s="1" t="n"/>
      <c r="AB464" s="1" t="n"/>
      <c r="AC464" s="1" t="n"/>
      <c r="AD464" s="1" t="n"/>
      <c r="AE464" s="1" t="n"/>
      <c r="AF464" s="1" t="n"/>
      <c r="AG464" s="1" t="n"/>
      <c r="AH464" s="1" t="n"/>
      <c r="AI464" s="1" t="n"/>
      <c r="AJ464" s="1" t="n"/>
    </row>
    <row r="465" ht="15" customHeight="1">
      <c r="A465" s="429" t="n"/>
      <c r="B465" s="429" t="n"/>
      <c r="C465" s="429" t="n"/>
      <c r="D465" s="429" t="n"/>
      <c r="E465" s="32" t="inlineStr">
        <is>
          <t>Saeed Rashed Alqahtani</t>
        </is>
      </c>
      <c r="F465" s="19" t="inlineStr">
        <is>
          <t>Security Services</t>
        </is>
      </c>
      <c r="G465" s="425" t="n">
        <v>704218</v>
      </c>
      <c r="H465" s="425" t="n">
        <v>1137221816</v>
      </c>
      <c r="I465" s="425" t="inlineStr">
        <is>
          <t>Approved</t>
        </is>
      </c>
      <c r="J465" s="496" t="n">
        <v>46131</v>
      </c>
      <c r="K465" s="425" t="inlineStr">
        <is>
          <t>FMCO</t>
        </is>
      </c>
      <c r="L465" s="86" t="inlineStr">
        <is>
          <t>-</t>
        </is>
      </c>
      <c r="N465" s="1" t="n"/>
      <c r="O465" s="1" t="n"/>
      <c r="P465" s="1" t="n"/>
      <c r="Q465" s="1" t="n"/>
      <c r="R465" s="1" t="n"/>
      <c r="S465" s="1" t="n"/>
      <c r="T465" s="1" t="n"/>
      <c r="U465" s="1" t="n"/>
      <c r="V465" s="1" t="n"/>
      <c r="W465" s="1" t="n"/>
      <c r="X465" s="1" t="n"/>
      <c r="Y465" s="1" t="n"/>
      <c r="Z465" s="1" t="n"/>
      <c r="AA465" s="1" t="n"/>
      <c r="AB465" s="1" t="n"/>
      <c r="AC465" s="1" t="n"/>
      <c r="AD465" s="1" t="n"/>
      <c r="AE465" s="1" t="n"/>
      <c r="AF465" s="1" t="n"/>
      <c r="AG465" s="1" t="n"/>
      <c r="AH465" s="1" t="n"/>
      <c r="AI465" s="1" t="n"/>
      <c r="AJ465" s="1" t="n"/>
    </row>
    <row r="466" ht="15" customHeight="1">
      <c r="A466" s="429" t="n"/>
      <c r="B466" s="429" t="n"/>
      <c r="C466" s="429" t="n"/>
      <c r="D466" s="429" t="n"/>
      <c r="E466" s="32" t="inlineStr">
        <is>
          <t>Saad Mohammed Alqahtani</t>
        </is>
      </c>
      <c r="F466" s="19" t="inlineStr">
        <is>
          <t>Security Services</t>
        </is>
      </c>
      <c r="G466" s="425" t="n">
        <v>704221</v>
      </c>
      <c r="H466" s="425" t="n">
        <v>1148193673</v>
      </c>
      <c r="I466" s="425" t="inlineStr">
        <is>
          <t>Approved</t>
        </is>
      </c>
      <c r="J466" s="496" t="n">
        <v>46131</v>
      </c>
      <c r="K466" s="425" t="inlineStr">
        <is>
          <t>FMCO</t>
        </is>
      </c>
      <c r="L466" s="86" t="inlineStr">
        <is>
          <t>-</t>
        </is>
      </c>
      <c r="N466" s="1" t="n"/>
      <c r="O466" s="1" t="n"/>
      <c r="P466" s="1" t="n"/>
      <c r="Q466" s="1" t="n"/>
      <c r="R466" s="1" t="n"/>
      <c r="S466" s="1" t="n"/>
      <c r="T466" s="1" t="n"/>
      <c r="U466" s="1" t="n"/>
      <c r="V466" s="1" t="n"/>
      <c r="W466" s="1" t="n"/>
      <c r="X466" s="1" t="n"/>
      <c r="Y466" s="1" t="n"/>
      <c r="Z466" s="1" t="n"/>
      <c r="AA466" s="1" t="n"/>
      <c r="AB466" s="1" t="n"/>
      <c r="AC466" s="1" t="n"/>
      <c r="AD466" s="1" t="n"/>
      <c r="AE466" s="1" t="n"/>
      <c r="AF466" s="1" t="n"/>
      <c r="AG466" s="1" t="n"/>
      <c r="AH466" s="1" t="n"/>
      <c r="AI466" s="1" t="n"/>
      <c r="AJ466" s="1" t="n"/>
    </row>
    <row r="467" ht="15" customHeight="1">
      <c r="A467" s="429" t="n"/>
      <c r="B467" s="429" t="n"/>
      <c r="C467" s="429" t="n"/>
      <c r="D467" s="429" t="n"/>
      <c r="E467" s="32" t="inlineStr">
        <is>
          <t>Mushabbab Theed Alqahtani</t>
        </is>
      </c>
      <c r="F467" s="19" t="inlineStr">
        <is>
          <t>Security Services</t>
        </is>
      </c>
      <c r="G467" s="425" t="n">
        <v>704288</v>
      </c>
      <c r="H467" s="425" t="n">
        <v>1109520047</v>
      </c>
      <c r="I467" s="425" t="inlineStr">
        <is>
          <t>Approved</t>
        </is>
      </c>
      <c r="J467" s="496" t="n">
        <v>46131</v>
      </c>
      <c r="K467" s="425" t="inlineStr">
        <is>
          <t>FMCO</t>
        </is>
      </c>
      <c r="L467" s="86" t="inlineStr">
        <is>
          <t>-</t>
        </is>
      </c>
      <c r="N467" s="1" t="n"/>
      <c r="O467" s="1" t="n"/>
      <c r="P467" s="1" t="n"/>
      <c r="Q467" s="1" t="n"/>
      <c r="R467" s="1" t="n"/>
      <c r="S467" s="1" t="n"/>
      <c r="T467" s="1" t="n"/>
      <c r="U467" s="1" t="n"/>
      <c r="V467" s="1" t="n"/>
      <c r="W467" s="1" t="n"/>
      <c r="X467" s="1" t="n"/>
      <c r="Y467" s="1" t="n"/>
      <c r="Z467" s="1" t="n"/>
      <c r="AA467" s="1" t="n"/>
      <c r="AB467" s="1" t="n"/>
      <c r="AC467" s="1" t="n"/>
      <c r="AD467" s="1" t="n"/>
      <c r="AE467" s="1" t="n"/>
      <c r="AF467" s="1" t="n"/>
      <c r="AG467" s="1" t="n"/>
      <c r="AH467" s="1" t="n"/>
      <c r="AI467" s="1" t="n"/>
      <c r="AJ467" s="1" t="n"/>
    </row>
    <row r="468" ht="15" customHeight="1">
      <c r="A468" s="429" t="n"/>
      <c r="B468" s="429" t="n"/>
      <c r="C468" s="429" t="n"/>
      <c r="D468" s="429" t="n"/>
      <c r="E468" s="32" t="inlineStr">
        <is>
          <t>Mubarak Saad Alqahtani</t>
        </is>
      </c>
      <c r="F468" s="19" t="inlineStr">
        <is>
          <t>Security Services</t>
        </is>
      </c>
      <c r="G468" s="425" t="n">
        <v>704223</v>
      </c>
      <c r="H468" s="425" t="n">
        <v>1126215910</v>
      </c>
      <c r="I468" s="425" t="inlineStr">
        <is>
          <t>Approved</t>
        </is>
      </c>
      <c r="J468" s="496" t="n">
        <v>46131</v>
      </c>
      <c r="K468" s="425" t="inlineStr">
        <is>
          <t>FMCO</t>
        </is>
      </c>
      <c r="L468" s="86" t="inlineStr">
        <is>
          <t>-</t>
        </is>
      </c>
      <c r="N468" s="1" t="n"/>
      <c r="O468" s="1" t="n"/>
      <c r="P468" s="1" t="n"/>
      <c r="Q468" s="1" t="n"/>
      <c r="R468" s="1" t="n"/>
      <c r="S468" s="1" t="n"/>
      <c r="T468" s="1" t="n"/>
      <c r="U468" s="1" t="n"/>
      <c r="V468" s="1" t="n"/>
      <c r="W468" s="1" t="n"/>
      <c r="X468" s="1" t="n"/>
      <c r="Y468" s="1" t="n"/>
      <c r="Z468" s="1" t="n"/>
      <c r="AA468" s="1" t="n"/>
      <c r="AB468" s="1" t="n"/>
      <c r="AC468" s="1" t="n"/>
      <c r="AD468" s="1" t="n"/>
      <c r="AE468" s="1" t="n"/>
      <c r="AF468" s="1" t="n"/>
      <c r="AG468" s="1" t="n"/>
      <c r="AH468" s="1" t="n"/>
      <c r="AI468" s="1" t="n"/>
      <c r="AJ468" s="1" t="n"/>
    </row>
    <row r="469" ht="15" customHeight="1">
      <c r="A469" s="429" t="n"/>
      <c r="B469" s="429" t="n"/>
      <c r="C469" s="429" t="n"/>
      <c r="D469" s="429" t="n"/>
      <c r="E469" s="32" t="inlineStr">
        <is>
          <t>Mohammed Zaben Alotaibi</t>
        </is>
      </c>
      <c r="F469" s="19" t="inlineStr">
        <is>
          <t>Security Services</t>
        </is>
      </c>
      <c r="G469" s="425" t="n">
        <v>704224</v>
      </c>
      <c r="H469" s="425" t="n">
        <v>1134869005</v>
      </c>
      <c r="I469" s="425" t="inlineStr">
        <is>
          <t>Approved</t>
        </is>
      </c>
      <c r="J469" s="496" t="n">
        <v>46131</v>
      </c>
      <c r="K469" s="425" t="inlineStr">
        <is>
          <t>FMCO</t>
        </is>
      </c>
      <c r="L469" s="86" t="inlineStr">
        <is>
          <t>-</t>
        </is>
      </c>
      <c r="N469" s="1" t="n"/>
      <c r="O469" s="1" t="n"/>
      <c r="P469" s="1" t="n"/>
      <c r="Q469" s="1" t="n"/>
      <c r="R469" s="1" t="n"/>
      <c r="S469" s="1" t="n"/>
      <c r="T469" s="1" t="n"/>
      <c r="U469" s="1" t="n"/>
      <c r="V469" s="1" t="n"/>
      <c r="W469" s="1" t="n"/>
      <c r="X469" s="1" t="n"/>
      <c r="Y469" s="1" t="n"/>
      <c r="Z469" s="1" t="n"/>
      <c r="AA469" s="1" t="n"/>
      <c r="AB469" s="1" t="n"/>
      <c r="AC469" s="1" t="n"/>
      <c r="AD469" s="1" t="n"/>
      <c r="AE469" s="1" t="n"/>
      <c r="AF469" s="1" t="n"/>
      <c r="AG469" s="1" t="n"/>
      <c r="AH469" s="1" t="n"/>
      <c r="AI469" s="1" t="n"/>
      <c r="AJ469" s="1" t="n"/>
    </row>
    <row r="470" ht="15" customHeight="1">
      <c r="A470" s="429" t="n"/>
      <c r="B470" s="429" t="n"/>
      <c r="C470" s="429" t="n"/>
      <c r="D470" s="429" t="n"/>
      <c r="E470" s="32" t="inlineStr">
        <is>
          <t>Abdullah Saad Almutairi</t>
        </is>
      </c>
      <c r="F470" s="19" t="inlineStr">
        <is>
          <t>Security Services</t>
        </is>
      </c>
      <c r="G470" s="425" t="n">
        <v>704227</v>
      </c>
      <c r="H470" s="425" t="n">
        <v>1130326497</v>
      </c>
      <c r="I470" s="425" t="inlineStr">
        <is>
          <t>Approved</t>
        </is>
      </c>
      <c r="J470" s="496" t="n">
        <v>46131</v>
      </c>
      <c r="K470" s="425" t="inlineStr">
        <is>
          <t>FMCO</t>
        </is>
      </c>
      <c r="L470" s="86" t="inlineStr">
        <is>
          <t>-</t>
        </is>
      </c>
      <c r="N470" s="1" t="n"/>
      <c r="O470" s="1" t="n"/>
      <c r="P470" s="1" t="n"/>
      <c r="Q470" s="1" t="n"/>
      <c r="R470" s="1" t="n"/>
      <c r="S470" s="1" t="n"/>
      <c r="T470" s="1" t="n"/>
      <c r="U470" s="1" t="n"/>
      <c r="V470" s="1" t="n"/>
      <c r="W470" s="1" t="n"/>
      <c r="X470" s="1" t="n"/>
      <c r="Y470" s="1" t="n"/>
      <c r="Z470" s="1" t="n"/>
      <c r="AA470" s="1" t="n"/>
      <c r="AB470" s="1" t="n"/>
      <c r="AC470" s="1" t="n"/>
      <c r="AD470" s="1" t="n"/>
      <c r="AE470" s="1" t="n"/>
      <c r="AF470" s="1" t="n"/>
      <c r="AG470" s="1" t="n"/>
      <c r="AH470" s="1" t="n"/>
      <c r="AI470" s="1" t="n"/>
      <c r="AJ470" s="1" t="n"/>
    </row>
    <row r="471" ht="15" customHeight="1">
      <c r="A471" s="429" t="n"/>
      <c r="B471" s="429" t="n"/>
      <c r="C471" s="429" t="n"/>
      <c r="D471" s="429" t="n"/>
      <c r="E471" s="32" t="inlineStr">
        <is>
          <t>Sultan Thaar Alqahtani</t>
        </is>
      </c>
      <c r="F471" s="19" t="inlineStr">
        <is>
          <t>Security Services</t>
        </is>
      </c>
      <c r="G471" s="425" t="n">
        <v>704220</v>
      </c>
      <c r="H471" s="425" t="n">
        <v>1134981718</v>
      </c>
      <c r="I471" s="425" t="inlineStr">
        <is>
          <t>Approved</t>
        </is>
      </c>
      <c r="J471" s="496" t="n">
        <v>46131</v>
      </c>
      <c r="K471" s="425" t="inlineStr">
        <is>
          <t>FMCO</t>
        </is>
      </c>
      <c r="L471" s="86" t="inlineStr">
        <is>
          <t>-</t>
        </is>
      </c>
      <c r="N471" s="1" t="n"/>
      <c r="O471" s="1" t="n"/>
      <c r="P471" s="1" t="n"/>
      <c r="Q471" s="1" t="n"/>
      <c r="R471" s="1" t="n"/>
      <c r="S471" s="1" t="n"/>
      <c r="T471" s="1" t="n"/>
      <c r="U471" s="1" t="n"/>
      <c r="V471" s="1" t="n"/>
      <c r="W471" s="1" t="n"/>
      <c r="X471" s="1" t="n"/>
      <c r="Y471" s="1" t="n"/>
      <c r="Z471" s="1" t="n"/>
      <c r="AA471" s="1" t="n"/>
      <c r="AB471" s="1" t="n"/>
      <c r="AC471" s="1" t="n"/>
      <c r="AD471" s="1" t="n"/>
      <c r="AE471" s="1" t="n"/>
      <c r="AF471" s="1" t="n"/>
      <c r="AG471" s="1" t="n"/>
      <c r="AH471" s="1" t="n"/>
      <c r="AI471" s="1" t="n"/>
      <c r="AJ471" s="1" t="n"/>
    </row>
    <row r="472" ht="15" customHeight="1">
      <c r="A472" s="429" t="n"/>
      <c r="B472" s="429" t="n"/>
      <c r="C472" s="429" t="n"/>
      <c r="D472" s="429" t="n"/>
      <c r="E472" s="32" t="inlineStr">
        <is>
          <t>Khalid Fayih Al Otaibi</t>
        </is>
      </c>
      <c r="F472" s="19" t="inlineStr">
        <is>
          <t>Security Services</t>
        </is>
      </c>
      <c r="G472" s="425" t="n">
        <v>704308</v>
      </c>
      <c r="H472" s="425" t="n">
        <v>1109213700</v>
      </c>
      <c r="I472" s="425" t="inlineStr">
        <is>
          <t>Approved</t>
        </is>
      </c>
      <c r="J472" s="496" t="n">
        <v>46182</v>
      </c>
      <c r="K472" s="425" t="inlineStr">
        <is>
          <t>FMCO</t>
        </is>
      </c>
      <c r="L472" s="86" t="inlineStr">
        <is>
          <t>-</t>
        </is>
      </c>
      <c r="N472" s="1" t="n"/>
      <c r="O472" s="1" t="n"/>
      <c r="P472" s="1" t="n"/>
      <c r="Q472" s="1" t="n"/>
      <c r="R472" s="1" t="n"/>
      <c r="S472" s="1" t="n"/>
      <c r="T472" s="1" t="n"/>
      <c r="U472" s="1" t="n"/>
      <c r="V472" s="1" t="n"/>
      <c r="W472" s="1" t="n"/>
      <c r="X472" s="1" t="n"/>
      <c r="Y472" s="1" t="n"/>
      <c r="Z472" s="1" t="n"/>
      <c r="AA472" s="1" t="n"/>
      <c r="AB472" s="1" t="n"/>
      <c r="AC472" s="1" t="n"/>
      <c r="AD472" s="1" t="n"/>
      <c r="AE472" s="1" t="n"/>
      <c r="AF472" s="1" t="n"/>
      <c r="AG472" s="1" t="n"/>
      <c r="AH472" s="1" t="n"/>
      <c r="AI472" s="1" t="n"/>
      <c r="AJ472" s="1" t="n"/>
    </row>
    <row r="473" ht="15" customHeight="1">
      <c r="A473" s="429" t="n"/>
      <c r="B473" s="429" t="n"/>
      <c r="C473" s="429" t="n"/>
      <c r="D473" s="429" t="n"/>
      <c r="E473" s="32" t="inlineStr">
        <is>
          <t>Munahi Ayidh Al Qahtani</t>
        </is>
      </c>
      <c r="F473" s="19" t="inlineStr">
        <is>
          <t>Security Services</t>
        </is>
      </c>
      <c r="G473" s="425" t="n">
        <v>704309</v>
      </c>
      <c r="H473" s="425" t="n">
        <v>1139065393</v>
      </c>
      <c r="I473" s="425" t="inlineStr">
        <is>
          <t>Approved</t>
        </is>
      </c>
      <c r="J473" s="496" t="n">
        <v>46182</v>
      </c>
      <c r="K473" s="425" t="inlineStr">
        <is>
          <t>FMCO</t>
        </is>
      </c>
      <c r="L473" s="86" t="inlineStr">
        <is>
          <t>-</t>
        </is>
      </c>
      <c r="N473" s="1" t="n"/>
      <c r="O473" s="1" t="n"/>
      <c r="P473" s="1" t="n"/>
      <c r="Q473" s="1" t="n"/>
      <c r="R473" s="1" t="n"/>
      <c r="S473" s="1" t="n"/>
      <c r="T473" s="1" t="n"/>
      <c r="U473" s="1" t="n"/>
      <c r="V473" s="1" t="n"/>
      <c r="W473" s="1" t="n"/>
      <c r="X473" s="1" t="n"/>
      <c r="Y473" s="1" t="n"/>
      <c r="Z473" s="1" t="n"/>
      <c r="AA473" s="1" t="n"/>
      <c r="AB473" s="1" t="n"/>
      <c r="AC473" s="1" t="n"/>
      <c r="AD473" s="1" t="n"/>
      <c r="AE473" s="1" t="n"/>
      <c r="AF473" s="1" t="n"/>
      <c r="AG473" s="1" t="n"/>
      <c r="AH473" s="1" t="n"/>
      <c r="AI473" s="1" t="n"/>
      <c r="AJ473" s="1" t="n"/>
    </row>
    <row r="474" ht="15" customHeight="1">
      <c r="A474" s="429" t="n"/>
      <c r="B474" s="429" t="n"/>
      <c r="C474" s="429" t="n"/>
      <c r="D474" s="429" t="n"/>
      <c r="E474" s="32" t="inlineStr">
        <is>
          <t>Fahad Moghib Al Otaibi</t>
        </is>
      </c>
      <c r="F474" s="19" t="inlineStr">
        <is>
          <t>Security Services</t>
        </is>
      </c>
      <c r="G474" s="425" t="n">
        <v>704310</v>
      </c>
      <c r="H474" s="425" t="n">
        <v>1123085076</v>
      </c>
      <c r="I474" s="425" t="inlineStr">
        <is>
          <t>Approved</t>
        </is>
      </c>
      <c r="J474" s="496" t="n">
        <v>46182</v>
      </c>
      <c r="K474" s="425" t="inlineStr">
        <is>
          <t>FMCO</t>
        </is>
      </c>
      <c r="L474" s="86" t="inlineStr">
        <is>
          <t>-</t>
        </is>
      </c>
      <c r="N474" s="1" t="n"/>
      <c r="O474" s="1" t="n"/>
      <c r="P474" s="1" t="n"/>
      <c r="Q474" s="1" t="n"/>
      <c r="R474" s="1" t="n"/>
      <c r="S474" s="1" t="n"/>
      <c r="T474" s="1" t="n"/>
      <c r="U474" s="1" t="n"/>
      <c r="V474" s="1" t="n"/>
      <c r="W474" s="1" t="n"/>
      <c r="X474" s="1" t="n"/>
      <c r="Y474" s="1" t="n"/>
      <c r="Z474" s="1" t="n"/>
      <c r="AA474" s="1" t="n"/>
      <c r="AB474" s="1" t="n"/>
      <c r="AC474" s="1" t="n"/>
      <c r="AD474" s="1" t="n"/>
      <c r="AE474" s="1" t="n"/>
      <c r="AF474" s="1" t="n"/>
      <c r="AG474" s="1" t="n"/>
      <c r="AH474" s="1" t="n"/>
      <c r="AI474" s="1" t="n"/>
      <c r="AJ474" s="1" t="n"/>
    </row>
    <row r="475" ht="15" customHeight="1">
      <c r="A475" s="429" t="n"/>
      <c r="B475" s="429" t="n"/>
      <c r="C475" s="429" t="n"/>
      <c r="D475" s="429" t="n"/>
      <c r="E475" s="32" t="inlineStr">
        <is>
          <t>Meshal Mohammed Al Dajani</t>
        </is>
      </c>
      <c r="F475" s="19" t="inlineStr">
        <is>
          <t>Security Services</t>
        </is>
      </c>
      <c r="G475" s="425" t="n">
        <v>704313</v>
      </c>
      <c r="H475" s="425" t="n">
        <v>1122811019</v>
      </c>
      <c r="I475" s="425" t="inlineStr">
        <is>
          <t>Approved</t>
        </is>
      </c>
      <c r="J475" s="496" t="n">
        <v>46182</v>
      </c>
      <c r="K475" s="425" t="inlineStr">
        <is>
          <t>FMCO</t>
        </is>
      </c>
      <c r="L475" s="86" t="inlineStr">
        <is>
          <t>-</t>
        </is>
      </c>
      <c r="N475" s="1" t="n"/>
      <c r="O475" s="1" t="n"/>
      <c r="P475" s="1" t="n"/>
      <c r="Q475" s="1" t="n"/>
      <c r="R475" s="1" t="n"/>
      <c r="S475" s="1" t="n"/>
      <c r="T475" s="1" t="n"/>
      <c r="U475" s="1" t="n"/>
      <c r="V475" s="1" t="n"/>
      <c r="W475" s="1" t="n"/>
      <c r="X475" s="1" t="n"/>
      <c r="Y475" s="1" t="n"/>
      <c r="Z475" s="1" t="n"/>
      <c r="AA475" s="1" t="n"/>
      <c r="AB475" s="1" t="n"/>
      <c r="AC475" s="1" t="n"/>
      <c r="AD475" s="1" t="n"/>
      <c r="AE475" s="1" t="n"/>
      <c r="AF475" s="1" t="n"/>
      <c r="AG475" s="1" t="n"/>
      <c r="AH475" s="1" t="n"/>
      <c r="AI475" s="1" t="n"/>
      <c r="AJ475" s="1" t="n"/>
    </row>
    <row r="476" ht="15" customHeight="1">
      <c r="A476" s="429" t="n"/>
      <c r="B476" s="429" t="n"/>
      <c r="C476" s="429" t="n"/>
      <c r="D476" s="429" t="n"/>
      <c r="E476" s="32" t="inlineStr">
        <is>
          <t>Ibrahim Fahad Al Haydhal</t>
        </is>
      </c>
      <c r="F476" s="19" t="inlineStr">
        <is>
          <t>Security Services</t>
        </is>
      </c>
      <c r="G476" s="425" t="n">
        <v>704314</v>
      </c>
      <c r="H476" s="425" t="n">
        <v>1077847042</v>
      </c>
      <c r="I476" s="425" t="inlineStr">
        <is>
          <t>Approved</t>
        </is>
      </c>
      <c r="J476" s="496" t="n">
        <v>46182</v>
      </c>
      <c r="K476" s="425" t="inlineStr">
        <is>
          <t>FMCO</t>
        </is>
      </c>
      <c r="L476" s="86" t="inlineStr">
        <is>
          <t>-</t>
        </is>
      </c>
      <c r="N476" s="1" t="n"/>
      <c r="O476" s="1" t="n"/>
      <c r="P476" s="1" t="n"/>
      <c r="Q476" s="1" t="n"/>
      <c r="R476" s="1" t="n"/>
      <c r="S476" s="1" t="n"/>
      <c r="T476" s="1" t="n"/>
      <c r="U476" s="1" t="n"/>
      <c r="V476" s="1" t="n"/>
      <c r="W476" s="1" t="n"/>
      <c r="X476" s="1" t="n"/>
      <c r="Y476" s="1" t="n"/>
      <c r="Z476" s="1" t="n"/>
      <c r="AA476" s="1" t="n"/>
      <c r="AB476" s="1" t="n"/>
      <c r="AC476" s="1" t="n"/>
      <c r="AD476" s="1" t="n"/>
      <c r="AE476" s="1" t="n"/>
      <c r="AF476" s="1" t="n"/>
      <c r="AG476" s="1" t="n"/>
      <c r="AH476" s="1" t="n"/>
      <c r="AI476" s="1" t="n"/>
      <c r="AJ476" s="1" t="n"/>
    </row>
    <row r="477" ht="15" customHeight="1">
      <c r="A477" s="429" t="n"/>
      <c r="B477" s="429" t="n"/>
      <c r="C477" s="429" t="n"/>
      <c r="D477" s="429" t="n"/>
      <c r="E477" s="32" t="inlineStr">
        <is>
          <t>Salman Faez Al Otaibi</t>
        </is>
      </c>
      <c r="F477" s="19" t="inlineStr">
        <is>
          <t>Security Services</t>
        </is>
      </c>
      <c r="G477" s="425" t="n">
        <v>704315</v>
      </c>
      <c r="H477" s="425" t="n">
        <v>1195428014</v>
      </c>
      <c r="I477" s="425" t="inlineStr">
        <is>
          <t>Approved</t>
        </is>
      </c>
      <c r="J477" s="496" t="n">
        <v>46182</v>
      </c>
      <c r="K477" s="425" t="inlineStr">
        <is>
          <t>FMCO</t>
        </is>
      </c>
      <c r="L477" s="86" t="inlineStr">
        <is>
          <t>-</t>
        </is>
      </c>
      <c r="N477" s="1" t="n"/>
      <c r="O477" s="1" t="n"/>
      <c r="P477" s="1" t="n"/>
      <c r="Q477" s="1" t="n"/>
      <c r="R477" s="1" t="n"/>
      <c r="S477" s="1" t="n"/>
      <c r="T477" s="1" t="n"/>
      <c r="U477" s="1" t="n"/>
      <c r="V477" s="1" t="n"/>
      <c r="W477" s="1" t="n"/>
      <c r="X477" s="1" t="n"/>
      <c r="Y477" s="1" t="n"/>
      <c r="Z477" s="1" t="n"/>
      <c r="AA477" s="1" t="n"/>
      <c r="AB477" s="1" t="n"/>
      <c r="AC477" s="1" t="n"/>
      <c r="AD477" s="1" t="n"/>
      <c r="AE477" s="1" t="n"/>
      <c r="AF477" s="1" t="n"/>
      <c r="AG477" s="1" t="n"/>
      <c r="AH477" s="1" t="n"/>
      <c r="AI477" s="1" t="n"/>
      <c r="AJ477" s="1" t="n"/>
    </row>
    <row r="478" ht="15" customHeight="1">
      <c r="A478" s="429" t="n"/>
      <c r="B478" s="429" t="n"/>
      <c r="C478" s="429" t="n"/>
      <c r="D478" s="429" t="n"/>
      <c r="E478" s="32" t="inlineStr">
        <is>
          <t>Abdulaziz Mohammed Al Otaibi</t>
        </is>
      </c>
      <c r="F478" s="19" t="inlineStr">
        <is>
          <t>Security Services</t>
        </is>
      </c>
      <c r="G478" s="425" t="n">
        <v>704316</v>
      </c>
      <c r="H478" s="425" t="n">
        <v>1140669597</v>
      </c>
      <c r="I478" s="425" t="inlineStr">
        <is>
          <t>Approved</t>
        </is>
      </c>
      <c r="J478" s="496" t="n">
        <v>46182</v>
      </c>
      <c r="K478" s="425" t="inlineStr">
        <is>
          <t>FMCO</t>
        </is>
      </c>
      <c r="L478" s="86" t="inlineStr">
        <is>
          <t>-</t>
        </is>
      </c>
      <c r="N478" s="1" t="n"/>
      <c r="O478" s="1" t="n"/>
      <c r="P478" s="1" t="n"/>
      <c r="Q478" s="1" t="n"/>
      <c r="R478" s="1" t="n"/>
      <c r="S478" s="1" t="n"/>
      <c r="T478" s="1" t="n"/>
      <c r="U478" s="1" t="n"/>
      <c r="V478" s="1" t="n"/>
      <c r="W478" s="1" t="n"/>
      <c r="X478" s="1" t="n"/>
      <c r="Y478" s="1" t="n"/>
      <c r="Z478" s="1" t="n"/>
      <c r="AA478" s="1" t="n"/>
      <c r="AB478" s="1" t="n"/>
      <c r="AC478" s="1" t="n"/>
      <c r="AD478" s="1" t="n"/>
      <c r="AE478" s="1" t="n"/>
      <c r="AF478" s="1" t="n"/>
      <c r="AG478" s="1" t="n"/>
      <c r="AH478" s="1" t="n"/>
      <c r="AI478" s="1" t="n"/>
      <c r="AJ478" s="1" t="n"/>
    </row>
    <row r="479" ht="15" customHeight="1">
      <c r="A479" s="429" t="n"/>
      <c r="B479" s="429" t="n"/>
      <c r="C479" s="429" t="n"/>
      <c r="D479" s="429" t="n"/>
      <c r="E479" s="32" t="inlineStr">
        <is>
          <t>Saif Ayedh Al Otaibi</t>
        </is>
      </c>
      <c r="F479" s="19" t="inlineStr">
        <is>
          <t>Security Services</t>
        </is>
      </c>
      <c r="G479" s="425" t="n">
        <v>704318</v>
      </c>
      <c r="H479" s="425" t="n">
        <v>1094580071</v>
      </c>
      <c r="I479" s="425" t="inlineStr">
        <is>
          <t>Approved</t>
        </is>
      </c>
      <c r="J479" s="496" t="n">
        <v>46182</v>
      </c>
      <c r="K479" s="425" t="inlineStr">
        <is>
          <t>FMCO</t>
        </is>
      </c>
      <c r="L479" s="86" t="inlineStr">
        <is>
          <t>-</t>
        </is>
      </c>
      <c r="N479" s="1" t="n"/>
      <c r="O479" s="1" t="n"/>
      <c r="P479" s="1" t="n"/>
      <c r="Q479" s="1" t="n"/>
      <c r="R479" s="1" t="n"/>
      <c r="S479" s="1" t="n"/>
      <c r="T479" s="1" t="n"/>
      <c r="U479" s="1" t="n"/>
      <c r="V479" s="1" t="n"/>
      <c r="W479" s="1" t="n"/>
      <c r="X479" s="1" t="n"/>
      <c r="Y479" s="1" t="n"/>
      <c r="Z479" s="1" t="n"/>
      <c r="AA479" s="1" t="n"/>
      <c r="AB479" s="1" t="n"/>
      <c r="AC479" s="1" t="n"/>
      <c r="AD479" s="1" t="n"/>
      <c r="AE479" s="1" t="n"/>
      <c r="AF479" s="1" t="n"/>
      <c r="AG479" s="1" t="n"/>
      <c r="AH479" s="1" t="n"/>
      <c r="AI479" s="1" t="n"/>
      <c r="AJ479" s="1" t="n"/>
    </row>
    <row r="480" ht="15" customHeight="1">
      <c r="A480" s="429" t="n"/>
      <c r="B480" s="429" t="n"/>
      <c r="C480" s="429" t="n"/>
      <c r="D480" s="429" t="n"/>
      <c r="E480" s="32" t="inlineStr">
        <is>
          <t>Mohammad Nasser Aldossari</t>
        </is>
      </c>
      <c r="F480" s="19" t="inlineStr">
        <is>
          <t>Security Services</t>
        </is>
      </c>
      <c r="G480" s="425" t="n">
        <v>704339</v>
      </c>
      <c r="H480" s="425" t="n">
        <v>1131664060</v>
      </c>
      <c r="I480" s="425" t="inlineStr">
        <is>
          <t>Approved</t>
        </is>
      </c>
      <c r="J480" s="496" t="n">
        <v>46195</v>
      </c>
      <c r="K480" s="425" t="inlineStr">
        <is>
          <t>FMCO</t>
        </is>
      </c>
      <c r="L480" s="86" t="inlineStr">
        <is>
          <t>-</t>
        </is>
      </c>
      <c r="N480" s="1" t="n"/>
      <c r="O480" s="1" t="n"/>
      <c r="P480" s="1" t="n"/>
      <c r="Q480" s="1" t="n"/>
      <c r="R480" s="1" t="n"/>
      <c r="S480" s="1" t="n"/>
      <c r="T480" s="1" t="n"/>
      <c r="U480" s="1" t="n"/>
      <c r="V480" s="1" t="n"/>
      <c r="W480" s="1" t="n"/>
      <c r="X480" s="1" t="n"/>
      <c r="Y480" s="1" t="n"/>
      <c r="Z480" s="1" t="n"/>
      <c r="AA480" s="1" t="n"/>
      <c r="AB480" s="1" t="n"/>
      <c r="AC480" s="1" t="n"/>
      <c r="AD480" s="1" t="n"/>
      <c r="AE480" s="1" t="n"/>
      <c r="AF480" s="1" t="n"/>
      <c r="AG480" s="1" t="n"/>
      <c r="AH480" s="1" t="n"/>
      <c r="AI480" s="1" t="n"/>
      <c r="AJ480" s="1" t="n"/>
    </row>
    <row r="481" ht="15" customHeight="1">
      <c r="A481" s="429" t="n"/>
      <c r="B481" s="429" t="n"/>
      <c r="C481" s="429" t="n"/>
      <c r="D481" s="429" t="n"/>
      <c r="E481" s="65" t="n"/>
      <c r="F481" s="19" t="inlineStr">
        <is>
          <t>Security Services</t>
        </is>
      </c>
      <c r="G481" s="88" t="inlineStr">
        <is>
          <t>-</t>
        </is>
      </c>
      <c r="H481" s="88" t="inlineStr">
        <is>
          <t>-</t>
        </is>
      </c>
      <c r="I481" s="425" t="inlineStr">
        <is>
          <t>Vacant</t>
        </is>
      </c>
      <c r="J481" s="504" t="n"/>
      <c r="K481" s="425" t="inlineStr">
        <is>
          <t>-</t>
        </is>
      </c>
      <c r="L481" s="86" t="inlineStr">
        <is>
          <t>-</t>
        </is>
      </c>
      <c r="N481" s="1" t="n"/>
      <c r="O481" s="1" t="n"/>
      <c r="P481" s="1" t="n"/>
      <c r="Q481" s="1" t="n"/>
      <c r="R481" s="1" t="n"/>
      <c r="S481" s="1" t="n"/>
      <c r="T481" s="1" t="n"/>
      <c r="U481" s="1" t="n"/>
      <c r="V481" s="1" t="n"/>
      <c r="W481" s="1" t="n"/>
      <c r="X481" s="1" t="n"/>
      <c r="Y481" s="1" t="n"/>
      <c r="Z481" s="1" t="n"/>
      <c r="AA481" s="1" t="n"/>
      <c r="AB481" s="1" t="n"/>
      <c r="AC481" s="1" t="n"/>
      <c r="AD481" s="1" t="n"/>
      <c r="AE481" s="1" t="n"/>
      <c r="AF481" s="1" t="n"/>
      <c r="AG481" s="1" t="n"/>
      <c r="AH481" s="1" t="n"/>
      <c r="AI481" s="1" t="n"/>
      <c r="AJ481" s="1" t="n"/>
    </row>
    <row r="482" ht="15" customHeight="1">
      <c r="A482" s="429" t="n"/>
      <c r="B482" s="429" t="n"/>
      <c r="C482" s="429" t="n"/>
      <c r="D482" s="429" t="n"/>
      <c r="E482" s="65" t="n"/>
      <c r="F482" s="19" t="inlineStr">
        <is>
          <t>Security Services</t>
        </is>
      </c>
      <c r="G482" s="88" t="inlineStr">
        <is>
          <t>-</t>
        </is>
      </c>
      <c r="H482" s="88" t="inlineStr">
        <is>
          <t>-</t>
        </is>
      </c>
      <c r="I482" s="425" t="inlineStr">
        <is>
          <t>Vacant</t>
        </is>
      </c>
      <c r="J482" s="504" t="n"/>
      <c r="K482" s="425" t="inlineStr">
        <is>
          <t>-</t>
        </is>
      </c>
      <c r="L482" s="86" t="inlineStr">
        <is>
          <t>-</t>
        </is>
      </c>
      <c r="N482" s="1" t="n"/>
      <c r="O482" s="1" t="n"/>
      <c r="P482" s="1" t="n"/>
      <c r="Q482" s="1" t="n"/>
      <c r="R482" s="1" t="n"/>
      <c r="S482" s="1" t="n"/>
      <c r="T482" s="1" t="n"/>
      <c r="U482" s="1" t="n"/>
      <c r="V482" s="1" t="n"/>
      <c r="W482" s="1" t="n"/>
      <c r="X482" s="1" t="n"/>
      <c r="Y482" s="1" t="n"/>
      <c r="Z482" s="1" t="n"/>
      <c r="AA482" s="1" t="n"/>
      <c r="AB482" s="1" t="n"/>
      <c r="AC482" s="1" t="n"/>
      <c r="AD482" s="1" t="n"/>
      <c r="AE482" s="1" t="n"/>
      <c r="AF482" s="1" t="n"/>
      <c r="AG482" s="1" t="n"/>
      <c r="AH482" s="1" t="n"/>
      <c r="AI482" s="1" t="n"/>
      <c r="AJ482" s="1" t="n"/>
    </row>
    <row r="483" ht="15" customHeight="1">
      <c r="A483" s="429" t="n"/>
      <c r="B483" s="429" t="n"/>
      <c r="C483" s="429" t="n"/>
      <c r="D483" s="429" t="n"/>
      <c r="E483" s="65" t="n"/>
      <c r="F483" s="19" t="inlineStr">
        <is>
          <t>Security Services</t>
        </is>
      </c>
      <c r="G483" s="88" t="inlineStr">
        <is>
          <t>-</t>
        </is>
      </c>
      <c r="H483" s="88" t="inlineStr">
        <is>
          <t>-</t>
        </is>
      </c>
      <c r="I483" s="425" t="inlineStr">
        <is>
          <t>Vacant</t>
        </is>
      </c>
      <c r="J483" s="504" t="n"/>
      <c r="K483" s="425" t="inlineStr">
        <is>
          <t>-</t>
        </is>
      </c>
      <c r="L483" s="86" t="inlineStr">
        <is>
          <t>-</t>
        </is>
      </c>
      <c r="N483" s="1" t="n"/>
      <c r="O483" s="1" t="n"/>
      <c r="P483" s="1" t="n"/>
      <c r="Q483" s="1" t="n"/>
      <c r="R483" s="1" t="n"/>
      <c r="S483" s="1" t="n"/>
      <c r="T483" s="1" t="n"/>
      <c r="U483" s="1" t="n"/>
      <c r="V483" s="1" t="n"/>
      <c r="W483" s="1" t="n"/>
      <c r="X483" s="1" t="n"/>
      <c r="Y483" s="1" t="n"/>
      <c r="Z483" s="1" t="n"/>
      <c r="AA483" s="1" t="n"/>
      <c r="AB483" s="1" t="n"/>
      <c r="AC483" s="1" t="n"/>
      <c r="AD483" s="1" t="n"/>
      <c r="AE483" s="1" t="n"/>
      <c r="AF483" s="1" t="n"/>
      <c r="AG483" s="1" t="n"/>
      <c r="AH483" s="1" t="n"/>
      <c r="AI483" s="1" t="n"/>
      <c r="AJ483" s="1" t="n"/>
    </row>
    <row r="484" ht="15" customHeight="1">
      <c r="A484" s="429" t="n"/>
      <c r="B484" s="429" t="n"/>
      <c r="C484" s="429" t="n"/>
      <c r="D484" s="429" t="n"/>
      <c r="E484" s="65" t="n"/>
      <c r="F484" s="19" t="inlineStr">
        <is>
          <t>Security Services</t>
        </is>
      </c>
      <c r="G484" s="88" t="inlineStr">
        <is>
          <t>-</t>
        </is>
      </c>
      <c r="H484" s="88" t="inlineStr">
        <is>
          <t>-</t>
        </is>
      </c>
      <c r="I484" s="425" t="inlineStr">
        <is>
          <t>Vacant</t>
        </is>
      </c>
      <c r="J484" s="504" t="n"/>
      <c r="K484" s="425" t="inlineStr">
        <is>
          <t>-</t>
        </is>
      </c>
      <c r="L484" s="86" t="inlineStr">
        <is>
          <t>-</t>
        </is>
      </c>
      <c r="N484" s="1" t="n"/>
      <c r="O484" s="1" t="n"/>
      <c r="P484" s="1" t="n"/>
      <c r="Q484" s="1" t="n"/>
      <c r="R484" s="1" t="n"/>
      <c r="S484" s="1" t="n"/>
      <c r="T484" s="1" t="n"/>
      <c r="U484" s="1" t="n"/>
      <c r="V484" s="1" t="n"/>
      <c r="W484" s="1" t="n"/>
      <c r="X484" s="1" t="n"/>
      <c r="Y484" s="1" t="n"/>
      <c r="Z484" s="1" t="n"/>
      <c r="AA484" s="1" t="n"/>
      <c r="AB484" s="1" t="n"/>
      <c r="AC484" s="1" t="n"/>
      <c r="AD484" s="1" t="n"/>
      <c r="AE484" s="1" t="n"/>
      <c r="AF484" s="1" t="n"/>
      <c r="AG484" s="1" t="n"/>
      <c r="AH484" s="1" t="n"/>
      <c r="AI484" s="1" t="n"/>
      <c r="AJ484" s="1" t="n"/>
    </row>
    <row r="485" ht="15" customHeight="1">
      <c r="A485" s="429" t="n"/>
      <c r="B485" s="429" t="n"/>
      <c r="C485" s="429" t="n"/>
      <c r="D485" s="429" t="n"/>
      <c r="E485" s="87" t="n"/>
      <c r="F485" s="19" t="inlineStr">
        <is>
          <t>Security Services</t>
        </is>
      </c>
      <c r="G485" s="88" t="inlineStr">
        <is>
          <t>-</t>
        </is>
      </c>
      <c r="H485" s="88" t="inlineStr">
        <is>
          <t>-</t>
        </is>
      </c>
      <c r="I485" s="425" t="inlineStr">
        <is>
          <t>Vacant</t>
        </is>
      </c>
      <c r="J485" s="499" t="n"/>
      <c r="K485" s="425" t="inlineStr">
        <is>
          <t>-</t>
        </is>
      </c>
      <c r="L485" s="86" t="inlineStr">
        <is>
          <t>-</t>
        </is>
      </c>
      <c r="N485" s="1" t="n"/>
      <c r="O485" s="1" t="n"/>
      <c r="P485" s="1" t="n"/>
      <c r="Q485" s="1" t="n"/>
      <c r="R485" s="1" t="n"/>
      <c r="S485" s="1" t="n"/>
      <c r="T485" s="1" t="n"/>
      <c r="U485" s="1" t="n"/>
      <c r="V485" s="1" t="n"/>
      <c r="W485" s="1" t="n"/>
      <c r="X485" s="1" t="n"/>
      <c r="Y485" s="1" t="n"/>
      <c r="Z485" s="1" t="n"/>
      <c r="AA485" s="1" t="n"/>
      <c r="AB485" s="1" t="n"/>
      <c r="AC485" s="1" t="n"/>
      <c r="AD485" s="1" t="n"/>
      <c r="AE485" s="1" t="n"/>
      <c r="AF485" s="1" t="n"/>
      <c r="AG485" s="1" t="n"/>
      <c r="AH485" s="1" t="n"/>
      <c r="AI485" s="1" t="n"/>
      <c r="AJ485" s="1" t="n"/>
    </row>
    <row r="486" ht="15" customHeight="1">
      <c r="A486" s="429" t="n"/>
      <c r="B486" s="429" t="n"/>
      <c r="C486" s="429" t="n"/>
      <c r="D486" s="429" t="n"/>
      <c r="E486" s="87" t="n"/>
      <c r="F486" s="19" t="inlineStr">
        <is>
          <t>Security Services</t>
        </is>
      </c>
      <c r="G486" s="88" t="inlineStr">
        <is>
          <t>-</t>
        </is>
      </c>
      <c r="H486" s="88" t="inlineStr">
        <is>
          <t>-</t>
        </is>
      </c>
      <c r="I486" s="425" t="inlineStr">
        <is>
          <t>Vacant</t>
        </is>
      </c>
      <c r="J486" s="499" t="n"/>
      <c r="K486" s="425" t="inlineStr">
        <is>
          <t>-</t>
        </is>
      </c>
      <c r="L486" s="86" t="inlineStr">
        <is>
          <t>-</t>
        </is>
      </c>
      <c r="N486" s="1" t="n"/>
      <c r="O486" s="1" t="n"/>
      <c r="P486" s="1" t="n"/>
      <c r="Q486" s="1" t="n"/>
      <c r="R486" s="1" t="n"/>
      <c r="S486" s="1" t="n"/>
      <c r="T486" s="1" t="n"/>
      <c r="U486" s="1" t="n"/>
      <c r="V486" s="1" t="n"/>
      <c r="W486" s="1" t="n"/>
      <c r="X486" s="1" t="n"/>
      <c r="Y486" s="1" t="n"/>
      <c r="Z486" s="1" t="n"/>
      <c r="AA486" s="1" t="n"/>
      <c r="AB486" s="1" t="n"/>
      <c r="AC486" s="1" t="n"/>
      <c r="AD486" s="1" t="n"/>
      <c r="AE486" s="1" t="n"/>
      <c r="AF486" s="1" t="n"/>
      <c r="AG486" s="1" t="n"/>
      <c r="AH486" s="1" t="n"/>
      <c r="AI486" s="1" t="n"/>
      <c r="AJ486" s="1" t="n"/>
    </row>
    <row r="487" ht="15" customHeight="1">
      <c r="A487" s="429" t="n"/>
      <c r="B487" s="429" t="n"/>
      <c r="C487" s="429" t="n"/>
      <c r="D487" s="429" t="n"/>
      <c r="E487" s="87" t="n"/>
      <c r="F487" s="19" t="inlineStr">
        <is>
          <t>Security Services</t>
        </is>
      </c>
      <c r="G487" s="88" t="inlineStr">
        <is>
          <t>-</t>
        </is>
      </c>
      <c r="H487" s="88" t="inlineStr">
        <is>
          <t>-</t>
        </is>
      </c>
      <c r="I487" s="425" t="inlineStr">
        <is>
          <t>Vacant</t>
        </is>
      </c>
      <c r="J487" s="499" t="n"/>
      <c r="K487" s="425" t="inlineStr">
        <is>
          <t>-</t>
        </is>
      </c>
      <c r="L487" s="86" t="inlineStr">
        <is>
          <t>-</t>
        </is>
      </c>
      <c r="N487" s="1" t="n"/>
      <c r="O487" s="1" t="n"/>
      <c r="P487" s="1" t="n"/>
      <c r="Q487" s="1" t="n"/>
      <c r="R487" s="1" t="n"/>
      <c r="S487" s="1" t="n"/>
      <c r="T487" s="1" t="n"/>
      <c r="U487" s="1" t="n"/>
      <c r="V487" s="1" t="n"/>
      <c r="W487" s="1" t="n"/>
      <c r="X487" s="1" t="n"/>
      <c r="Y487" s="1" t="n"/>
      <c r="Z487" s="1" t="n"/>
      <c r="AA487" s="1" t="n"/>
      <c r="AB487" s="1" t="n"/>
      <c r="AC487" s="1" t="n"/>
      <c r="AD487" s="1" t="n"/>
      <c r="AE487" s="1" t="n"/>
      <c r="AF487" s="1" t="n"/>
      <c r="AG487" s="1" t="n"/>
      <c r="AH487" s="1" t="n"/>
      <c r="AI487" s="1" t="n"/>
      <c r="AJ487" s="1" t="n"/>
    </row>
    <row r="488" ht="15" customHeight="1">
      <c r="A488" s="429" t="n"/>
      <c r="B488" s="429" t="n"/>
      <c r="C488" s="429" t="n"/>
      <c r="D488" s="429" t="n"/>
      <c r="E488" s="87" t="n"/>
      <c r="F488" s="19" t="inlineStr">
        <is>
          <t>Security Services</t>
        </is>
      </c>
      <c r="G488" s="88" t="inlineStr">
        <is>
          <t>-</t>
        </is>
      </c>
      <c r="H488" s="88" t="inlineStr">
        <is>
          <t>-</t>
        </is>
      </c>
      <c r="I488" s="425" t="inlineStr">
        <is>
          <t>Vacant</t>
        </is>
      </c>
      <c r="J488" s="499" t="n"/>
      <c r="K488" s="425" t="inlineStr">
        <is>
          <t>-</t>
        </is>
      </c>
      <c r="L488" s="86" t="inlineStr">
        <is>
          <t>-</t>
        </is>
      </c>
      <c r="N488" s="1" t="n"/>
      <c r="O488" s="1" t="n"/>
      <c r="P488" s="1" t="n"/>
      <c r="Q488" s="1" t="n"/>
      <c r="R488" s="1" t="n"/>
      <c r="S488" s="1" t="n"/>
      <c r="T488" s="1" t="n"/>
      <c r="U488" s="1" t="n"/>
      <c r="V488" s="1" t="n"/>
      <c r="W488" s="1" t="n"/>
      <c r="X488" s="1" t="n"/>
      <c r="Y488" s="1" t="n"/>
      <c r="Z488" s="1" t="n"/>
      <c r="AA488" s="1" t="n"/>
      <c r="AB488" s="1" t="n"/>
      <c r="AC488" s="1" t="n"/>
      <c r="AD488" s="1" t="n"/>
      <c r="AE488" s="1" t="n"/>
      <c r="AF488" s="1" t="n"/>
      <c r="AG488" s="1" t="n"/>
      <c r="AH488" s="1" t="n"/>
      <c r="AI488" s="1" t="n"/>
      <c r="AJ488" s="1" t="n"/>
    </row>
    <row r="489" ht="15" customHeight="1">
      <c r="A489" s="429" t="n"/>
      <c r="B489" s="429" t="n"/>
      <c r="C489" s="429" t="n"/>
      <c r="D489" s="429" t="n"/>
      <c r="E489" s="87" t="n"/>
      <c r="F489" s="19" t="inlineStr">
        <is>
          <t>Security Services</t>
        </is>
      </c>
      <c r="G489" s="88" t="inlineStr">
        <is>
          <t>-</t>
        </is>
      </c>
      <c r="H489" s="88" t="inlineStr">
        <is>
          <t>-</t>
        </is>
      </c>
      <c r="I489" s="425" t="inlineStr">
        <is>
          <t>Vacant</t>
        </is>
      </c>
      <c r="J489" s="499" t="n"/>
      <c r="K489" s="425" t="inlineStr">
        <is>
          <t>-</t>
        </is>
      </c>
      <c r="L489" s="86" t="inlineStr">
        <is>
          <t>-</t>
        </is>
      </c>
      <c r="N489" s="1" t="n"/>
      <c r="O489" s="1" t="n"/>
      <c r="P489" s="1" t="n"/>
      <c r="Q489" s="1" t="n"/>
      <c r="R489" s="1" t="n"/>
      <c r="S489" s="1" t="n"/>
      <c r="T489" s="1" t="n"/>
      <c r="U489" s="1" t="n"/>
      <c r="V489" s="1" t="n"/>
      <c r="W489" s="1" t="n"/>
      <c r="X489" s="1" t="n"/>
      <c r="Y489" s="1" t="n"/>
      <c r="Z489" s="1" t="n"/>
      <c r="AA489" s="1" t="n"/>
      <c r="AB489" s="1" t="n"/>
      <c r="AC489" s="1" t="n"/>
      <c r="AD489" s="1" t="n"/>
      <c r="AE489" s="1" t="n"/>
      <c r="AF489" s="1" t="n"/>
      <c r="AG489" s="1" t="n"/>
      <c r="AH489" s="1" t="n"/>
      <c r="AI489" s="1" t="n"/>
      <c r="AJ489" s="1" t="n"/>
    </row>
    <row r="490" ht="15" customHeight="1">
      <c r="A490" s="429" t="n"/>
      <c r="B490" s="429" t="n"/>
      <c r="C490" s="429" t="n"/>
      <c r="D490" s="429" t="n"/>
      <c r="E490" s="87" t="n"/>
      <c r="F490" s="19" t="inlineStr">
        <is>
          <t>Security Services</t>
        </is>
      </c>
      <c r="G490" s="88" t="inlineStr">
        <is>
          <t>-</t>
        </is>
      </c>
      <c r="H490" s="88" t="inlineStr">
        <is>
          <t>-</t>
        </is>
      </c>
      <c r="I490" s="425" t="inlineStr">
        <is>
          <t>Vacant</t>
        </is>
      </c>
      <c r="J490" s="499" t="n"/>
      <c r="K490" s="425" t="inlineStr">
        <is>
          <t>-</t>
        </is>
      </c>
      <c r="L490" s="86" t="inlineStr">
        <is>
          <t>-</t>
        </is>
      </c>
      <c r="N490" s="1" t="n"/>
      <c r="O490" s="1" t="n"/>
      <c r="P490" s="1" t="n"/>
      <c r="Q490" s="1" t="n"/>
      <c r="R490" s="1" t="n"/>
      <c r="S490" s="1" t="n"/>
      <c r="T490" s="1" t="n"/>
      <c r="U490" s="1" t="n"/>
      <c r="V490" s="1" t="n"/>
      <c r="W490" s="1" t="n"/>
      <c r="X490" s="1" t="n"/>
      <c r="Y490" s="1" t="n"/>
      <c r="Z490" s="1" t="n"/>
      <c r="AA490" s="1" t="n"/>
      <c r="AB490" s="1" t="n"/>
      <c r="AC490" s="1" t="n"/>
      <c r="AD490" s="1" t="n"/>
      <c r="AE490" s="1" t="n"/>
      <c r="AF490" s="1" t="n"/>
      <c r="AG490" s="1" t="n"/>
      <c r="AH490" s="1" t="n"/>
      <c r="AI490" s="1" t="n"/>
      <c r="AJ490" s="1" t="n"/>
    </row>
    <row r="491" ht="15" customHeight="1">
      <c r="A491" s="429" t="n"/>
      <c r="B491" s="429" t="n"/>
      <c r="C491" s="429" t="n"/>
      <c r="D491" s="429" t="n"/>
      <c r="E491" s="87" t="n"/>
      <c r="F491" s="19" t="inlineStr">
        <is>
          <t>Security Services</t>
        </is>
      </c>
      <c r="G491" s="88" t="inlineStr">
        <is>
          <t>-</t>
        </is>
      </c>
      <c r="H491" s="88" t="inlineStr">
        <is>
          <t>-</t>
        </is>
      </c>
      <c r="I491" s="425" t="inlineStr">
        <is>
          <t>Vacant</t>
        </is>
      </c>
      <c r="J491" s="499" t="n"/>
      <c r="K491" s="425" t="inlineStr">
        <is>
          <t>-</t>
        </is>
      </c>
      <c r="L491" s="86" t="inlineStr">
        <is>
          <t>-</t>
        </is>
      </c>
      <c r="N491" s="1" t="n"/>
      <c r="O491" s="1" t="n"/>
      <c r="P491" s="1" t="n"/>
      <c r="Q491" s="1" t="n"/>
      <c r="R491" s="1" t="n"/>
      <c r="S491" s="1" t="n"/>
      <c r="T491" s="1" t="n"/>
      <c r="U491" s="1" t="n"/>
      <c r="V491" s="1" t="n"/>
      <c r="W491" s="1" t="n"/>
      <c r="X491" s="1" t="n"/>
      <c r="Y491" s="1" t="n"/>
      <c r="Z491" s="1" t="n"/>
      <c r="AA491" s="1" t="n"/>
      <c r="AB491" s="1" t="n"/>
      <c r="AC491" s="1" t="n"/>
      <c r="AD491" s="1" t="n"/>
      <c r="AE491" s="1" t="n"/>
      <c r="AF491" s="1" t="n"/>
      <c r="AG491" s="1" t="n"/>
      <c r="AH491" s="1" t="n"/>
      <c r="AI491" s="1" t="n"/>
      <c r="AJ491" s="1" t="n"/>
    </row>
    <row r="492" ht="15" customHeight="1">
      <c r="A492" s="429" t="n"/>
      <c r="B492" s="429" t="n"/>
      <c r="C492" s="429" t="n"/>
      <c r="D492" s="429" t="n"/>
      <c r="E492" s="87" t="n"/>
      <c r="F492" s="19" t="inlineStr">
        <is>
          <t>Security Services</t>
        </is>
      </c>
      <c r="G492" s="88" t="inlineStr">
        <is>
          <t>-</t>
        </is>
      </c>
      <c r="H492" s="88" t="inlineStr">
        <is>
          <t>-</t>
        </is>
      </c>
      <c r="I492" s="425" t="inlineStr">
        <is>
          <t>Vacant</t>
        </is>
      </c>
      <c r="J492" s="499" t="n"/>
      <c r="K492" s="425" t="inlineStr">
        <is>
          <t>-</t>
        </is>
      </c>
      <c r="L492" s="86" t="inlineStr">
        <is>
          <t>-</t>
        </is>
      </c>
      <c r="N492" s="1" t="n"/>
      <c r="O492" s="1" t="n"/>
      <c r="P492" s="1" t="n"/>
      <c r="Q492" s="1" t="n"/>
      <c r="R492" s="1" t="n"/>
      <c r="S492" s="1" t="n"/>
      <c r="T492" s="1" t="n"/>
      <c r="U492" s="1" t="n"/>
      <c r="V492" s="1" t="n"/>
      <c r="W492" s="1" t="n"/>
      <c r="X492" s="1" t="n"/>
      <c r="Y492" s="1" t="n"/>
      <c r="Z492" s="1" t="n"/>
      <c r="AA492" s="1" t="n"/>
      <c r="AB492" s="1" t="n"/>
      <c r="AC492" s="1" t="n"/>
      <c r="AD492" s="1" t="n"/>
      <c r="AE492" s="1" t="n"/>
      <c r="AF492" s="1" t="n"/>
      <c r="AG492" s="1" t="n"/>
      <c r="AH492" s="1" t="n"/>
      <c r="AI492" s="1" t="n"/>
      <c r="AJ492" s="1" t="n"/>
    </row>
    <row r="493" ht="15" customHeight="1">
      <c r="A493" s="429" t="n"/>
      <c r="B493" s="429" t="n"/>
      <c r="C493" s="429" t="n"/>
      <c r="D493" s="429" t="n"/>
      <c r="E493" s="87" t="n"/>
      <c r="F493" s="19" t="inlineStr">
        <is>
          <t>Security Services</t>
        </is>
      </c>
      <c r="G493" s="88" t="inlineStr">
        <is>
          <t>-</t>
        </is>
      </c>
      <c r="H493" s="88" t="inlineStr">
        <is>
          <t>-</t>
        </is>
      </c>
      <c r="I493" s="425" t="inlineStr">
        <is>
          <t>Vacant</t>
        </is>
      </c>
      <c r="J493" s="499" t="n"/>
      <c r="K493" s="425" t="inlineStr">
        <is>
          <t>-</t>
        </is>
      </c>
      <c r="L493" s="86" t="inlineStr">
        <is>
          <t>-</t>
        </is>
      </c>
      <c r="N493" s="1" t="n"/>
      <c r="O493" s="1" t="n"/>
      <c r="P493" s="1" t="n"/>
      <c r="Q493" s="1" t="n"/>
      <c r="R493" s="1" t="n"/>
      <c r="S493" s="1" t="n"/>
      <c r="T493" s="1" t="n"/>
      <c r="U493" s="1" t="n"/>
      <c r="V493" s="1" t="n"/>
      <c r="W493" s="1" t="n"/>
      <c r="X493" s="1" t="n"/>
      <c r="Y493" s="1" t="n"/>
      <c r="Z493" s="1" t="n"/>
      <c r="AA493" s="1" t="n"/>
      <c r="AB493" s="1" t="n"/>
      <c r="AC493" s="1" t="n"/>
      <c r="AD493" s="1" t="n"/>
      <c r="AE493" s="1" t="n"/>
      <c r="AF493" s="1" t="n"/>
      <c r="AG493" s="1" t="n"/>
      <c r="AH493" s="1" t="n"/>
      <c r="AI493" s="1" t="n"/>
      <c r="AJ493" s="1" t="n"/>
    </row>
    <row r="494" ht="15" customHeight="1">
      <c r="A494" s="429" t="n"/>
      <c r="B494" s="429" t="n"/>
      <c r="C494" s="429" t="n"/>
      <c r="D494" s="429" t="n"/>
      <c r="E494" s="87" t="n"/>
      <c r="F494" s="19" t="inlineStr">
        <is>
          <t>Security Services</t>
        </is>
      </c>
      <c r="G494" s="88" t="inlineStr">
        <is>
          <t>-</t>
        </is>
      </c>
      <c r="H494" s="88" t="inlineStr">
        <is>
          <t>-</t>
        </is>
      </c>
      <c r="I494" s="425" t="inlineStr">
        <is>
          <t>Vacant</t>
        </is>
      </c>
      <c r="J494" s="499" t="n"/>
      <c r="K494" s="425" t="inlineStr">
        <is>
          <t>-</t>
        </is>
      </c>
      <c r="L494" s="86" t="inlineStr">
        <is>
          <t>-</t>
        </is>
      </c>
      <c r="N494" s="1" t="n"/>
      <c r="O494" s="1" t="n"/>
      <c r="P494" s="1" t="n"/>
      <c r="Q494" s="1" t="n"/>
      <c r="R494" s="1" t="n"/>
      <c r="S494" s="1" t="n"/>
      <c r="T494" s="1" t="n"/>
      <c r="U494" s="1" t="n"/>
      <c r="V494" s="1" t="n"/>
      <c r="W494" s="1" t="n"/>
      <c r="X494" s="1" t="n"/>
      <c r="Y494" s="1" t="n"/>
      <c r="Z494" s="1" t="n"/>
      <c r="AA494" s="1" t="n"/>
      <c r="AB494" s="1" t="n"/>
      <c r="AC494" s="1" t="n"/>
      <c r="AD494" s="1" t="n"/>
      <c r="AE494" s="1" t="n"/>
      <c r="AF494" s="1" t="n"/>
      <c r="AG494" s="1" t="n"/>
      <c r="AH494" s="1" t="n"/>
      <c r="AI494" s="1" t="n"/>
      <c r="AJ494" s="1" t="n"/>
    </row>
    <row r="495" ht="15" customHeight="1">
      <c r="A495" s="429" t="n"/>
      <c r="B495" s="429" t="n"/>
      <c r="C495" s="429" t="n"/>
      <c r="D495" s="429" t="n"/>
      <c r="E495" s="87" t="n"/>
      <c r="F495" s="19" t="inlineStr">
        <is>
          <t>Security Services</t>
        </is>
      </c>
      <c r="G495" s="88" t="inlineStr">
        <is>
          <t>-</t>
        </is>
      </c>
      <c r="H495" s="88" t="inlineStr">
        <is>
          <t>-</t>
        </is>
      </c>
      <c r="I495" s="425" t="inlineStr">
        <is>
          <t>Vacant</t>
        </is>
      </c>
      <c r="J495" s="499" t="n"/>
      <c r="K495" s="425" t="inlineStr">
        <is>
          <t>-</t>
        </is>
      </c>
      <c r="L495" s="86" t="inlineStr">
        <is>
          <t>-</t>
        </is>
      </c>
      <c r="N495" s="1" t="n"/>
      <c r="O495" s="1" t="n"/>
      <c r="P495" s="1" t="n"/>
      <c r="Q495" s="1" t="n"/>
      <c r="R495" s="1" t="n"/>
      <c r="S495" s="1" t="n"/>
      <c r="T495" s="1" t="n"/>
      <c r="U495" s="1" t="n"/>
      <c r="V495" s="1" t="n"/>
      <c r="W495" s="1" t="n"/>
      <c r="X495" s="1" t="n"/>
      <c r="Y495" s="1" t="n"/>
      <c r="Z495" s="1" t="n"/>
      <c r="AA495" s="1" t="n"/>
      <c r="AB495" s="1" t="n"/>
      <c r="AC495" s="1" t="n"/>
      <c r="AD495" s="1" t="n"/>
      <c r="AE495" s="1" t="n"/>
      <c r="AF495" s="1" t="n"/>
      <c r="AG495" s="1" t="n"/>
      <c r="AH495" s="1" t="n"/>
      <c r="AI495" s="1" t="n"/>
      <c r="AJ495" s="1" t="n"/>
    </row>
    <row r="496" ht="15" customHeight="1">
      <c r="A496" s="429" t="n"/>
      <c r="B496" s="429" t="n"/>
      <c r="C496" s="429" t="n"/>
      <c r="D496" s="429" t="n"/>
      <c r="E496" s="87" t="n"/>
      <c r="F496" s="19" t="inlineStr">
        <is>
          <t>Security Services</t>
        </is>
      </c>
      <c r="G496" s="88" t="inlineStr">
        <is>
          <t>-</t>
        </is>
      </c>
      <c r="H496" s="88" t="inlineStr">
        <is>
          <t>-</t>
        </is>
      </c>
      <c r="I496" s="425" t="inlineStr">
        <is>
          <t>Vacant</t>
        </is>
      </c>
      <c r="J496" s="499" t="n"/>
      <c r="K496" s="425" t="inlineStr">
        <is>
          <t>-</t>
        </is>
      </c>
      <c r="L496" s="86" t="inlineStr">
        <is>
          <t>-</t>
        </is>
      </c>
      <c r="N496" s="1" t="n"/>
      <c r="O496" s="1" t="n"/>
      <c r="P496" s="1" t="n"/>
      <c r="Q496" s="1" t="n"/>
      <c r="R496" s="1" t="n"/>
      <c r="S496" s="1" t="n"/>
      <c r="T496" s="1" t="n"/>
      <c r="U496" s="1" t="n"/>
      <c r="V496" s="1" t="n"/>
      <c r="W496" s="1" t="n"/>
      <c r="X496" s="1" t="n"/>
      <c r="Y496" s="1" t="n"/>
      <c r="Z496" s="1" t="n"/>
      <c r="AA496" s="1" t="n"/>
      <c r="AB496" s="1" t="n"/>
      <c r="AC496" s="1" t="n"/>
      <c r="AD496" s="1" t="n"/>
      <c r="AE496" s="1" t="n"/>
      <c r="AF496" s="1" t="n"/>
      <c r="AG496" s="1" t="n"/>
      <c r="AH496" s="1" t="n"/>
      <c r="AI496" s="1" t="n"/>
      <c r="AJ496" s="1" t="n"/>
    </row>
    <row r="497" ht="15" customHeight="1">
      <c r="A497" s="429" t="n"/>
      <c r="B497" s="429" t="n"/>
      <c r="C497" s="429" t="n"/>
      <c r="D497" s="429" t="n"/>
      <c r="E497" s="87" t="n"/>
      <c r="F497" s="19" t="inlineStr">
        <is>
          <t>Security Services</t>
        </is>
      </c>
      <c r="G497" s="88" t="inlineStr">
        <is>
          <t>-</t>
        </is>
      </c>
      <c r="H497" s="88" t="inlineStr">
        <is>
          <t>-</t>
        </is>
      </c>
      <c r="I497" s="425" t="inlineStr">
        <is>
          <t>Vacant</t>
        </is>
      </c>
      <c r="J497" s="499" t="n"/>
      <c r="K497" s="425" t="inlineStr">
        <is>
          <t>-</t>
        </is>
      </c>
      <c r="L497" s="86" t="inlineStr">
        <is>
          <t>-</t>
        </is>
      </c>
      <c r="N497" s="1" t="n"/>
      <c r="O497" s="1" t="n"/>
      <c r="P497" s="1" t="n"/>
      <c r="Q497" s="1" t="n"/>
      <c r="R497" s="1" t="n"/>
      <c r="S497" s="1" t="n"/>
      <c r="T497" s="1" t="n"/>
      <c r="U497" s="1" t="n"/>
      <c r="V497" s="1" t="n"/>
      <c r="W497" s="1" t="n"/>
      <c r="X497" s="1" t="n"/>
      <c r="Y497" s="1" t="n"/>
      <c r="Z497" s="1" t="n"/>
      <c r="AA497" s="1" t="n"/>
      <c r="AB497" s="1" t="n"/>
      <c r="AC497" s="1" t="n"/>
      <c r="AD497" s="1" t="n"/>
      <c r="AE497" s="1" t="n"/>
      <c r="AF497" s="1" t="n"/>
      <c r="AG497" s="1" t="n"/>
      <c r="AH497" s="1" t="n"/>
      <c r="AI497" s="1" t="n"/>
      <c r="AJ497" s="1" t="n"/>
    </row>
    <row r="498" ht="15" customHeight="1">
      <c r="A498" s="429" t="n"/>
      <c r="B498" s="429" t="n"/>
      <c r="C498" s="429" t="n"/>
      <c r="D498" s="429" t="n"/>
      <c r="E498" s="87" t="n"/>
      <c r="F498" s="19" t="inlineStr">
        <is>
          <t>Security Services</t>
        </is>
      </c>
      <c r="G498" s="88" t="inlineStr">
        <is>
          <t>-</t>
        </is>
      </c>
      <c r="H498" s="88" t="inlineStr">
        <is>
          <t>-</t>
        </is>
      </c>
      <c r="I498" s="425" t="inlineStr">
        <is>
          <t>Vacant</t>
        </is>
      </c>
      <c r="J498" s="499" t="n"/>
      <c r="K498" s="425" t="inlineStr">
        <is>
          <t>-</t>
        </is>
      </c>
      <c r="L498" s="86" t="inlineStr">
        <is>
          <t>-</t>
        </is>
      </c>
      <c r="N498" s="1" t="n"/>
      <c r="O498" s="1" t="n"/>
      <c r="P498" s="1" t="n"/>
      <c r="Q498" s="1" t="n"/>
      <c r="R498" s="1" t="n"/>
      <c r="S498" s="1" t="n"/>
      <c r="T498" s="1" t="n"/>
      <c r="U498" s="1" t="n"/>
      <c r="V498" s="1" t="n"/>
      <c r="W498" s="1" t="n"/>
      <c r="X498" s="1" t="n"/>
      <c r="Y498" s="1" t="n"/>
      <c r="Z498" s="1" t="n"/>
      <c r="AA498" s="1" t="n"/>
      <c r="AB498" s="1" t="n"/>
      <c r="AC498" s="1" t="n"/>
      <c r="AD498" s="1" t="n"/>
      <c r="AE498" s="1" t="n"/>
      <c r="AF498" s="1" t="n"/>
      <c r="AG498" s="1" t="n"/>
      <c r="AH498" s="1" t="n"/>
      <c r="AI498" s="1" t="n"/>
      <c r="AJ498" s="1" t="n"/>
    </row>
    <row r="499" ht="15" customHeight="1">
      <c r="A499" s="429" t="n"/>
      <c r="B499" s="429" t="n"/>
      <c r="C499" s="429" t="n"/>
      <c r="D499" s="429" t="n"/>
      <c r="E499" s="87" t="n"/>
      <c r="F499" s="19" t="inlineStr">
        <is>
          <t>Security Services</t>
        </is>
      </c>
      <c r="G499" s="88" t="inlineStr">
        <is>
          <t>-</t>
        </is>
      </c>
      <c r="H499" s="88" t="inlineStr">
        <is>
          <t>-</t>
        </is>
      </c>
      <c r="I499" s="425" t="inlineStr">
        <is>
          <t>Vacant</t>
        </is>
      </c>
      <c r="J499" s="499" t="n"/>
      <c r="K499" s="425" t="inlineStr">
        <is>
          <t>-</t>
        </is>
      </c>
      <c r="L499" s="86" t="inlineStr">
        <is>
          <t>-</t>
        </is>
      </c>
      <c r="N499" s="1" t="n"/>
      <c r="O499" s="1" t="n"/>
      <c r="P499" s="1" t="n"/>
      <c r="Q499" s="1" t="n"/>
      <c r="R499" s="1" t="n"/>
      <c r="S499" s="1" t="n"/>
      <c r="T499" s="1" t="n"/>
      <c r="U499" s="1" t="n"/>
      <c r="V499" s="1" t="n"/>
      <c r="W499" s="1" t="n"/>
      <c r="X499" s="1" t="n"/>
      <c r="Y499" s="1" t="n"/>
      <c r="Z499" s="1" t="n"/>
      <c r="AA499" s="1" t="n"/>
      <c r="AB499" s="1" t="n"/>
      <c r="AC499" s="1" t="n"/>
      <c r="AD499" s="1" t="n"/>
      <c r="AE499" s="1" t="n"/>
      <c r="AF499" s="1" t="n"/>
      <c r="AG499" s="1" t="n"/>
      <c r="AH499" s="1" t="n"/>
      <c r="AI499" s="1" t="n"/>
      <c r="AJ499" s="1" t="n"/>
    </row>
    <row r="500" ht="15" customHeight="1">
      <c r="A500" s="429" t="n"/>
      <c r="B500" s="429" t="n"/>
      <c r="C500" s="429" t="n"/>
      <c r="D500" s="429" t="n"/>
      <c r="E500" s="87" t="n"/>
      <c r="F500" s="19" t="inlineStr">
        <is>
          <t>Security Services</t>
        </is>
      </c>
      <c r="G500" s="88" t="inlineStr">
        <is>
          <t>-</t>
        </is>
      </c>
      <c r="H500" s="88" t="inlineStr">
        <is>
          <t>-</t>
        </is>
      </c>
      <c r="I500" s="425" t="inlineStr">
        <is>
          <t>Vacant</t>
        </is>
      </c>
      <c r="J500" s="499" t="n"/>
      <c r="K500" s="425" t="inlineStr">
        <is>
          <t>-</t>
        </is>
      </c>
      <c r="L500" s="86" t="inlineStr">
        <is>
          <t>-</t>
        </is>
      </c>
      <c r="N500" s="1" t="n"/>
      <c r="O500" s="1" t="n"/>
      <c r="P500" s="1" t="n"/>
      <c r="Q500" s="1" t="n"/>
      <c r="R500" s="1" t="n"/>
      <c r="S500" s="1" t="n"/>
      <c r="T500" s="1" t="n"/>
      <c r="U500" s="1" t="n"/>
      <c r="V500" s="1" t="n"/>
      <c r="W500" s="1" t="n"/>
      <c r="X500" s="1" t="n"/>
      <c r="Y500" s="1" t="n"/>
      <c r="Z500" s="1" t="n"/>
      <c r="AA500" s="1" t="n"/>
      <c r="AB500" s="1" t="n"/>
      <c r="AC500" s="1" t="n"/>
      <c r="AD500" s="1" t="n"/>
      <c r="AE500" s="1" t="n"/>
      <c r="AF500" s="1" t="n"/>
      <c r="AG500" s="1" t="n"/>
      <c r="AH500" s="1" t="n"/>
      <c r="AI500" s="1" t="n"/>
      <c r="AJ500" s="1" t="n"/>
    </row>
    <row r="501" ht="15" customHeight="1">
      <c r="A501" s="429" t="n"/>
      <c r="B501" s="429" t="n"/>
      <c r="C501" s="429" t="n"/>
      <c r="D501" s="429" t="n"/>
      <c r="E501" s="87" t="n"/>
      <c r="F501" s="19" t="inlineStr">
        <is>
          <t>Security Services</t>
        </is>
      </c>
      <c r="G501" s="88" t="inlineStr">
        <is>
          <t>-</t>
        </is>
      </c>
      <c r="H501" s="88" t="inlineStr">
        <is>
          <t>-</t>
        </is>
      </c>
      <c r="I501" s="425" t="inlineStr">
        <is>
          <t>Vacant</t>
        </is>
      </c>
      <c r="J501" s="499" t="n"/>
      <c r="K501" s="425" t="inlineStr">
        <is>
          <t>-</t>
        </is>
      </c>
      <c r="L501" s="86" t="inlineStr">
        <is>
          <t>-</t>
        </is>
      </c>
      <c r="N501" s="1" t="n"/>
      <c r="O501" s="1" t="n"/>
      <c r="P501" s="1" t="n"/>
      <c r="Q501" s="1" t="n"/>
      <c r="R501" s="1" t="n"/>
      <c r="S501" s="1" t="n"/>
      <c r="T501" s="1" t="n"/>
      <c r="U501" s="1" t="n"/>
      <c r="V501" s="1" t="n"/>
      <c r="W501" s="1" t="n"/>
      <c r="X501" s="1" t="n"/>
      <c r="Y501" s="1" t="n"/>
      <c r="Z501" s="1" t="n"/>
      <c r="AA501" s="1" t="n"/>
      <c r="AB501" s="1" t="n"/>
      <c r="AC501" s="1" t="n"/>
      <c r="AD501" s="1" t="n"/>
      <c r="AE501" s="1" t="n"/>
      <c r="AF501" s="1" t="n"/>
      <c r="AG501" s="1" t="n"/>
      <c r="AH501" s="1" t="n"/>
      <c r="AI501" s="1" t="n"/>
      <c r="AJ501" s="1" t="n"/>
    </row>
    <row r="502" ht="15" customHeight="1">
      <c r="A502" s="429" t="n"/>
      <c r="B502" s="429" t="n"/>
      <c r="C502" s="429" t="n"/>
      <c r="D502" s="429" t="n"/>
      <c r="E502" s="87" t="n"/>
      <c r="F502" s="19" t="inlineStr">
        <is>
          <t>Security Services</t>
        </is>
      </c>
      <c r="G502" s="88" t="inlineStr">
        <is>
          <t>-</t>
        </is>
      </c>
      <c r="H502" s="88" t="inlineStr">
        <is>
          <t>-</t>
        </is>
      </c>
      <c r="I502" s="425" t="inlineStr">
        <is>
          <t>Vacant</t>
        </is>
      </c>
      <c r="J502" s="499" t="n"/>
      <c r="K502" s="425" t="inlineStr">
        <is>
          <t>-</t>
        </is>
      </c>
      <c r="L502" s="86" t="inlineStr">
        <is>
          <t>-</t>
        </is>
      </c>
      <c r="N502" s="1" t="n"/>
      <c r="O502" s="1" t="n"/>
      <c r="P502" s="1" t="n"/>
      <c r="Q502" s="1" t="n"/>
      <c r="R502" s="1" t="n"/>
      <c r="S502" s="1" t="n"/>
      <c r="T502" s="1" t="n"/>
      <c r="U502" s="1" t="n"/>
      <c r="V502" s="1" t="n"/>
      <c r="W502" s="1" t="n"/>
      <c r="X502" s="1" t="n"/>
      <c r="Y502" s="1" t="n"/>
      <c r="Z502" s="1" t="n"/>
      <c r="AA502" s="1" t="n"/>
      <c r="AB502" s="1" t="n"/>
      <c r="AC502" s="1" t="n"/>
      <c r="AD502" s="1" t="n"/>
      <c r="AE502" s="1" t="n"/>
      <c r="AF502" s="1" t="n"/>
      <c r="AG502" s="1" t="n"/>
      <c r="AH502" s="1" t="n"/>
      <c r="AI502" s="1" t="n"/>
      <c r="AJ502" s="1" t="n"/>
    </row>
    <row r="503" ht="15" customHeight="1">
      <c r="A503" s="429" t="n"/>
      <c r="B503" s="429" t="n"/>
      <c r="C503" s="429" t="n"/>
      <c r="D503" s="429" t="n"/>
      <c r="E503" s="87" t="n"/>
      <c r="F503" s="19" t="inlineStr">
        <is>
          <t>Security Services</t>
        </is>
      </c>
      <c r="G503" s="88" t="inlineStr">
        <is>
          <t>-</t>
        </is>
      </c>
      <c r="H503" s="88" t="inlineStr">
        <is>
          <t>-</t>
        </is>
      </c>
      <c r="I503" s="425" t="inlineStr">
        <is>
          <t>Vacant</t>
        </is>
      </c>
      <c r="J503" s="499" t="n"/>
      <c r="K503" s="425" t="inlineStr">
        <is>
          <t>-</t>
        </is>
      </c>
      <c r="L503" s="86" t="inlineStr">
        <is>
          <t>-</t>
        </is>
      </c>
      <c r="N503" s="1" t="n"/>
      <c r="O503" s="1" t="n"/>
      <c r="P503" s="1" t="n"/>
      <c r="Q503" s="1" t="n"/>
      <c r="R503" s="1" t="n"/>
      <c r="S503" s="1" t="n"/>
      <c r="T503" s="1" t="n"/>
      <c r="U503" s="1" t="n"/>
      <c r="V503" s="1" t="n"/>
      <c r="W503" s="1" t="n"/>
      <c r="X503" s="1" t="n"/>
      <c r="Y503" s="1" t="n"/>
      <c r="Z503" s="1" t="n"/>
      <c r="AA503" s="1" t="n"/>
      <c r="AB503" s="1" t="n"/>
      <c r="AC503" s="1" t="n"/>
      <c r="AD503" s="1" t="n"/>
      <c r="AE503" s="1" t="n"/>
      <c r="AF503" s="1" t="n"/>
      <c r="AG503" s="1" t="n"/>
      <c r="AH503" s="1" t="n"/>
      <c r="AI503" s="1" t="n"/>
      <c r="AJ503" s="1" t="n"/>
    </row>
    <row r="504" ht="15" customHeight="1">
      <c r="A504" s="429" t="n"/>
      <c r="B504" s="429" t="n"/>
      <c r="C504" s="429" t="n"/>
      <c r="D504" s="429" t="n"/>
      <c r="E504" s="87" t="n"/>
      <c r="F504" s="19" t="inlineStr">
        <is>
          <t>Security Services</t>
        </is>
      </c>
      <c r="G504" s="88" t="inlineStr">
        <is>
          <t>-</t>
        </is>
      </c>
      <c r="H504" s="88" t="inlineStr">
        <is>
          <t>-</t>
        </is>
      </c>
      <c r="I504" s="425" t="inlineStr">
        <is>
          <t>Vacant</t>
        </is>
      </c>
      <c r="J504" s="499" t="n"/>
      <c r="K504" s="425" t="inlineStr">
        <is>
          <t>-</t>
        </is>
      </c>
      <c r="L504" s="86" t="inlineStr">
        <is>
          <t>-</t>
        </is>
      </c>
      <c r="N504" s="1" t="n"/>
      <c r="O504" s="1" t="n"/>
      <c r="P504" s="1" t="n"/>
      <c r="Q504" s="1" t="n"/>
      <c r="R504" s="1" t="n"/>
      <c r="S504" s="1" t="n"/>
      <c r="T504" s="1" t="n"/>
      <c r="U504" s="1" t="n"/>
      <c r="V504" s="1" t="n"/>
      <c r="W504" s="1" t="n"/>
      <c r="X504" s="1" t="n"/>
      <c r="Y504" s="1" t="n"/>
      <c r="Z504" s="1" t="n"/>
      <c r="AA504" s="1" t="n"/>
      <c r="AB504" s="1" t="n"/>
      <c r="AC504" s="1" t="n"/>
      <c r="AD504" s="1" t="n"/>
      <c r="AE504" s="1" t="n"/>
      <c r="AF504" s="1" t="n"/>
      <c r="AG504" s="1" t="n"/>
      <c r="AH504" s="1" t="n"/>
      <c r="AI504" s="1" t="n"/>
      <c r="AJ504" s="1" t="n"/>
    </row>
    <row r="505" ht="15" customHeight="1">
      <c r="A505" s="431" t="n"/>
      <c r="B505" s="431" t="n"/>
      <c r="C505" s="431" t="n"/>
      <c r="D505" s="431" t="n"/>
      <c r="E505" s="87" t="n"/>
      <c r="F505" s="19" t="inlineStr">
        <is>
          <t>Security Services</t>
        </is>
      </c>
      <c r="G505" s="88" t="inlineStr">
        <is>
          <t>-</t>
        </is>
      </c>
      <c r="H505" s="88" t="inlineStr">
        <is>
          <t>-</t>
        </is>
      </c>
      <c r="I505" s="425" t="inlineStr">
        <is>
          <t>Vacant</t>
        </is>
      </c>
      <c r="J505" s="499" t="n"/>
      <c r="K505" s="425" t="inlineStr">
        <is>
          <t>-</t>
        </is>
      </c>
      <c r="L505" s="86" t="inlineStr">
        <is>
          <t>-</t>
        </is>
      </c>
      <c r="N505" s="1" t="n"/>
      <c r="O505" s="1" t="n"/>
      <c r="P505" s="1" t="n"/>
      <c r="Q505" s="1" t="n"/>
      <c r="R505" s="1" t="n"/>
      <c r="S505" s="1" t="n"/>
      <c r="T505" s="1" t="n"/>
      <c r="U505" s="1" t="n"/>
      <c r="V505" s="1" t="n"/>
      <c r="W505" s="1" t="n"/>
      <c r="X505" s="1" t="n"/>
      <c r="Y505" s="1" t="n"/>
      <c r="Z505" s="1" t="n"/>
      <c r="AA505" s="1" t="n"/>
      <c r="AB505" s="1" t="n"/>
      <c r="AC505" s="1" t="n"/>
      <c r="AD505" s="1" t="n"/>
      <c r="AE505" s="1" t="n"/>
      <c r="AF505" s="1" t="n"/>
      <c r="AG505" s="1" t="n"/>
      <c r="AH505" s="1" t="n"/>
      <c r="AI505" s="1" t="n"/>
      <c r="AJ505" s="1" t="n"/>
    </row>
    <row r="506" ht="15" customHeight="1">
      <c r="A506" s="445" t="inlineStr">
        <is>
          <t>Security Partols</t>
        </is>
      </c>
      <c r="B506" s="441" t="n">
        <v>8</v>
      </c>
      <c r="C506" s="441">
        <f>COUNTIF(E506:E513,"&lt;&gt;")</f>
        <v/>
      </c>
      <c r="D506" s="441">
        <f>C506-B506</f>
        <v/>
      </c>
      <c r="E506" s="87" t="n"/>
      <c r="F506" s="19" t="inlineStr">
        <is>
          <t>Security Services</t>
        </is>
      </c>
      <c r="G506" s="88" t="inlineStr">
        <is>
          <t>-</t>
        </is>
      </c>
      <c r="H506" s="88" t="inlineStr">
        <is>
          <t>-</t>
        </is>
      </c>
      <c r="I506" s="425" t="inlineStr">
        <is>
          <t>Vacant</t>
        </is>
      </c>
      <c r="J506" s="499" t="n"/>
      <c r="K506" s="425" t="inlineStr">
        <is>
          <t>-</t>
        </is>
      </c>
      <c r="L506" s="86" t="inlineStr">
        <is>
          <t>-</t>
        </is>
      </c>
      <c r="N506" s="1" t="n"/>
      <c r="O506" s="1" t="n"/>
      <c r="P506" s="1" t="n"/>
      <c r="Q506" s="1" t="n"/>
      <c r="R506" s="1" t="n"/>
      <c r="S506" s="1" t="n"/>
      <c r="T506" s="1" t="n"/>
      <c r="U506" s="1" t="n"/>
      <c r="V506" s="1" t="n"/>
      <c r="W506" s="1" t="n"/>
      <c r="X506" s="1" t="n"/>
      <c r="Y506" s="1" t="n"/>
      <c r="Z506" s="1" t="n"/>
      <c r="AA506" s="1" t="n"/>
      <c r="AB506" s="1" t="n"/>
      <c r="AC506" s="1" t="n"/>
      <c r="AD506" s="1" t="n"/>
      <c r="AE506" s="1" t="n"/>
      <c r="AF506" s="1" t="n"/>
      <c r="AG506" s="1" t="n"/>
      <c r="AH506" s="1" t="n"/>
      <c r="AI506" s="1" t="n"/>
      <c r="AJ506" s="1" t="n"/>
    </row>
    <row r="507" ht="15" customHeight="1">
      <c r="A507" s="429" t="n"/>
      <c r="B507" s="429" t="n"/>
      <c r="C507" s="429" t="n"/>
      <c r="D507" s="429" t="n"/>
      <c r="E507" s="87" t="n"/>
      <c r="F507" s="19" t="inlineStr">
        <is>
          <t>Security Services</t>
        </is>
      </c>
      <c r="G507" s="88" t="inlineStr">
        <is>
          <t>-</t>
        </is>
      </c>
      <c r="H507" s="88" t="inlineStr">
        <is>
          <t>-</t>
        </is>
      </c>
      <c r="I507" s="425" t="inlineStr">
        <is>
          <t>Vacant</t>
        </is>
      </c>
      <c r="J507" s="499" t="n"/>
      <c r="K507" s="425" t="inlineStr">
        <is>
          <t>-</t>
        </is>
      </c>
      <c r="L507" s="86" t="inlineStr">
        <is>
          <t>-</t>
        </is>
      </c>
      <c r="N507" s="1" t="n"/>
      <c r="O507" s="1" t="n"/>
      <c r="P507" s="1" t="n"/>
      <c r="Q507" s="1" t="n"/>
      <c r="R507" s="1" t="n"/>
      <c r="S507" s="1" t="n"/>
      <c r="T507" s="1" t="n"/>
      <c r="U507" s="1" t="n"/>
      <c r="V507" s="1" t="n"/>
      <c r="W507" s="1" t="n"/>
      <c r="X507" s="1" t="n"/>
      <c r="Y507" s="1" t="n"/>
      <c r="Z507" s="1" t="n"/>
      <c r="AA507" s="1" t="n"/>
      <c r="AB507" s="1" t="n"/>
      <c r="AC507" s="1" t="n"/>
      <c r="AD507" s="1" t="n"/>
      <c r="AE507" s="1" t="n"/>
      <c r="AF507" s="1" t="n"/>
      <c r="AG507" s="1" t="n"/>
      <c r="AH507" s="1" t="n"/>
      <c r="AI507" s="1" t="n"/>
      <c r="AJ507" s="1" t="n"/>
    </row>
    <row r="508" ht="15" customHeight="1">
      <c r="A508" s="429" t="n"/>
      <c r="B508" s="429" t="n"/>
      <c r="C508" s="429" t="n"/>
      <c r="D508" s="429" t="n"/>
      <c r="E508" s="87" t="n"/>
      <c r="F508" s="19" t="inlineStr">
        <is>
          <t>Security Services</t>
        </is>
      </c>
      <c r="G508" s="88" t="inlineStr">
        <is>
          <t>-</t>
        </is>
      </c>
      <c r="H508" s="88" t="inlineStr">
        <is>
          <t>-</t>
        </is>
      </c>
      <c r="I508" s="425" t="inlineStr">
        <is>
          <t>Vacant</t>
        </is>
      </c>
      <c r="J508" s="499" t="n"/>
      <c r="K508" s="425" t="inlineStr">
        <is>
          <t>-</t>
        </is>
      </c>
      <c r="L508" s="86" t="inlineStr">
        <is>
          <t>-</t>
        </is>
      </c>
      <c r="N508" s="1" t="n"/>
      <c r="O508" s="1" t="n"/>
      <c r="P508" s="1" t="n"/>
      <c r="Q508" s="1" t="n"/>
      <c r="R508" s="1" t="n"/>
      <c r="S508" s="1" t="n"/>
      <c r="T508" s="1" t="n"/>
      <c r="U508" s="1" t="n"/>
      <c r="V508" s="1" t="n"/>
      <c r="W508" s="1" t="n"/>
      <c r="X508" s="1" t="n"/>
      <c r="Y508" s="1" t="n"/>
      <c r="Z508" s="1" t="n"/>
      <c r="AA508" s="1" t="n"/>
      <c r="AB508" s="1" t="n"/>
      <c r="AC508" s="1" t="n"/>
      <c r="AD508" s="1" t="n"/>
      <c r="AE508" s="1" t="n"/>
      <c r="AF508" s="1" t="n"/>
      <c r="AG508" s="1" t="n"/>
      <c r="AH508" s="1" t="n"/>
      <c r="AI508" s="1" t="n"/>
      <c r="AJ508" s="1" t="n"/>
    </row>
    <row r="509" ht="15" customHeight="1">
      <c r="A509" s="429" t="n"/>
      <c r="B509" s="429" t="n"/>
      <c r="C509" s="429" t="n"/>
      <c r="D509" s="429" t="n"/>
      <c r="E509" s="87" t="n"/>
      <c r="F509" s="19" t="inlineStr">
        <is>
          <t>Security Services</t>
        </is>
      </c>
      <c r="G509" s="88" t="inlineStr">
        <is>
          <t>-</t>
        </is>
      </c>
      <c r="H509" s="88" t="inlineStr">
        <is>
          <t>-</t>
        </is>
      </c>
      <c r="I509" s="425" t="inlineStr">
        <is>
          <t>Vacant</t>
        </is>
      </c>
      <c r="J509" s="499" t="n"/>
      <c r="K509" s="425" t="inlineStr">
        <is>
          <t>-</t>
        </is>
      </c>
      <c r="L509" s="86" t="inlineStr">
        <is>
          <t>-</t>
        </is>
      </c>
      <c r="N509" s="1" t="n"/>
      <c r="O509" s="1" t="n"/>
      <c r="P509" s="1" t="n"/>
      <c r="Q509" s="1" t="n"/>
      <c r="R509" s="1" t="n"/>
      <c r="S509" s="1" t="n"/>
      <c r="T509" s="1" t="n"/>
      <c r="U509" s="1" t="n"/>
      <c r="V509" s="1" t="n"/>
      <c r="W509" s="1" t="n"/>
      <c r="X509" s="1" t="n"/>
      <c r="Y509" s="1" t="n"/>
      <c r="Z509" s="1" t="n"/>
      <c r="AA509" s="1" t="n"/>
      <c r="AB509" s="1" t="n"/>
      <c r="AC509" s="1" t="n"/>
      <c r="AD509" s="1" t="n"/>
      <c r="AE509" s="1" t="n"/>
      <c r="AF509" s="1" t="n"/>
      <c r="AG509" s="1" t="n"/>
      <c r="AH509" s="1" t="n"/>
      <c r="AI509" s="1" t="n"/>
      <c r="AJ509" s="1" t="n"/>
    </row>
    <row r="510" ht="15" customHeight="1">
      <c r="A510" s="429" t="n"/>
      <c r="B510" s="429" t="n"/>
      <c r="C510" s="429" t="n"/>
      <c r="D510" s="429" t="n"/>
      <c r="E510" s="87" t="n"/>
      <c r="F510" s="19" t="inlineStr">
        <is>
          <t>Security Services</t>
        </is>
      </c>
      <c r="G510" s="88" t="inlineStr">
        <is>
          <t>-</t>
        </is>
      </c>
      <c r="H510" s="88" t="inlineStr">
        <is>
          <t>-</t>
        </is>
      </c>
      <c r="I510" s="425" t="inlineStr">
        <is>
          <t>Vacant</t>
        </is>
      </c>
      <c r="J510" s="499" t="n"/>
      <c r="K510" s="425" t="inlineStr">
        <is>
          <t>-</t>
        </is>
      </c>
      <c r="L510" s="86" t="inlineStr">
        <is>
          <t>-</t>
        </is>
      </c>
      <c r="N510" s="1" t="n"/>
      <c r="O510" s="1" t="n"/>
      <c r="P510" s="1" t="n"/>
      <c r="Q510" s="1" t="n"/>
      <c r="R510" s="1" t="n"/>
      <c r="S510" s="1" t="n"/>
      <c r="T510" s="1" t="n"/>
      <c r="U510" s="1" t="n"/>
      <c r="V510" s="1" t="n"/>
      <c r="W510" s="1" t="n"/>
      <c r="X510" s="1" t="n"/>
      <c r="Y510" s="1" t="n"/>
      <c r="Z510" s="1" t="n"/>
      <c r="AA510" s="1" t="n"/>
      <c r="AB510" s="1" t="n"/>
      <c r="AC510" s="1" t="n"/>
      <c r="AD510" s="1" t="n"/>
      <c r="AE510" s="1" t="n"/>
      <c r="AF510" s="1" t="n"/>
      <c r="AG510" s="1" t="n"/>
      <c r="AH510" s="1" t="n"/>
      <c r="AI510" s="1" t="n"/>
      <c r="AJ510" s="1" t="n"/>
    </row>
    <row r="511" ht="15" customHeight="1">
      <c r="A511" s="429" t="n"/>
      <c r="B511" s="429" t="n"/>
      <c r="C511" s="429" t="n"/>
      <c r="D511" s="429" t="n"/>
      <c r="E511" s="87" t="n"/>
      <c r="F511" s="19" t="inlineStr">
        <is>
          <t>Security Services</t>
        </is>
      </c>
      <c r="G511" s="88" t="inlineStr">
        <is>
          <t>-</t>
        </is>
      </c>
      <c r="H511" s="88" t="inlineStr">
        <is>
          <t>-</t>
        </is>
      </c>
      <c r="I511" s="425" t="inlineStr">
        <is>
          <t>Vacant</t>
        </is>
      </c>
      <c r="J511" s="499" t="n"/>
      <c r="K511" s="425" t="inlineStr">
        <is>
          <t>-</t>
        </is>
      </c>
      <c r="L511" s="86" t="inlineStr">
        <is>
          <t>-</t>
        </is>
      </c>
      <c r="N511" s="1" t="n"/>
      <c r="O511" s="1" t="n"/>
      <c r="P511" s="1" t="n"/>
      <c r="Q511" s="1" t="n"/>
      <c r="R511" s="1" t="n"/>
      <c r="S511" s="1" t="n"/>
      <c r="T511" s="1" t="n"/>
      <c r="U511" s="1" t="n"/>
      <c r="V511" s="1" t="n"/>
      <c r="W511" s="1" t="n"/>
      <c r="X511" s="1" t="n"/>
      <c r="Y511" s="1" t="n"/>
      <c r="Z511" s="1" t="n"/>
      <c r="AA511" s="1" t="n"/>
      <c r="AB511" s="1" t="n"/>
      <c r="AC511" s="1" t="n"/>
      <c r="AD511" s="1" t="n"/>
      <c r="AE511" s="1" t="n"/>
      <c r="AF511" s="1" t="n"/>
      <c r="AG511" s="1" t="n"/>
      <c r="AH511" s="1" t="n"/>
      <c r="AI511" s="1" t="n"/>
      <c r="AJ511" s="1" t="n"/>
    </row>
    <row r="512" ht="15" customHeight="1">
      <c r="A512" s="429" t="n"/>
      <c r="B512" s="429" t="n"/>
      <c r="C512" s="429" t="n"/>
      <c r="D512" s="429" t="n"/>
      <c r="E512" s="87" t="n"/>
      <c r="F512" s="19" t="inlineStr">
        <is>
          <t>Security Services</t>
        </is>
      </c>
      <c r="G512" s="88" t="inlineStr">
        <is>
          <t>-</t>
        </is>
      </c>
      <c r="H512" s="88" t="inlineStr">
        <is>
          <t>-</t>
        </is>
      </c>
      <c r="I512" s="425" t="inlineStr">
        <is>
          <t>Vacant</t>
        </is>
      </c>
      <c r="J512" s="499" t="n"/>
      <c r="K512" s="425" t="inlineStr">
        <is>
          <t>-</t>
        </is>
      </c>
      <c r="L512" s="86" t="inlineStr">
        <is>
          <t>-</t>
        </is>
      </c>
      <c r="N512" s="1" t="n"/>
      <c r="O512" s="1" t="n"/>
      <c r="P512" s="1" t="n"/>
      <c r="Q512" s="1" t="n"/>
      <c r="R512" s="1" t="n"/>
      <c r="S512" s="1" t="n"/>
      <c r="T512" s="1" t="n"/>
      <c r="U512" s="1" t="n"/>
      <c r="V512" s="1" t="n"/>
      <c r="W512" s="1" t="n"/>
      <c r="X512" s="1" t="n"/>
      <c r="Y512" s="1" t="n"/>
      <c r="Z512" s="1" t="n"/>
      <c r="AA512" s="1" t="n"/>
      <c r="AB512" s="1" t="n"/>
      <c r="AC512" s="1" t="n"/>
      <c r="AD512" s="1" t="n"/>
      <c r="AE512" s="1" t="n"/>
      <c r="AF512" s="1" t="n"/>
      <c r="AG512" s="1" t="n"/>
      <c r="AH512" s="1" t="n"/>
      <c r="AI512" s="1" t="n"/>
      <c r="AJ512" s="1" t="n"/>
    </row>
    <row r="513" ht="15" customHeight="1">
      <c r="A513" s="431" t="n"/>
      <c r="B513" s="431" t="n"/>
      <c r="C513" s="431" t="n"/>
      <c r="D513" s="431" t="n"/>
      <c r="E513" s="87" t="n"/>
      <c r="F513" s="19" t="inlineStr">
        <is>
          <t>Security Services</t>
        </is>
      </c>
      <c r="G513" s="88" t="inlineStr">
        <is>
          <t>-</t>
        </is>
      </c>
      <c r="H513" s="88" t="inlineStr">
        <is>
          <t>-</t>
        </is>
      </c>
      <c r="I513" s="425" t="inlineStr">
        <is>
          <t>Vacant</t>
        </is>
      </c>
      <c r="J513" s="499" t="n"/>
      <c r="K513" s="425" t="inlineStr">
        <is>
          <t>-</t>
        </is>
      </c>
      <c r="L513" s="86" t="inlineStr">
        <is>
          <t>-</t>
        </is>
      </c>
      <c r="N513" s="1" t="n"/>
      <c r="O513" s="1" t="n"/>
      <c r="P513" s="1" t="n"/>
      <c r="Q513" s="1" t="n"/>
      <c r="R513" s="1" t="n"/>
      <c r="S513" s="1" t="n"/>
      <c r="T513" s="1" t="n"/>
      <c r="U513" s="1" t="n"/>
      <c r="V513" s="1" t="n"/>
      <c r="W513" s="1" t="n"/>
      <c r="X513" s="1" t="n"/>
      <c r="Y513" s="1" t="n"/>
      <c r="Z513" s="1" t="n"/>
      <c r="AA513" s="1" t="n"/>
      <c r="AB513" s="1" t="n"/>
      <c r="AC513" s="1" t="n"/>
      <c r="AD513" s="1" t="n"/>
      <c r="AE513" s="1" t="n"/>
      <c r="AF513" s="1" t="n"/>
      <c r="AG513" s="1" t="n"/>
      <c r="AH513" s="1" t="n"/>
      <c r="AI513" s="1" t="n"/>
      <c r="AJ513" s="1" t="n"/>
    </row>
    <row r="514" ht="26.25" customHeight="1">
      <c r="A514" s="35" t="inlineStr">
        <is>
          <t>Total Team 
Security Services</t>
        </is>
      </c>
      <c r="B514" s="36" t="inlineStr">
        <is>
          <t>Contractual Requirement</t>
        </is>
      </c>
      <c r="C514" s="36" t="inlineStr">
        <is>
          <t>Approved</t>
        </is>
      </c>
      <c r="D514" s="36" t="inlineStr">
        <is>
          <t>Vacant Position</t>
        </is>
      </c>
      <c r="E514" s="37" t="inlineStr">
        <is>
          <t>Rejected</t>
        </is>
      </c>
      <c r="F514" s="38" t="inlineStr">
        <is>
          <t xml:space="preserve">Additional </t>
        </is>
      </c>
      <c r="G514" s="38" t="inlineStr">
        <is>
          <t>ID</t>
        </is>
      </c>
      <c r="H514" s="38" t="inlineStr">
        <is>
          <t>Iqama</t>
        </is>
      </c>
      <c r="I514" s="58" t="inlineStr">
        <is>
          <t>Status</t>
        </is>
      </c>
      <c r="J514" s="500" t="n"/>
      <c r="K514" s="40" t="n"/>
      <c r="L514" s="41" t="inlineStr">
        <is>
          <t>Remark/Notes</t>
        </is>
      </c>
      <c r="N514" s="1" t="n"/>
      <c r="O514" s="1" t="n"/>
      <c r="P514" s="1" t="n"/>
      <c r="Q514" s="1" t="n"/>
      <c r="R514" s="1" t="n"/>
      <c r="S514" s="1" t="n"/>
      <c r="T514" s="1" t="n"/>
      <c r="U514" s="1" t="n"/>
      <c r="V514" s="1" t="n"/>
      <c r="W514" s="1" t="n"/>
      <c r="X514" s="1" t="n"/>
      <c r="Y514" s="1" t="n"/>
      <c r="Z514" s="1" t="n"/>
      <c r="AA514" s="1" t="n"/>
      <c r="AB514" s="1" t="n"/>
      <c r="AC514" s="1" t="n"/>
      <c r="AD514" s="1" t="n"/>
      <c r="AE514" s="1" t="n"/>
      <c r="AF514" s="1" t="n"/>
      <c r="AG514" s="1" t="n"/>
      <c r="AH514" s="1" t="n"/>
      <c r="AI514" s="1" t="n"/>
      <c r="AJ514" s="1" t="n"/>
    </row>
    <row r="515" ht="15" customHeight="1">
      <c r="A515" s="36">
        <f>COUNTIF(E429:E513,"&lt;&gt;")</f>
        <v/>
      </c>
      <c r="B515" s="36">
        <f>SUM(B429:B513)</f>
        <v/>
      </c>
      <c r="C515" s="36">
        <f>COUNTIF(I429:I513,"Approved")</f>
        <v/>
      </c>
      <c r="D515" s="36">
        <f>COUNTIF(I429:I513,"Vacant")</f>
        <v/>
      </c>
      <c r="E515" s="41">
        <f>COUNTIF(L429:L513,"Rejected")</f>
        <v/>
      </c>
      <c r="F515" s="38">
        <f>COUNTIF(I429:I513,"Additional")</f>
        <v/>
      </c>
      <c r="G515" s="38">
        <f>COUNTIF(G429:G513,"-")</f>
        <v/>
      </c>
      <c r="H515" s="38">
        <f>COUNTIF(H429:H513,"-")</f>
        <v/>
      </c>
      <c r="I515" s="42" t="n"/>
      <c r="J515" s="501" t="n"/>
      <c r="K515" s="43" t="n"/>
      <c r="L515" s="42" t="n"/>
      <c r="N515" s="1" t="n"/>
      <c r="O515" s="1" t="n"/>
      <c r="P515" s="1" t="n"/>
      <c r="Q515" s="1" t="n"/>
      <c r="R515" s="1" t="n"/>
      <c r="S515" s="1" t="n"/>
      <c r="T515" s="1" t="n"/>
      <c r="U515" s="1" t="n"/>
      <c r="V515" s="1" t="n"/>
      <c r="W515" s="1" t="n"/>
      <c r="X515" s="1" t="n"/>
      <c r="Y515" s="1" t="n"/>
      <c r="Z515" s="1" t="n"/>
      <c r="AA515" s="1" t="n"/>
      <c r="AB515" s="1" t="n"/>
      <c r="AC515" s="1" t="n"/>
      <c r="AD515" s="1" t="n"/>
      <c r="AE515" s="1" t="n"/>
      <c r="AF515" s="1" t="n"/>
      <c r="AG515" s="1" t="n"/>
      <c r="AH515" s="1" t="n"/>
      <c r="AI515" s="1" t="n"/>
      <c r="AJ515" s="1" t="n"/>
    </row>
    <row r="516" ht="2.25" customHeight="1">
      <c r="A516" s="89" t="n"/>
      <c r="B516" s="90" t="n"/>
      <c r="C516" s="90" t="n"/>
      <c r="D516" s="90" t="n"/>
      <c r="E516" s="1" t="n"/>
      <c r="I516" s="1" t="n"/>
      <c r="J516" s="493" t="n"/>
      <c r="K516" s="4" t="n"/>
      <c r="L516" s="1" t="n"/>
      <c r="N516" s="1" t="n"/>
      <c r="O516" s="1" t="n"/>
      <c r="P516" s="1" t="n"/>
      <c r="Q516" s="1" t="n"/>
      <c r="R516" s="1" t="n"/>
      <c r="S516" s="1" t="n"/>
      <c r="T516" s="1" t="n"/>
      <c r="U516" s="1" t="n"/>
      <c r="V516" s="1" t="n"/>
      <c r="W516" s="1" t="n"/>
      <c r="X516" s="1" t="n"/>
      <c r="Y516" s="1" t="n"/>
      <c r="Z516" s="1" t="n"/>
      <c r="AA516" s="1" t="n"/>
      <c r="AB516" s="1" t="n"/>
      <c r="AC516" s="1" t="n"/>
      <c r="AD516" s="1" t="n"/>
      <c r="AE516" s="1" t="n"/>
      <c r="AF516" s="1" t="n"/>
      <c r="AG516" s="1" t="n"/>
      <c r="AH516" s="1" t="n"/>
      <c r="AI516" s="1" t="n"/>
      <c r="AJ516" s="1" t="n"/>
    </row>
    <row r="517" ht="26.25" customHeight="1">
      <c r="A517" s="8" t="inlineStr">
        <is>
          <t>Position</t>
        </is>
      </c>
      <c r="B517" s="9" t="inlineStr">
        <is>
          <t>Contractual Requirement</t>
        </is>
      </c>
      <c r="C517" s="9" t="inlineStr">
        <is>
          <t>On-Site Availability</t>
        </is>
      </c>
      <c r="D517" s="9" t="inlineStr">
        <is>
          <t>Vacant Position</t>
        </is>
      </c>
      <c r="E517" s="62" t="inlineStr">
        <is>
          <t>Emaployee Name</t>
        </is>
      </c>
      <c r="F517" s="11" t="inlineStr">
        <is>
          <t>Decipline</t>
        </is>
      </c>
      <c r="G517" s="12" t="inlineStr">
        <is>
          <t>ID</t>
        </is>
      </c>
      <c r="H517" s="11" t="inlineStr">
        <is>
          <t>Iqama</t>
        </is>
      </c>
      <c r="I517" s="12" t="inlineStr">
        <is>
          <t>Status</t>
        </is>
      </c>
      <c r="J517" s="503" t="n"/>
      <c r="K517" s="49" t="n"/>
      <c r="L517" s="13" t="inlineStr">
        <is>
          <t>Remarks/Notes</t>
        </is>
      </c>
      <c r="N517" s="1" t="n"/>
      <c r="O517" s="1" t="n"/>
      <c r="P517" s="1" t="n"/>
      <c r="Q517" s="1" t="n"/>
      <c r="R517" s="1" t="n"/>
      <c r="S517" s="1" t="n"/>
      <c r="T517" s="1" t="n"/>
      <c r="U517" s="1" t="n"/>
      <c r="V517" s="1" t="n"/>
      <c r="W517" s="1" t="n"/>
      <c r="X517" s="1" t="n"/>
      <c r="Y517" s="1" t="n"/>
      <c r="Z517" s="1" t="n"/>
      <c r="AA517" s="1" t="n"/>
      <c r="AB517" s="1" t="n"/>
      <c r="AC517" s="1" t="n"/>
      <c r="AD517" s="1" t="n"/>
      <c r="AE517" s="1" t="n"/>
      <c r="AF517" s="1" t="n"/>
      <c r="AG517" s="1" t="n"/>
      <c r="AH517" s="1" t="n"/>
      <c r="AI517" s="1" t="n"/>
      <c r="AJ517" s="1" t="n"/>
    </row>
    <row r="518" ht="15" customHeight="1">
      <c r="A518" s="459" t="inlineStr">
        <is>
          <t>Cleaning Staff</t>
        </is>
      </c>
      <c r="B518" s="449" t="n">
        <v>2</v>
      </c>
      <c r="C518" s="449">
        <f>COUNTIF(E518:E519,"&lt;&gt;")</f>
        <v/>
      </c>
      <c r="D518" s="463">
        <f>C518-B518</f>
        <v/>
      </c>
      <c r="E518" s="32" t="inlineStr">
        <is>
          <t>Md Alal Uddin Abdul</t>
        </is>
      </c>
      <c r="F518" s="91" t="inlineStr">
        <is>
          <t>Medical Services</t>
        </is>
      </c>
      <c r="G518" s="64" t="n">
        <v>700832</v>
      </c>
      <c r="H518" s="64" t="n">
        <v>2509029860</v>
      </c>
      <c r="I518" s="425" t="inlineStr">
        <is>
          <t>Approved</t>
        </is>
      </c>
      <c r="J518" s="496" t="n">
        <v>46040</v>
      </c>
      <c r="K518" s="14" t="inlineStr">
        <is>
          <t>FMCO</t>
        </is>
      </c>
      <c r="L518" s="86" t="inlineStr">
        <is>
          <t>-</t>
        </is>
      </c>
      <c r="N518" s="1" t="n"/>
      <c r="O518" s="1" t="n"/>
      <c r="P518" s="1" t="n"/>
      <c r="Q518" s="1" t="n"/>
      <c r="R518" s="1" t="n"/>
      <c r="S518" s="1" t="n"/>
      <c r="T518" s="1" t="n"/>
      <c r="U518" s="1" t="n"/>
      <c r="V518" s="1" t="n"/>
      <c r="W518" s="1" t="n"/>
      <c r="X518" s="1" t="n"/>
      <c r="Y518" s="1" t="n"/>
      <c r="Z518" s="1" t="n"/>
      <c r="AA518" s="1" t="n"/>
      <c r="AB518" s="1" t="n"/>
      <c r="AC518" s="1" t="n"/>
      <c r="AD518" s="1" t="n"/>
      <c r="AE518" s="1" t="n"/>
      <c r="AF518" s="1" t="n"/>
      <c r="AG518" s="1" t="n"/>
      <c r="AH518" s="1" t="n"/>
      <c r="AI518" s="1" t="n"/>
      <c r="AJ518" s="1" t="n"/>
    </row>
    <row r="519" ht="15" customHeight="1">
      <c r="A519" s="431" t="n"/>
      <c r="B519" s="431" t="n"/>
      <c r="C519" s="431" t="n"/>
      <c r="D519" s="451" t="n"/>
      <c r="E519" s="32" t="inlineStr">
        <is>
          <t>Shahin Miah</t>
        </is>
      </c>
      <c r="F519" s="91" t="inlineStr">
        <is>
          <t>Medical Services</t>
        </is>
      </c>
      <c r="G519" s="64" t="n">
        <v>701104</v>
      </c>
      <c r="H519" s="64" t="n">
        <v>2499712327</v>
      </c>
      <c r="I519" s="425" t="inlineStr">
        <is>
          <t>Approved</t>
        </is>
      </c>
      <c r="J519" s="496" t="n">
        <v>46040</v>
      </c>
      <c r="K519" s="14" t="inlineStr">
        <is>
          <t>FMCO</t>
        </is>
      </c>
      <c r="L519" s="86" t="inlineStr">
        <is>
          <t>-</t>
        </is>
      </c>
      <c r="N519" s="1" t="n"/>
      <c r="O519" s="1" t="n"/>
      <c r="P519" s="1" t="n"/>
      <c r="Q519" s="1" t="n"/>
      <c r="R519" s="1" t="n"/>
      <c r="S519" s="1" t="n"/>
      <c r="T519" s="1" t="n"/>
      <c r="U519" s="1" t="n"/>
      <c r="V519" s="1" t="n"/>
      <c r="W519" s="1" t="n"/>
      <c r="X519" s="1" t="n"/>
      <c r="Y519" s="1" t="n"/>
      <c r="Z519" s="1" t="n"/>
      <c r="AA519" s="1" t="n"/>
      <c r="AB519" s="1" t="n"/>
      <c r="AC519" s="1" t="n"/>
      <c r="AD519" s="1" t="n"/>
      <c r="AE519" s="1" t="n"/>
      <c r="AF519" s="1" t="n"/>
      <c r="AG519" s="1" t="n"/>
      <c r="AH519" s="1" t="n"/>
      <c r="AI519" s="1" t="n"/>
      <c r="AJ519" s="1" t="n"/>
    </row>
    <row r="520" ht="26.25" customHeight="1">
      <c r="A520" s="35" t="inlineStr">
        <is>
          <t>Total Team 
Medical Services</t>
        </is>
      </c>
      <c r="B520" s="36" t="inlineStr">
        <is>
          <t>Contractual Requirement</t>
        </is>
      </c>
      <c r="C520" s="36" t="inlineStr">
        <is>
          <t>Approved</t>
        </is>
      </c>
      <c r="D520" s="36" t="inlineStr">
        <is>
          <t>Vacant Position</t>
        </is>
      </c>
      <c r="E520" s="92" t="inlineStr">
        <is>
          <t>Rejected</t>
        </is>
      </c>
      <c r="F520" s="38" t="inlineStr">
        <is>
          <t xml:space="preserve">Additional </t>
        </is>
      </c>
      <c r="G520" s="38" t="inlineStr">
        <is>
          <t>ID</t>
        </is>
      </c>
      <c r="H520" s="38" t="inlineStr">
        <is>
          <t>Iqama</t>
        </is>
      </c>
      <c r="I520" s="58" t="inlineStr">
        <is>
          <t>Status</t>
        </is>
      </c>
      <c r="J520" s="500" t="n"/>
      <c r="K520" s="40" t="n"/>
      <c r="L520" s="41" t="inlineStr">
        <is>
          <t>Remark/Notes</t>
        </is>
      </c>
      <c r="N520" s="1" t="n"/>
      <c r="O520" s="1" t="n"/>
      <c r="P520" s="1" t="n"/>
      <c r="Q520" s="1" t="n"/>
      <c r="R520" s="1" t="n"/>
      <c r="S520" s="1" t="n"/>
      <c r="T520" s="1" t="n"/>
      <c r="U520" s="1" t="n"/>
      <c r="V520" s="1" t="n"/>
      <c r="W520" s="1" t="n"/>
      <c r="X520" s="1" t="n"/>
      <c r="Y520" s="1" t="n"/>
      <c r="Z520" s="1" t="n"/>
      <c r="AA520" s="1" t="n"/>
      <c r="AB520" s="1" t="n"/>
      <c r="AC520" s="1" t="n"/>
      <c r="AD520" s="1" t="n"/>
      <c r="AE520" s="1" t="n"/>
      <c r="AF520" s="1" t="n"/>
      <c r="AG520" s="1" t="n"/>
      <c r="AH520" s="1" t="n"/>
      <c r="AI520" s="1" t="n"/>
      <c r="AJ520" s="1" t="n"/>
    </row>
    <row r="521" ht="15" customHeight="1">
      <c r="A521" s="93">
        <f>COUNTIF(E518:E519,"&lt;&gt;")</f>
        <v/>
      </c>
      <c r="B521" s="93">
        <f>SUM(B518:B519)</f>
        <v/>
      </c>
      <c r="C521" s="93">
        <f>COUNTIF(I518:I519,"Approved")</f>
        <v/>
      </c>
      <c r="D521" s="93">
        <f>COUNTIF(I518:I519,"Vacant")</f>
        <v/>
      </c>
      <c r="E521" s="94">
        <f>COUNTIF(I518:I519,"Rejected")</f>
        <v/>
      </c>
      <c r="F521" s="95">
        <f>COUNTIF(I518:I519,"Additional")</f>
        <v/>
      </c>
      <c r="G521" s="95">
        <f>COUNTIF(G518:G519,"-")</f>
        <v/>
      </c>
      <c r="H521" s="95">
        <f>COUNTIF(H518:H519,"-")</f>
        <v/>
      </c>
      <c r="I521" s="96" t="n"/>
      <c r="J521" s="509" t="n"/>
      <c r="K521" s="97" t="n"/>
      <c r="L521" s="96" t="n"/>
      <c r="N521" s="1" t="n"/>
      <c r="O521" s="1" t="n"/>
      <c r="P521" s="1" t="n"/>
      <c r="Q521" s="1" t="n"/>
      <c r="R521" s="1" t="n"/>
      <c r="S521" s="1" t="n"/>
      <c r="T521" s="1" t="n"/>
      <c r="U521" s="1" t="n"/>
      <c r="V521" s="1" t="n"/>
      <c r="W521" s="1" t="n"/>
      <c r="X521" s="1" t="n"/>
      <c r="Y521" s="1" t="n"/>
      <c r="Z521" s="1" t="n"/>
      <c r="AA521" s="1" t="n"/>
      <c r="AB521" s="1" t="n"/>
      <c r="AC521" s="1" t="n"/>
      <c r="AD521" s="1" t="n"/>
      <c r="AE521" s="1" t="n"/>
      <c r="AF521" s="1" t="n"/>
      <c r="AG521" s="1" t="n"/>
      <c r="AH521" s="1" t="n"/>
      <c r="AI521" s="1" t="n"/>
      <c r="AJ521" s="1" t="n"/>
    </row>
    <row r="522" ht="2.25" customHeight="1">
      <c r="A522" s="98" t="n"/>
      <c r="B522" s="99" t="n"/>
      <c r="C522" s="99" t="n"/>
      <c r="D522" s="100" t="n"/>
      <c r="E522" s="101" t="n"/>
      <c r="F522" s="102" t="n"/>
      <c r="G522" s="102" t="n"/>
      <c r="H522" s="102" t="n"/>
      <c r="I522" s="99" t="n"/>
      <c r="J522" s="510" t="n"/>
      <c r="K522" s="103" t="n"/>
      <c r="L522" s="104" t="n"/>
      <c r="N522" s="1" t="n"/>
      <c r="O522" s="1" t="n"/>
      <c r="P522" s="1" t="n"/>
      <c r="Q522" s="1" t="n"/>
      <c r="R522" s="1" t="n"/>
      <c r="S522" s="1" t="n"/>
      <c r="T522" s="1" t="n"/>
      <c r="U522" s="1" t="n"/>
      <c r="V522" s="1" t="n"/>
      <c r="W522" s="1" t="n"/>
      <c r="X522" s="1" t="n"/>
      <c r="Y522" s="1" t="n"/>
      <c r="Z522" s="1" t="n"/>
      <c r="AA522" s="1" t="n"/>
      <c r="AB522" s="1" t="n"/>
      <c r="AC522" s="1" t="n"/>
      <c r="AD522" s="1" t="n"/>
      <c r="AE522" s="1" t="n"/>
      <c r="AF522" s="1" t="n"/>
      <c r="AG522" s="1" t="n"/>
      <c r="AH522" s="1" t="n"/>
      <c r="AI522" s="1" t="n"/>
      <c r="AJ522" s="1" t="n"/>
    </row>
    <row r="523" ht="26.25" customHeight="1">
      <c r="A523" s="105" t="inlineStr">
        <is>
          <t>Position</t>
        </is>
      </c>
      <c r="B523" s="106" t="inlineStr">
        <is>
          <t>Contractual Requirement</t>
        </is>
      </c>
      <c r="C523" s="106" t="inlineStr">
        <is>
          <t>On-Site Availability</t>
        </is>
      </c>
      <c r="D523" s="106" t="inlineStr">
        <is>
          <t>Vacant Position</t>
        </is>
      </c>
      <c r="E523" s="107" t="inlineStr">
        <is>
          <t>Emaployee Name</t>
        </is>
      </c>
      <c r="F523" s="108" t="inlineStr">
        <is>
          <t>Decipline</t>
        </is>
      </c>
      <c r="G523" s="109" t="inlineStr">
        <is>
          <t>ID</t>
        </is>
      </c>
      <c r="H523" s="108" t="inlineStr">
        <is>
          <t>Iqama</t>
        </is>
      </c>
      <c r="I523" s="109" t="inlineStr">
        <is>
          <t>Status</t>
        </is>
      </c>
      <c r="J523" s="511" t="inlineStr">
        <is>
          <t xml:space="preserve"> Deployement Date</t>
        </is>
      </c>
      <c r="K523" s="110" t="inlineStr">
        <is>
          <t>Sponsor</t>
        </is>
      </c>
      <c r="L523" s="110" t="inlineStr">
        <is>
          <t>Remarks/Notes</t>
        </is>
      </c>
      <c r="N523" s="1" t="n"/>
      <c r="O523" s="1" t="n"/>
      <c r="P523" s="1" t="n"/>
      <c r="Q523" s="1" t="n"/>
      <c r="R523" s="1" t="n"/>
      <c r="S523" s="1" t="n"/>
      <c r="T523" s="1" t="n"/>
      <c r="U523" s="1" t="n"/>
      <c r="V523" s="1" t="n"/>
      <c r="W523" s="1" t="n"/>
      <c r="X523" s="1" t="n"/>
      <c r="Y523" s="1" t="n"/>
      <c r="Z523" s="1" t="n"/>
      <c r="AA523" s="1" t="n"/>
      <c r="AB523" s="1" t="n"/>
      <c r="AC523" s="1" t="n"/>
      <c r="AD523" s="1" t="n"/>
      <c r="AE523" s="1" t="n"/>
      <c r="AF523" s="1" t="n"/>
      <c r="AG523" s="1" t="n"/>
      <c r="AH523" s="1" t="n"/>
      <c r="AI523" s="1" t="n"/>
      <c r="AJ523" s="1" t="n"/>
    </row>
    <row r="524" ht="15" customHeight="1">
      <c r="A524" s="424" t="inlineStr">
        <is>
          <t>On-Site Operation Manager</t>
        </is>
      </c>
      <c r="B524" s="425" t="n">
        <v>0</v>
      </c>
      <c r="C524" s="425">
        <f>COUNTIF(E524,"&lt;&gt;")</f>
        <v/>
      </c>
      <c r="D524" s="438" t="n">
        <v>0</v>
      </c>
      <c r="E524" s="22" t="inlineStr">
        <is>
          <t>Ayaz Ahsan Mohd Shamim</t>
        </is>
      </c>
      <c r="F524" s="26" t="inlineStr">
        <is>
          <t>Site Management</t>
        </is>
      </c>
      <c r="G524" s="454" t="inlineStr">
        <is>
          <t>-</t>
        </is>
      </c>
      <c r="H524" s="19" t="n">
        <v>2549844161</v>
      </c>
      <c r="I524" s="425" t="inlineStr">
        <is>
          <t>Additional</t>
        </is>
      </c>
      <c r="J524" s="496" t="n">
        <v>46174</v>
      </c>
      <c r="K524" s="28" t="inlineStr">
        <is>
          <t>FMCO</t>
        </is>
      </c>
      <c r="L524" s="20" t="inlineStr">
        <is>
          <t>-</t>
        </is>
      </c>
      <c r="N524" s="1" t="n"/>
      <c r="O524" s="1" t="n"/>
      <c r="P524" s="1" t="n"/>
      <c r="Q524" s="1" t="n"/>
      <c r="R524" s="1" t="n"/>
      <c r="S524" s="1" t="n"/>
      <c r="T524" s="1" t="n"/>
      <c r="U524" s="1" t="n"/>
      <c r="V524" s="1" t="n"/>
      <c r="W524" s="1" t="n"/>
      <c r="X524" s="1" t="n"/>
      <c r="Y524" s="1" t="n"/>
      <c r="Z524" s="1" t="n"/>
      <c r="AA524" s="1" t="n"/>
      <c r="AB524" s="1" t="n"/>
      <c r="AC524" s="1" t="n"/>
      <c r="AD524" s="1" t="n"/>
      <c r="AE524" s="1" t="n"/>
      <c r="AF524" s="1" t="n"/>
      <c r="AG524" s="1" t="n"/>
      <c r="AH524" s="1" t="n"/>
      <c r="AI524" s="1" t="n"/>
      <c r="AJ524" s="1" t="n"/>
    </row>
    <row r="525" ht="15" customHeight="1">
      <c r="A525" s="424" t="inlineStr">
        <is>
          <t>Waste Manger</t>
        </is>
      </c>
      <c r="B525" s="425" t="n">
        <v>0</v>
      </c>
      <c r="C525" s="425" t="n">
        <v>1</v>
      </c>
      <c r="D525" s="438" t="n">
        <v>0</v>
      </c>
      <c r="E525" s="22" t="inlineStr">
        <is>
          <t>FAHAD HUSSAIN RAJA</t>
        </is>
      </c>
      <c r="F525" s="26" t="inlineStr">
        <is>
          <t>Site Management</t>
        </is>
      </c>
      <c r="G525" s="111" t="inlineStr">
        <is>
          <t>-</t>
        </is>
      </c>
      <c r="H525" s="19" t="n">
        <v>2577914100</v>
      </c>
      <c r="I525" s="425" t="inlineStr">
        <is>
          <t>Additional</t>
        </is>
      </c>
      <c r="J525" s="496" t="n">
        <v>46236</v>
      </c>
      <c r="K525" s="28" t="inlineStr">
        <is>
          <t>-</t>
        </is>
      </c>
      <c r="L525" s="20" t="inlineStr">
        <is>
          <t>-</t>
        </is>
      </c>
      <c r="N525" s="1" t="n"/>
      <c r="O525" s="1" t="n"/>
      <c r="P525" s="1" t="n"/>
      <c r="Q525" s="1" t="n"/>
      <c r="R525" s="1" t="n"/>
      <c r="S525" s="1" t="n"/>
      <c r="T525" s="1" t="n"/>
      <c r="U525" s="1" t="n"/>
      <c r="V525" s="1" t="n"/>
      <c r="W525" s="1" t="n"/>
      <c r="X525" s="1" t="n"/>
      <c r="Y525" s="1" t="n"/>
      <c r="Z525" s="1" t="n"/>
      <c r="AA525" s="1" t="n"/>
      <c r="AB525" s="1" t="n"/>
      <c r="AC525" s="1" t="n"/>
      <c r="AD525" s="1" t="n"/>
      <c r="AE525" s="1" t="n"/>
      <c r="AF525" s="1" t="n"/>
      <c r="AG525" s="1" t="n"/>
      <c r="AH525" s="1" t="n"/>
      <c r="AI525" s="1" t="n"/>
      <c r="AJ525" s="1" t="n"/>
    </row>
    <row r="526" ht="15" customHeight="1">
      <c r="A526" s="424" t="inlineStr">
        <is>
          <t>Manager Operation</t>
        </is>
      </c>
      <c r="B526" s="425" t="n">
        <v>0</v>
      </c>
      <c r="C526" s="425">
        <f>COUNTIF(E526,"&lt;&gt;")</f>
        <v/>
      </c>
      <c r="D526" s="438" t="n">
        <v>0</v>
      </c>
      <c r="E526" s="22" t="inlineStr">
        <is>
          <t>Mohammed Ghormallah Ahmed Alghamdi</t>
        </is>
      </c>
      <c r="F526" s="26" t="inlineStr">
        <is>
          <t>Security Service</t>
        </is>
      </c>
      <c r="G526" s="27" t="n">
        <v>700214</v>
      </c>
      <c r="H526" s="19" t="n">
        <v>1035043734</v>
      </c>
      <c r="I526" s="425" t="inlineStr">
        <is>
          <t>Additional</t>
        </is>
      </c>
      <c r="J526" s="496" t="n">
        <v>45919</v>
      </c>
      <c r="K526" s="28" t="inlineStr">
        <is>
          <t>FMCO</t>
        </is>
      </c>
      <c r="L526" s="20" t="inlineStr">
        <is>
          <t>-</t>
        </is>
      </c>
      <c r="N526" s="1" t="n"/>
      <c r="O526" s="1" t="n"/>
      <c r="P526" s="1" t="n"/>
      <c r="Q526" s="1" t="n"/>
      <c r="R526" s="1" t="n"/>
      <c r="S526" s="1" t="n"/>
      <c r="T526" s="1" t="n"/>
      <c r="U526" s="1" t="n"/>
      <c r="V526" s="1" t="n"/>
      <c r="W526" s="1" t="n"/>
      <c r="X526" s="1" t="n"/>
      <c r="Y526" s="1" t="n"/>
      <c r="Z526" s="1" t="n"/>
      <c r="AA526" s="1" t="n"/>
      <c r="AB526" s="1" t="n"/>
      <c r="AC526" s="1" t="n"/>
      <c r="AD526" s="1" t="n"/>
      <c r="AE526" s="1" t="n"/>
      <c r="AF526" s="1" t="n"/>
      <c r="AG526" s="1" t="n"/>
      <c r="AH526" s="1" t="n"/>
      <c r="AI526" s="1" t="n"/>
      <c r="AJ526" s="1" t="n"/>
    </row>
    <row r="527" ht="15" customHeight="1">
      <c r="A527" s="424" t="inlineStr">
        <is>
          <t>Security Operations Manager</t>
        </is>
      </c>
      <c r="B527" s="425" t="n">
        <v>0</v>
      </c>
      <c r="C527" s="425">
        <f>COUNTIF(E527,"&lt;&gt;")</f>
        <v/>
      </c>
      <c r="D527" s="438" t="n">
        <v>0</v>
      </c>
      <c r="E527" s="22" t="inlineStr">
        <is>
          <t xml:space="preserve">Christopher Lashford </t>
        </is>
      </c>
      <c r="F527" s="26" t="inlineStr">
        <is>
          <t>Security Service</t>
        </is>
      </c>
      <c r="G527" s="27" t="inlineStr">
        <is>
          <t>-</t>
        </is>
      </c>
      <c r="H527" s="19" t="n">
        <v>2639140819</v>
      </c>
      <c r="I527" s="425" t="inlineStr">
        <is>
          <t>Additional</t>
        </is>
      </c>
      <c r="J527" s="496" t="n">
        <v>46174</v>
      </c>
      <c r="K527" s="28" t="inlineStr">
        <is>
          <t>FMCO</t>
        </is>
      </c>
      <c r="L527" s="20" t="inlineStr">
        <is>
          <t>-</t>
        </is>
      </c>
      <c r="N527" s="1" t="n"/>
      <c r="O527" s="1" t="n"/>
      <c r="P527" s="1" t="n"/>
      <c r="Q527" s="1" t="n"/>
      <c r="R527" s="1" t="n"/>
      <c r="S527" s="1" t="n"/>
      <c r="T527" s="1" t="n"/>
      <c r="U527" s="1" t="n"/>
      <c r="V527" s="1" t="n"/>
      <c r="W527" s="1" t="n"/>
      <c r="X527" s="1" t="n"/>
      <c r="Y527" s="1" t="n"/>
      <c r="Z527" s="1" t="n"/>
      <c r="AA527" s="1" t="n"/>
      <c r="AB527" s="1" t="n"/>
      <c r="AC527" s="1" t="n"/>
      <c r="AD527" s="1" t="n"/>
      <c r="AE527" s="1" t="n"/>
      <c r="AF527" s="1" t="n"/>
      <c r="AG527" s="1" t="n"/>
      <c r="AH527" s="1" t="n"/>
      <c r="AI527" s="1" t="n"/>
      <c r="AJ527" s="1" t="n"/>
    </row>
    <row r="528" ht="15" customHeight="1">
      <c r="A528" s="424" t="inlineStr">
        <is>
          <t>Senior QHSE Manager</t>
        </is>
      </c>
      <c r="B528" s="425" t="n">
        <v>0</v>
      </c>
      <c r="C528" s="425" t="n">
        <v>1</v>
      </c>
      <c r="D528" s="438" t="n">
        <v>0</v>
      </c>
      <c r="E528" s="22" t="inlineStr">
        <is>
          <t>Ahmed Ansari</t>
        </is>
      </c>
      <c r="F528" s="26" t="inlineStr">
        <is>
          <t>Health &amp; Saftey</t>
        </is>
      </c>
      <c r="G528" s="27" t="inlineStr">
        <is>
          <t>-</t>
        </is>
      </c>
      <c r="H528" s="19" t="n">
        <v>2539092755</v>
      </c>
      <c r="I528" s="425" t="inlineStr">
        <is>
          <t>Additional</t>
        </is>
      </c>
      <c r="J528" s="496" t="n">
        <v>46223</v>
      </c>
      <c r="K528" s="28" t="inlineStr">
        <is>
          <t>-</t>
        </is>
      </c>
      <c r="L528" s="20" t="inlineStr">
        <is>
          <t>-</t>
        </is>
      </c>
      <c r="N528" s="1" t="n"/>
      <c r="O528" s="1" t="n"/>
      <c r="P528" s="1" t="n"/>
      <c r="Q528" s="1" t="n"/>
      <c r="R528" s="1" t="n"/>
      <c r="S528" s="1" t="n"/>
      <c r="T528" s="1" t="n"/>
      <c r="U528" s="1" t="n"/>
      <c r="V528" s="1" t="n"/>
      <c r="W528" s="1" t="n"/>
      <c r="X528" s="1" t="n"/>
      <c r="Y528" s="1" t="n"/>
      <c r="Z528" s="1" t="n"/>
      <c r="AA528" s="1" t="n"/>
      <c r="AB528" s="1" t="n"/>
      <c r="AC528" s="1" t="n"/>
      <c r="AD528" s="1" t="n"/>
      <c r="AE528" s="1" t="n"/>
      <c r="AF528" s="1" t="n"/>
      <c r="AG528" s="1" t="n"/>
      <c r="AH528" s="1" t="n"/>
      <c r="AI528" s="1" t="n"/>
      <c r="AJ528" s="1" t="n"/>
    </row>
    <row r="529" ht="15" customHeight="1">
      <c r="A529" s="424" t="inlineStr">
        <is>
          <t>Purchaser</t>
        </is>
      </c>
      <c r="B529" s="425" t="n">
        <v>0</v>
      </c>
      <c r="C529" s="425">
        <f>COUNTIF(E529,"&lt;&gt;")</f>
        <v/>
      </c>
      <c r="D529" s="438" t="n">
        <v>0</v>
      </c>
      <c r="E529" s="22" t="inlineStr">
        <is>
          <t>Naseeruddin Mahmood Ahmad</t>
        </is>
      </c>
      <c r="F529" s="26" t="inlineStr">
        <is>
          <t>Site Management</t>
        </is>
      </c>
      <c r="G529" s="27" t="n">
        <v>700518</v>
      </c>
      <c r="H529" s="19" t="n">
        <v>2510865328</v>
      </c>
      <c r="I529" s="425" t="inlineStr">
        <is>
          <t>Additional</t>
        </is>
      </c>
      <c r="J529" s="496" t="n">
        <v>46054</v>
      </c>
      <c r="K529" s="28" t="inlineStr">
        <is>
          <t>FMCO</t>
        </is>
      </c>
      <c r="L529" s="20" t="inlineStr">
        <is>
          <t>-</t>
        </is>
      </c>
      <c r="N529" s="1" t="n"/>
      <c r="O529" s="1" t="n"/>
      <c r="P529" s="1" t="n"/>
      <c r="Q529" s="1" t="n"/>
      <c r="R529" s="1" t="n"/>
      <c r="S529" s="1" t="n"/>
      <c r="T529" s="1" t="n"/>
      <c r="U529" s="1" t="n"/>
      <c r="V529" s="1" t="n"/>
      <c r="W529" s="1" t="n"/>
      <c r="X529" s="1" t="n"/>
      <c r="Y529" s="1" t="n"/>
      <c r="Z529" s="1" t="n"/>
      <c r="AA529" s="1" t="n"/>
      <c r="AB529" s="1" t="n"/>
      <c r="AC529" s="1" t="n"/>
      <c r="AD529" s="1" t="n"/>
      <c r="AE529" s="1" t="n"/>
      <c r="AF529" s="1" t="n"/>
      <c r="AG529" s="1" t="n"/>
      <c r="AH529" s="1" t="n"/>
      <c r="AI529" s="1" t="n"/>
      <c r="AJ529" s="1" t="n"/>
    </row>
    <row r="530" ht="15" customHeight="1">
      <c r="A530" s="424" t="inlineStr">
        <is>
          <t>IVF Coordinator</t>
        </is>
      </c>
      <c r="B530" s="425" t="n">
        <v>0</v>
      </c>
      <c r="C530" s="425">
        <f>COUNTIF(E530,"&lt;&gt;")</f>
        <v/>
      </c>
      <c r="D530" s="438" t="n">
        <v>0</v>
      </c>
      <c r="E530" s="22" t="inlineStr">
        <is>
          <t>Umar Farooq Mehboob Quadri</t>
        </is>
      </c>
      <c r="F530" s="26" t="inlineStr">
        <is>
          <t>Site Management</t>
        </is>
      </c>
      <c r="G530" s="27" t="n">
        <v>700107</v>
      </c>
      <c r="H530" s="19" t="n">
        <v>2439317666</v>
      </c>
      <c r="I530" s="425" t="inlineStr">
        <is>
          <t>Additional</t>
        </is>
      </c>
      <c r="J530" s="496" t="n">
        <v>45971</v>
      </c>
      <c r="K530" s="28" t="inlineStr">
        <is>
          <t>FMCO</t>
        </is>
      </c>
      <c r="L530" s="20" t="inlineStr">
        <is>
          <t>-</t>
        </is>
      </c>
      <c r="N530" s="1" t="n"/>
      <c r="O530" s="1" t="n"/>
      <c r="P530" s="1" t="n"/>
      <c r="Q530" s="1" t="n"/>
      <c r="R530" s="1" t="n"/>
      <c r="S530" s="1" t="n"/>
      <c r="T530" s="1" t="n"/>
      <c r="U530" s="1" t="n"/>
      <c r="V530" s="1" t="n"/>
      <c r="W530" s="1" t="n"/>
      <c r="X530" s="1" t="n"/>
      <c r="Y530" s="1" t="n"/>
      <c r="Z530" s="1" t="n"/>
      <c r="AA530" s="1" t="n"/>
      <c r="AB530" s="1" t="n"/>
      <c r="AC530" s="1" t="n"/>
      <c r="AD530" s="1" t="n"/>
      <c r="AE530" s="1" t="n"/>
      <c r="AF530" s="1" t="n"/>
      <c r="AG530" s="1" t="n"/>
      <c r="AH530" s="1" t="n"/>
      <c r="AI530" s="1" t="n"/>
      <c r="AJ530" s="1" t="n"/>
    </row>
    <row r="531" ht="15" customHeight="1">
      <c r="A531" s="424" t="inlineStr">
        <is>
          <t>Fleet And Housing Coordinator</t>
        </is>
      </c>
      <c r="B531" s="425" t="n">
        <v>0</v>
      </c>
      <c r="C531" s="425">
        <f>COUNTIF(E531,"&lt;&gt;")</f>
        <v/>
      </c>
      <c r="D531" s="438" t="n">
        <v>0</v>
      </c>
      <c r="E531" s="22" t="inlineStr">
        <is>
          <t>Mohammad Khalid Abdul Aziz Mustafa</t>
        </is>
      </c>
      <c r="F531" s="19" t="inlineStr">
        <is>
          <t>Logistic Services</t>
        </is>
      </c>
      <c r="G531" s="27" t="n">
        <v>704250</v>
      </c>
      <c r="H531" s="19" t="n">
        <v>2010152870</v>
      </c>
      <c r="I531" s="425" t="inlineStr">
        <is>
          <t>Additional</t>
        </is>
      </c>
      <c r="J531" s="496" t="n">
        <v>46161</v>
      </c>
      <c r="K531" s="28" t="inlineStr">
        <is>
          <t>FMCO</t>
        </is>
      </c>
      <c r="L531" s="20" t="inlineStr">
        <is>
          <t>-</t>
        </is>
      </c>
      <c r="N531" s="1" t="n"/>
      <c r="O531" s="1" t="n"/>
      <c r="P531" s="1" t="n"/>
      <c r="Q531" s="1" t="n"/>
      <c r="R531" s="1" t="n"/>
      <c r="S531" s="1" t="n"/>
      <c r="T531" s="1" t="n"/>
      <c r="U531" s="1" t="n"/>
      <c r="V531" s="1" t="n"/>
      <c r="W531" s="1" t="n"/>
      <c r="X531" s="1" t="n"/>
      <c r="Y531" s="1" t="n"/>
      <c r="Z531" s="1" t="n"/>
      <c r="AA531" s="1" t="n"/>
      <c r="AB531" s="1" t="n"/>
      <c r="AC531" s="1" t="n"/>
      <c r="AD531" s="1" t="n"/>
      <c r="AE531" s="1" t="n"/>
      <c r="AF531" s="1" t="n"/>
      <c r="AG531" s="1" t="n"/>
      <c r="AH531" s="1" t="n"/>
      <c r="AI531" s="1" t="n"/>
      <c r="AJ531" s="1" t="n"/>
    </row>
    <row r="532" ht="15" customHeight="1">
      <c r="A532" s="424" t="inlineStr">
        <is>
          <t>Helpdesk/CAFM</t>
        </is>
      </c>
      <c r="B532" s="424" t="n"/>
      <c r="C532" s="460" t="n">
        <v>4</v>
      </c>
      <c r="D532" s="424" t="n"/>
      <c r="E532" s="22" t="inlineStr">
        <is>
          <t>Shoaib Shaik</t>
        </is>
      </c>
      <c r="F532" s="19" t="inlineStr">
        <is>
          <t>Helpdesk/CAFM</t>
        </is>
      </c>
      <c r="G532" s="27" t="inlineStr">
        <is>
          <t>EM-0003079</t>
        </is>
      </c>
      <c r="H532" s="19" t="n">
        <v>2620088258</v>
      </c>
      <c r="I532" s="425" t="inlineStr">
        <is>
          <t>Additional</t>
        </is>
      </c>
      <c r="J532" s="496" t="n">
        <v>46079</v>
      </c>
      <c r="K532" s="28" t="inlineStr">
        <is>
          <t>AL-FALAK VISA</t>
        </is>
      </c>
      <c r="L532" s="112" t="inlineStr">
        <is>
          <t>-</t>
        </is>
      </c>
      <c r="N532" s="1" t="n"/>
      <c r="O532" s="1" t="n"/>
      <c r="P532" s="1" t="n"/>
      <c r="Q532" s="1" t="n"/>
      <c r="R532" s="1" t="n"/>
      <c r="S532" s="1" t="n"/>
      <c r="T532" s="1" t="n"/>
      <c r="U532" s="1" t="n"/>
      <c r="V532" s="1" t="n"/>
      <c r="W532" s="1" t="n"/>
      <c r="X532" s="1" t="n"/>
      <c r="Y532" s="1" t="n"/>
      <c r="Z532" s="1" t="n"/>
      <c r="AA532" s="1" t="n"/>
      <c r="AB532" s="1" t="n"/>
      <c r="AC532" s="1" t="n"/>
      <c r="AD532" s="1" t="n"/>
      <c r="AE532" s="1" t="n"/>
      <c r="AF532" s="1" t="n"/>
      <c r="AG532" s="1" t="n"/>
      <c r="AH532" s="1" t="n"/>
      <c r="AI532" s="1" t="n"/>
      <c r="AJ532" s="1" t="n"/>
    </row>
    <row r="533" ht="15" customHeight="1">
      <c r="A533" s="433" t="n"/>
      <c r="B533" s="433" t="n"/>
      <c r="C533" s="433" t="n"/>
      <c r="D533" s="433" t="n"/>
      <c r="E533" s="32" t="inlineStr">
        <is>
          <t>Aljawharah Mohssen Al Qahtani</t>
        </is>
      </c>
      <c r="F533" s="19" t="inlineStr">
        <is>
          <t>Helpdesk/CAFM</t>
        </is>
      </c>
      <c r="G533" s="27" t="n">
        <v>703742</v>
      </c>
      <c r="H533" s="19" t="n">
        <v>1125273399</v>
      </c>
      <c r="I533" s="425" t="inlineStr">
        <is>
          <t>Additional</t>
        </is>
      </c>
      <c r="J533" s="496" t="n">
        <v>45711</v>
      </c>
      <c r="K533" s="14" t="inlineStr">
        <is>
          <t>FMCO</t>
        </is>
      </c>
      <c r="L533" s="112" t="inlineStr">
        <is>
          <t>-</t>
        </is>
      </c>
      <c r="N533" s="1" t="n"/>
      <c r="O533" s="1" t="n"/>
      <c r="P533" s="1" t="n"/>
      <c r="Q533" s="1" t="n"/>
      <c r="R533" s="1" t="n"/>
      <c r="S533" s="1" t="n"/>
      <c r="T533" s="1" t="n"/>
      <c r="U533" s="1" t="n"/>
      <c r="V533" s="1" t="n"/>
      <c r="W533" s="1" t="n"/>
      <c r="X533" s="1" t="n"/>
      <c r="Y533" s="1" t="n"/>
      <c r="Z533" s="1" t="n"/>
      <c r="AA533" s="1" t="n"/>
      <c r="AB533" s="1" t="n"/>
      <c r="AC533" s="1" t="n"/>
      <c r="AD533" s="1" t="n"/>
      <c r="AE533" s="1" t="n"/>
      <c r="AF533" s="1" t="n"/>
      <c r="AG533" s="1" t="n"/>
      <c r="AH533" s="1" t="n"/>
      <c r="AI533" s="1" t="n"/>
      <c r="AJ533" s="1" t="n"/>
    </row>
    <row r="534" ht="15" customHeight="1">
      <c r="A534" s="433" t="n"/>
      <c r="B534" s="433" t="n"/>
      <c r="C534" s="433" t="n"/>
      <c r="D534" s="433" t="n"/>
      <c r="E534" s="32" t="n"/>
      <c r="F534" s="19" t="inlineStr">
        <is>
          <t>Helpdesk/CAFM</t>
        </is>
      </c>
      <c r="G534" s="27" t="inlineStr">
        <is>
          <t>-</t>
        </is>
      </c>
      <c r="H534" s="19" t="inlineStr">
        <is>
          <t>-</t>
        </is>
      </c>
      <c r="I534" s="425" t="inlineStr">
        <is>
          <t>Vacant</t>
        </is>
      </c>
      <c r="J534" s="496" t="n"/>
      <c r="K534" s="14" t="inlineStr">
        <is>
          <t>-</t>
        </is>
      </c>
      <c r="L534" s="112" t="n"/>
      <c r="N534" s="1" t="n"/>
      <c r="O534" s="1" t="n"/>
      <c r="P534" s="1" t="n"/>
      <c r="Q534" s="1" t="n"/>
      <c r="R534" s="1" t="n"/>
      <c r="S534" s="1" t="n"/>
      <c r="T534" s="1" t="n"/>
      <c r="U534" s="1" t="n"/>
      <c r="V534" s="1" t="n"/>
      <c r="W534" s="1" t="n"/>
      <c r="X534" s="1" t="n"/>
      <c r="Y534" s="1" t="n"/>
      <c r="Z534" s="1" t="n"/>
      <c r="AA534" s="1" t="n"/>
      <c r="AB534" s="1" t="n"/>
      <c r="AC534" s="1" t="n"/>
      <c r="AD534" s="1" t="n"/>
      <c r="AE534" s="1" t="n"/>
      <c r="AF534" s="1" t="n"/>
      <c r="AG534" s="1" t="n"/>
      <c r="AH534" s="1" t="n"/>
      <c r="AI534" s="1" t="n"/>
      <c r="AJ534" s="1" t="n"/>
    </row>
    <row r="535" ht="15" customHeight="1">
      <c r="A535" s="434" t="n"/>
      <c r="B535" s="434" t="n"/>
      <c r="C535" s="434" t="n"/>
      <c r="D535" s="434" t="n"/>
      <c r="E535" s="22" t="inlineStr">
        <is>
          <t>Momin Nazir Shah</t>
        </is>
      </c>
      <c r="F535" s="26" t="inlineStr">
        <is>
          <t>Helpdesk/CAFM</t>
        </is>
      </c>
      <c r="G535" s="27" t="n">
        <v>704260</v>
      </c>
      <c r="H535" s="19" t="n">
        <v>2637726684</v>
      </c>
      <c r="I535" s="425" t="inlineStr">
        <is>
          <t>Additional</t>
        </is>
      </c>
      <c r="J535" s="496" t="n">
        <v>46168</v>
      </c>
      <c r="K535" s="28" t="inlineStr">
        <is>
          <t>FMCO</t>
        </is>
      </c>
      <c r="L535" s="20" t="inlineStr">
        <is>
          <t>-</t>
        </is>
      </c>
      <c r="N535" s="1" t="n"/>
      <c r="O535" s="1" t="n"/>
      <c r="P535" s="1" t="n"/>
      <c r="Q535" s="1" t="n"/>
      <c r="R535" s="1" t="n"/>
      <c r="S535" s="1" t="n"/>
      <c r="T535" s="1" t="n"/>
      <c r="U535" s="1" t="n"/>
      <c r="V535" s="1" t="n"/>
      <c r="W535" s="1" t="n"/>
      <c r="X535" s="1" t="n"/>
      <c r="Y535" s="1" t="n"/>
      <c r="Z535" s="1" t="n"/>
      <c r="AA535" s="1" t="n"/>
      <c r="AB535" s="1" t="n"/>
      <c r="AC535" s="1" t="n"/>
      <c r="AD535" s="1" t="n"/>
      <c r="AE535" s="1" t="n"/>
      <c r="AF535" s="1" t="n"/>
      <c r="AG535" s="1" t="n"/>
      <c r="AH535" s="1" t="n"/>
      <c r="AI535" s="1" t="n"/>
      <c r="AJ535" s="1" t="n"/>
    </row>
    <row r="536" ht="15" customHeight="1">
      <c r="A536" s="424" t="inlineStr">
        <is>
          <t>System Admin</t>
        </is>
      </c>
      <c r="B536" s="425" t="n">
        <v>0</v>
      </c>
      <c r="C536" s="425">
        <f>COUNTIF(E536,"&lt;&gt;")</f>
        <v/>
      </c>
      <c r="D536" s="438" t="n">
        <v>0</v>
      </c>
      <c r="E536" s="22" t="inlineStr">
        <is>
          <t>Shashigouda Biradar</t>
        </is>
      </c>
      <c r="F536" s="26" t="inlineStr">
        <is>
          <t>I.T</t>
        </is>
      </c>
      <c r="G536" s="27" t="inlineStr">
        <is>
          <t>EM0003474</t>
        </is>
      </c>
      <c r="H536" s="19" t="n">
        <v>2630687834</v>
      </c>
      <c r="I536" s="425" t="inlineStr">
        <is>
          <t>Additional</t>
        </is>
      </c>
      <c r="J536" s="496" t="n">
        <v>45586</v>
      </c>
      <c r="K536" s="28" t="inlineStr">
        <is>
          <t>AL-FALAK VISA</t>
        </is>
      </c>
      <c r="L536" s="20" t="inlineStr">
        <is>
          <t>-</t>
        </is>
      </c>
      <c r="N536" s="1" t="n"/>
      <c r="O536" s="1" t="n"/>
      <c r="P536" s="1" t="n"/>
      <c r="Q536" s="1" t="n"/>
      <c r="R536" s="1" t="n"/>
      <c r="S536" s="1" t="n"/>
      <c r="T536" s="1" t="n"/>
      <c r="U536" s="1" t="n"/>
      <c r="V536" s="1" t="n"/>
      <c r="W536" s="1" t="n"/>
      <c r="X536" s="1" t="n"/>
      <c r="Y536" s="1" t="n"/>
      <c r="Z536" s="1" t="n"/>
      <c r="AA536" s="1" t="n"/>
      <c r="AB536" s="1" t="n"/>
      <c r="AC536" s="1" t="n"/>
      <c r="AD536" s="1" t="n"/>
      <c r="AE536" s="1" t="n"/>
      <c r="AF536" s="1" t="n"/>
      <c r="AG536" s="1" t="n"/>
      <c r="AH536" s="1" t="n"/>
      <c r="AI536" s="1" t="n"/>
      <c r="AJ536" s="1" t="n"/>
    </row>
    <row r="537" ht="15" customHeight="1">
      <c r="A537" s="424" t="inlineStr">
        <is>
          <t>Laundry Manager</t>
        </is>
      </c>
      <c r="B537" s="425" t="n">
        <v>0</v>
      </c>
      <c r="C537" s="425">
        <f>COUNTIF(E537,"&lt;&gt;")</f>
        <v/>
      </c>
      <c r="D537" s="438" t="n">
        <v>0</v>
      </c>
      <c r="E537" s="22" t="inlineStr">
        <is>
          <t>Ghulam Akbar Wahid Bakhsh</t>
        </is>
      </c>
      <c r="F537" s="26" t="inlineStr">
        <is>
          <t>Soft Service</t>
        </is>
      </c>
      <c r="G537" s="27" t="n">
        <v>704081</v>
      </c>
      <c r="H537" s="19" t="n">
        <v>2222602837</v>
      </c>
      <c r="I537" s="425" t="inlineStr">
        <is>
          <t>Additional</t>
        </is>
      </c>
      <c r="J537" s="496" t="n">
        <v>46015</v>
      </c>
      <c r="K537" s="28" t="inlineStr">
        <is>
          <t>FMCO</t>
        </is>
      </c>
      <c r="L537" s="20" t="inlineStr">
        <is>
          <t>-</t>
        </is>
      </c>
      <c r="N537" s="1" t="n"/>
      <c r="O537" s="1" t="n"/>
      <c r="P537" s="1" t="n"/>
      <c r="Q537" s="1" t="n"/>
      <c r="R537" s="1" t="n"/>
      <c r="S537" s="1" t="n"/>
      <c r="T537" s="1" t="n"/>
      <c r="U537" s="1" t="n"/>
      <c r="V537" s="1" t="n"/>
      <c r="W537" s="1" t="n"/>
      <c r="X537" s="1" t="n"/>
      <c r="Y537" s="1" t="n"/>
      <c r="Z537" s="1" t="n"/>
      <c r="AA537" s="1" t="n"/>
      <c r="AB537" s="1" t="n"/>
      <c r="AC537" s="1" t="n"/>
      <c r="AD537" s="1" t="n"/>
      <c r="AE537" s="1" t="n"/>
      <c r="AF537" s="1" t="n"/>
      <c r="AG537" s="1" t="n"/>
      <c r="AH537" s="1" t="n"/>
      <c r="AI537" s="1" t="n"/>
      <c r="AJ537" s="1" t="n"/>
    </row>
    <row r="538" ht="15" customHeight="1">
      <c r="A538" s="424" t="inlineStr">
        <is>
          <t>Laundry Team Lead</t>
        </is>
      </c>
      <c r="B538" s="425" t="n">
        <v>0</v>
      </c>
      <c r="C538" s="425">
        <f>COUNTIF(E538,"&lt;&gt;")</f>
        <v/>
      </c>
      <c r="D538" s="438" t="n">
        <v>0</v>
      </c>
      <c r="E538" s="22" t="inlineStr">
        <is>
          <t>Md Mahmood Alam</t>
        </is>
      </c>
      <c r="F538" s="26" t="inlineStr">
        <is>
          <t>Soft Service</t>
        </is>
      </c>
      <c r="G538" s="27" t="inlineStr">
        <is>
          <t>EM-0002719</t>
        </is>
      </c>
      <c r="H538" s="19" t="n">
        <v>2586440824</v>
      </c>
      <c r="I538" s="425" t="inlineStr">
        <is>
          <t>Additional</t>
        </is>
      </c>
      <c r="J538" s="496" t="n">
        <v>45600</v>
      </c>
      <c r="K538" s="28" t="inlineStr">
        <is>
          <t>AL-FALAK VISA</t>
        </is>
      </c>
      <c r="L538" s="20" t="inlineStr">
        <is>
          <t>-</t>
        </is>
      </c>
      <c r="N538" s="1" t="n"/>
      <c r="O538" s="1" t="n"/>
      <c r="P538" s="1" t="n"/>
      <c r="Q538" s="1" t="n"/>
      <c r="R538" s="1" t="n"/>
      <c r="S538" s="1" t="n"/>
      <c r="T538" s="1" t="n"/>
      <c r="U538" s="1" t="n"/>
      <c r="V538" s="1" t="n"/>
      <c r="W538" s="1" t="n"/>
      <c r="X538" s="1" t="n"/>
      <c r="Y538" s="1" t="n"/>
      <c r="Z538" s="1" t="n"/>
      <c r="AA538" s="1" t="n"/>
      <c r="AB538" s="1" t="n"/>
      <c r="AC538" s="1" t="n"/>
      <c r="AD538" s="1" t="n"/>
      <c r="AE538" s="1" t="n"/>
      <c r="AF538" s="1" t="n"/>
      <c r="AG538" s="1" t="n"/>
      <c r="AH538" s="1" t="n"/>
      <c r="AI538" s="1" t="n"/>
      <c r="AJ538" s="1" t="n"/>
    </row>
    <row r="539" ht="15" customHeight="1">
      <c r="A539" s="424" t="inlineStr">
        <is>
          <t>Laundry Operator</t>
        </is>
      </c>
      <c r="B539" s="425" t="n">
        <v>0</v>
      </c>
      <c r="C539" s="425">
        <f>COUNTIF(E539:E541,"&lt;&gt;")</f>
        <v/>
      </c>
      <c r="D539" s="438" t="n">
        <v>0</v>
      </c>
      <c r="E539" s="22" t="n"/>
      <c r="F539" s="26" t="inlineStr">
        <is>
          <t>Soft Service</t>
        </is>
      </c>
      <c r="G539" s="27" t="inlineStr">
        <is>
          <t>-</t>
        </is>
      </c>
      <c r="H539" s="19" t="inlineStr">
        <is>
          <t>-</t>
        </is>
      </c>
      <c r="I539" s="425" t="inlineStr">
        <is>
          <t>Vacant</t>
        </is>
      </c>
      <c r="J539" s="496" t="n"/>
      <c r="K539" s="28" t="inlineStr">
        <is>
          <t>-</t>
        </is>
      </c>
      <c r="L539" s="20" t="n"/>
      <c r="N539" s="1" t="n"/>
      <c r="O539" s="1" t="n"/>
      <c r="P539" s="1" t="n"/>
      <c r="Q539" s="1" t="n"/>
      <c r="R539" s="1" t="n"/>
      <c r="S539" s="1" t="n"/>
      <c r="T539" s="1" t="n"/>
      <c r="U539" s="1" t="n"/>
      <c r="V539" s="1" t="n"/>
      <c r="W539" s="1" t="n"/>
      <c r="X539" s="1" t="n"/>
      <c r="Y539" s="1" t="n"/>
      <c r="Z539" s="1" t="n"/>
      <c r="AA539" s="1" t="n"/>
      <c r="AB539" s="1" t="n"/>
      <c r="AC539" s="1" t="n"/>
      <c r="AD539" s="1" t="n"/>
      <c r="AE539" s="1" t="n"/>
      <c r="AF539" s="1" t="n"/>
      <c r="AG539" s="1" t="n"/>
      <c r="AH539" s="1" t="n"/>
      <c r="AI539" s="1" t="n"/>
      <c r="AJ539" s="1" t="n"/>
    </row>
    <row r="540" ht="15" customHeight="1">
      <c r="A540" s="433" t="n"/>
      <c r="B540" s="433" t="n"/>
      <c r="C540" s="433" t="n"/>
      <c r="D540" s="433" t="n"/>
      <c r="E540" s="22" t="inlineStr">
        <is>
          <t>Arman Md Khokon Miah</t>
        </is>
      </c>
      <c r="F540" s="26" t="inlineStr">
        <is>
          <t>Soft Service</t>
        </is>
      </c>
      <c r="G540" s="27" t="inlineStr">
        <is>
          <t>-</t>
        </is>
      </c>
      <c r="H540" s="19" t="n">
        <v>2547715595</v>
      </c>
      <c r="I540" s="425" t="inlineStr">
        <is>
          <t>Additional</t>
        </is>
      </c>
      <c r="J540" s="496" t="n">
        <v>46182</v>
      </c>
      <c r="K540" s="28" t="inlineStr">
        <is>
          <t>UCC RENTAL</t>
        </is>
      </c>
      <c r="L540" s="20" t="inlineStr">
        <is>
          <t>-</t>
        </is>
      </c>
      <c r="N540" s="1" t="n"/>
      <c r="O540" s="1" t="n"/>
      <c r="P540" s="1" t="n"/>
      <c r="Q540" s="1" t="n"/>
      <c r="R540" s="1" t="n"/>
      <c r="S540" s="1" t="n"/>
      <c r="T540" s="1" t="n"/>
      <c r="U540" s="1" t="n"/>
      <c r="V540" s="1" t="n"/>
      <c r="W540" s="1" t="n"/>
      <c r="X540" s="1" t="n"/>
      <c r="Y540" s="1" t="n"/>
      <c r="Z540" s="1" t="n"/>
      <c r="AA540" s="1" t="n"/>
      <c r="AB540" s="1" t="n"/>
      <c r="AC540" s="1" t="n"/>
      <c r="AD540" s="1" t="n"/>
      <c r="AE540" s="1" t="n"/>
      <c r="AF540" s="1" t="n"/>
      <c r="AG540" s="1" t="n"/>
      <c r="AH540" s="1" t="n"/>
      <c r="AI540" s="1" t="n"/>
      <c r="AJ540" s="1" t="n"/>
    </row>
    <row r="541" ht="15" customHeight="1">
      <c r="A541" s="434" t="n"/>
      <c r="B541" s="434" t="n"/>
      <c r="C541" s="434" t="n"/>
      <c r="D541" s="434" t="n"/>
      <c r="E541" s="22" t="n"/>
      <c r="F541" s="439" t="inlineStr">
        <is>
          <t>Soft Service</t>
        </is>
      </c>
      <c r="G541" s="27" t="inlineStr">
        <is>
          <t>-</t>
        </is>
      </c>
      <c r="H541" s="19" t="inlineStr">
        <is>
          <t>-</t>
        </is>
      </c>
      <c r="I541" s="425" t="inlineStr">
        <is>
          <t>Vacant</t>
        </is>
      </c>
      <c r="J541" s="496" t="n"/>
      <c r="K541" s="113" t="inlineStr">
        <is>
          <t>-</t>
        </is>
      </c>
      <c r="L541" s="20" t="n"/>
      <c r="N541" s="1" t="n"/>
      <c r="O541" s="1" t="n"/>
      <c r="P541" s="1" t="n"/>
      <c r="Q541" s="1" t="n"/>
      <c r="R541" s="1" t="n"/>
      <c r="S541" s="1" t="n"/>
      <c r="T541" s="1" t="n"/>
      <c r="U541" s="1" t="n"/>
      <c r="V541" s="1" t="n"/>
      <c r="W541" s="1" t="n"/>
      <c r="X541" s="1" t="n"/>
      <c r="Y541" s="1" t="n"/>
      <c r="Z541" s="1" t="n"/>
      <c r="AA541" s="1" t="n"/>
      <c r="AB541" s="1" t="n"/>
      <c r="AC541" s="1" t="n"/>
      <c r="AD541" s="1" t="n"/>
      <c r="AE541" s="1" t="n"/>
      <c r="AF541" s="1" t="n"/>
      <c r="AG541" s="1" t="n"/>
      <c r="AH541" s="1" t="n"/>
      <c r="AI541" s="1" t="n"/>
      <c r="AJ541" s="1" t="n"/>
    </row>
    <row r="542" ht="15" customHeight="1">
      <c r="A542" s="424" t="inlineStr">
        <is>
          <t>Landscape Engineer</t>
        </is>
      </c>
      <c r="B542" s="425" t="n">
        <v>0</v>
      </c>
      <c r="C542" s="425">
        <f>COUNTIF(E542,"&lt;&gt;")</f>
        <v/>
      </c>
      <c r="D542" s="438" t="n">
        <v>0</v>
      </c>
      <c r="E542" s="22" t="inlineStr">
        <is>
          <t>MD RAIHAN ALI</t>
        </is>
      </c>
      <c r="F542" s="26" t="inlineStr">
        <is>
          <t>Soft Service</t>
        </is>
      </c>
      <c r="G542" s="27" t="n">
        <v>1269</v>
      </c>
      <c r="H542" s="19" t="inlineStr">
        <is>
          <t>2598730279</t>
        </is>
      </c>
      <c r="I542" s="425" t="inlineStr">
        <is>
          <t>Approved</t>
        </is>
      </c>
      <c r="J542" s="496" t="n">
        <v>45743</v>
      </c>
      <c r="K542" s="28" t="inlineStr">
        <is>
          <t>UCC RENTAL</t>
        </is>
      </c>
      <c r="L542" s="20" t="n"/>
      <c r="N542" s="1" t="n"/>
      <c r="O542" s="1" t="n"/>
      <c r="P542" s="1" t="n"/>
      <c r="Q542" s="1" t="n"/>
      <c r="R542" s="1" t="n"/>
      <c r="S542" s="1" t="n"/>
      <c r="T542" s="1" t="n"/>
      <c r="U542" s="1" t="n"/>
      <c r="V542" s="1" t="n"/>
      <c r="W542" s="1" t="n"/>
      <c r="X542" s="1" t="n"/>
      <c r="Y542" s="1" t="n"/>
      <c r="Z542" s="1" t="n"/>
      <c r="AA542" s="1" t="n"/>
      <c r="AB542" s="1" t="n"/>
      <c r="AC542" s="1" t="n"/>
      <c r="AD542" s="1" t="n"/>
      <c r="AE542" s="1" t="n"/>
      <c r="AF542" s="1" t="n"/>
      <c r="AG542" s="1" t="n"/>
      <c r="AH542" s="1" t="n"/>
      <c r="AI542" s="1" t="n"/>
      <c r="AJ542" s="1" t="n"/>
    </row>
    <row r="543" ht="15" customHeight="1">
      <c r="A543" s="114" t="inlineStr">
        <is>
          <t>Landscape Supervisor</t>
        </is>
      </c>
      <c r="B543" s="340" t="n">
        <v>0</v>
      </c>
      <c r="C543" s="425">
        <f>COUNTIF(E543,"&lt;&gt;")</f>
        <v/>
      </c>
      <c r="D543" s="339" t="n">
        <v>0</v>
      </c>
      <c r="E543" s="22" t="n"/>
      <c r="F543" s="26" t="inlineStr">
        <is>
          <t>Soft Service</t>
        </is>
      </c>
      <c r="G543" s="27" t="inlineStr">
        <is>
          <t>-</t>
        </is>
      </c>
      <c r="H543" s="19" t="inlineStr">
        <is>
          <t>-</t>
        </is>
      </c>
      <c r="I543" s="425" t="inlineStr">
        <is>
          <t>Vacant</t>
        </is>
      </c>
      <c r="J543" s="496" t="n"/>
      <c r="K543" s="28" t="inlineStr">
        <is>
          <t>-</t>
        </is>
      </c>
      <c r="L543" s="20" t="n"/>
      <c r="N543" s="1" t="n"/>
      <c r="O543" s="1" t="n"/>
      <c r="P543" s="1" t="n"/>
      <c r="Q543" s="1" t="n"/>
      <c r="R543" s="1" t="n"/>
      <c r="S543" s="1" t="n"/>
      <c r="T543" s="1" t="n"/>
      <c r="U543" s="1" t="n"/>
      <c r="V543" s="1" t="n"/>
      <c r="W543" s="1" t="n"/>
      <c r="X543" s="1" t="n"/>
      <c r="Y543" s="1" t="n"/>
      <c r="Z543" s="1" t="n"/>
      <c r="AA543" s="1" t="n"/>
      <c r="AB543" s="1" t="n"/>
      <c r="AC543" s="1" t="n"/>
      <c r="AD543" s="1" t="n"/>
      <c r="AE543" s="1" t="n"/>
      <c r="AF543" s="1" t="n"/>
      <c r="AG543" s="1" t="n"/>
      <c r="AH543" s="1" t="n"/>
      <c r="AI543" s="1" t="n"/>
      <c r="AJ543" s="1" t="n"/>
    </row>
    <row r="544" ht="15" customHeight="1">
      <c r="A544" s="424" t="inlineStr">
        <is>
          <t>Irrigation Supervisor</t>
        </is>
      </c>
      <c r="B544" s="425" t="n">
        <v>0</v>
      </c>
      <c r="C544" s="425">
        <f>COUNTIF(E544,"&lt;&gt;")</f>
        <v/>
      </c>
      <c r="D544" s="438" t="n">
        <v>0</v>
      </c>
      <c r="E544" s="22" t="inlineStr">
        <is>
          <t>Muhammad Mudassir</t>
        </is>
      </c>
      <c r="F544" s="26" t="inlineStr">
        <is>
          <t>Soft Service</t>
        </is>
      </c>
      <c r="G544" s="27" t="n">
        <v>701375</v>
      </c>
      <c r="H544" s="19" t="n">
        <v>2532144363</v>
      </c>
      <c r="I544" s="425" t="inlineStr">
        <is>
          <t>Additional</t>
        </is>
      </c>
      <c r="J544" s="496" t="n">
        <v>45881</v>
      </c>
      <c r="K544" s="28" t="inlineStr">
        <is>
          <t>FMCO</t>
        </is>
      </c>
      <c r="L544" s="20" t="inlineStr">
        <is>
          <t>-</t>
        </is>
      </c>
      <c r="N544" s="1" t="n"/>
      <c r="O544" s="1" t="n"/>
      <c r="P544" s="1" t="n"/>
      <c r="Q544" s="1" t="n"/>
      <c r="R544" s="1" t="n"/>
      <c r="S544" s="1" t="n"/>
      <c r="T544" s="1" t="n"/>
      <c r="U544" s="1" t="n"/>
      <c r="V544" s="1" t="n"/>
      <c r="W544" s="1" t="n"/>
      <c r="X544" s="1" t="n"/>
      <c r="Y544" s="1" t="n"/>
      <c r="Z544" s="1" t="n"/>
      <c r="AA544" s="1" t="n"/>
      <c r="AB544" s="1" t="n"/>
      <c r="AC544" s="1" t="n"/>
      <c r="AD544" s="1" t="n"/>
      <c r="AE544" s="1" t="n"/>
      <c r="AF544" s="1" t="n"/>
      <c r="AG544" s="1" t="n"/>
      <c r="AH544" s="1" t="n"/>
      <c r="AI544" s="1" t="n"/>
      <c r="AJ544" s="1" t="n"/>
    </row>
    <row r="545" ht="15" customHeight="1">
      <c r="A545" s="424" t="inlineStr">
        <is>
          <t>Irrigation Technician</t>
        </is>
      </c>
      <c r="B545" s="425" t="n">
        <v>0</v>
      </c>
      <c r="C545" s="425">
        <f>COUNTIF(E545,"&lt;&gt;")</f>
        <v/>
      </c>
      <c r="D545" s="438" t="n">
        <v>0</v>
      </c>
      <c r="E545" s="22" t="inlineStr">
        <is>
          <t>SK Mizanur Rahman</t>
        </is>
      </c>
      <c r="F545" s="26" t="inlineStr">
        <is>
          <t>Soft Service</t>
        </is>
      </c>
      <c r="G545" s="27" t="n">
        <v>1283</v>
      </c>
      <c r="H545" s="19" t="n">
        <v>2599694532</v>
      </c>
      <c r="I545" s="425" t="inlineStr">
        <is>
          <t>Additional</t>
        </is>
      </c>
      <c r="J545" s="496" t="n">
        <v>45769</v>
      </c>
      <c r="K545" s="28" t="inlineStr">
        <is>
          <t>UCC RENTAL</t>
        </is>
      </c>
      <c r="L545" s="20" t="inlineStr">
        <is>
          <t>-</t>
        </is>
      </c>
      <c r="N545" s="1" t="n"/>
      <c r="O545" s="1" t="n"/>
      <c r="P545" s="1" t="n"/>
      <c r="Q545" s="1" t="n"/>
      <c r="R545" s="1" t="n"/>
      <c r="S545" s="1" t="n"/>
      <c r="T545" s="1" t="n"/>
      <c r="U545" s="1" t="n"/>
      <c r="V545" s="1" t="n"/>
      <c r="W545" s="1" t="n"/>
      <c r="X545" s="1" t="n"/>
      <c r="Y545" s="1" t="n"/>
      <c r="Z545" s="1" t="n"/>
      <c r="AA545" s="1" t="n"/>
      <c r="AB545" s="1" t="n"/>
      <c r="AC545" s="1" t="n"/>
      <c r="AD545" s="1" t="n"/>
      <c r="AE545" s="1" t="n"/>
      <c r="AF545" s="1" t="n"/>
      <c r="AG545" s="1" t="n"/>
      <c r="AH545" s="1" t="n"/>
      <c r="AI545" s="1" t="n"/>
      <c r="AJ545" s="1" t="n"/>
    </row>
    <row r="546" ht="15" customHeight="1">
      <c r="A546" s="464" t="inlineStr">
        <is>
          <t>Gardener</t>
        </is>
      </c>
      <c r="B546" s="425" t="n">
        <v>0</v>
      </c>
      <c r="C546" s="425" t="n">
        <v>20</v>
      </c>
      <c r="D546" s="438" t="n">
        <v>0</v>
      </c>
      <c r="E546" s="22" t="inlineStr">
        <is>
          <t>Sagar Abdul Hay</t>
        </is>
      </c>
      <c r="F546" s="26" t="inlineStr">
        <is>
          <t>Soft Service</t>
        </is>
      </c>
      <c r="G546" s="27" t="inlineStr">
        <is>
          <t>-</t>
        </is>
      </c>
      <c r="H546" s="19" t="n">
        <v>2618207779</v>
      </c>
      <c r="I546" s="425" t="inlineStr">
        <is>
          <t>Additional</t>
        </is>
      </c>
      <c r="J546" s="496" t="n">
        <v>46187</v>
      </c>
      <c r="K546" s="28" t="inlineStr">
        <is>
          <t>ESNAD SUPPLIER</t>
        </is>
      </c>
      <c r="L546" s="20" t="inlineStr">
        <is>
          <t>-</t>
        </is>
      </c>
      <c r="N546" s="1" t="n"/>
      <c r="O546" s="1" t="n"/>
      <c r="P546" s="1" t="n"/>
      <c r="Q546" s="1" t="n"/>
      <c r="R546" s="1" t="n"/>
      <c r="S546" s="1" t="n"/>
      <c r="T546" s="1" t="n"/>
      <c r="U546" s="1" t="n"/>
      <c r="V546" s="1" t="n"/>
      <c r="W546" s="1" t="n"/>
      <c r="X546" s="1" t="n"/>
      <c r="Y546" s="1" t="n"/>
      <c r="Z546" s="1" t="n"/>
      <c r="AA546" s="1" t="n"/>
      <c r="AB546" s="1" t="n"/>
      <c r="AC546" s="1" t="n"/>
      <c r="AD546" s="1" t="n"/>
      <c r="AE546" s="1" t="n"/>
      <c r="AF546" s="1" t="n"/>
      <c r="AG546" s="1" t="n"/>
      <c r="AH546" s="1" t="n"/>
      <c r="AI546" s="1" t="n"/>
      <c r="AJ546" s="1" t="n"/>
    </row>
    <row r="547" ht="15" customHeight="1">
      <c r="A547" s="433" t="n"/>
      <c r="B547" s="433" t="n"/>
      <c r="C547" s="433" t="n"/>
      <c r="D547" s="433" t="n"/>
      <c r="E547" s="22" t="inlineStr">
        <is>
          <t>Zahid Saqlain Ghulam Saqlain</t>
        </is>
      </c>
      <c r="F547" s="26" t="inlineStr">
        <is>
          <t>Soft Service</t>
        </is>
      </c>
      <c r="G547" s="27" t="inlineStr">
        <is>
          <t>-</t>
        </is>
      </c>
      <c r="H547" s="19" t="n">
        <v>2631560071</v>
      </c>
      <c r="I547" s="425" t="inlineStr">
        <is>
          <t>Additional</t>
        </is>
      </c>
      <c r="J547" s="496" t="n">
        <v>46190</v>
      </c>
      <c r="K547" s="28" t="inlineStr">
        <is>
          <t>UCC RENTAL</t>
        </is>
      </c>
      <c r="L547" s="20" t="inlineStr">
        <is>
          <t>-</t>
        </is>
      </c>
      <c r="N547" s="1" t="n"/>
      <c r="O547" s="1" t="n"/>
      <c r="P547" s="1" t="n"/>
      <c r="Q547" s="1" t="n"/>
      <c r="R547" s="1" t="n"/>
      <c r="S547" s="1" t="n"/>
      <c r="T547" s="1" t="n"/>
      <c r="U547" s="1" t="n"/>
      <c r="V547" s="1" t="n"/>
      <c r="W547" s="1" t="n"/>
      <c r="X547" s="1" t="n"/>
      <c r="Y547" s="1" t="n"/>
      <c r="Z547" s="1" t="n"/>
      <c r="AA547" s="1" t="n"/>
      <c r="AB547" s="1" t="n"/>
      <c r="AC547" s="1" t="n"/>
      <c r="AD547" s="1" t="n"/>
      <c r="AE547" s="1" t="n"/>
      <c r="AF547" s="1" t="n"/>
      <c r="AG547" s="1" t="n"/>
      <c r="AH547" s="1" t="n"/>
      <c r="AI547" s="1" t="n"/>
      <c r="AJ547" s="1" t="n"/>
    </row>
    <row r="548" ht="15" customHeight="1">
      <c r="A548" s="433" t="n"/>
      <c r="B548" s="433" t="n"/>
      <c r="C548" s="433" t="n"/>
      <c r="D548" s="433" t="n"/>
      <c r="E548" s="22" t="inlineStr">
        <is>
          <t>Wahab Ali Bakht Zada</t>
        </is>
      </c>
      <c r="F548" s="26" t="inlineStr">
        <is>
          <t>Soft Service</t>
        </is>
      </c>
      <c r="G548" s="27" t="inlineStr">
        <is>
          <t>-</t>
        </is>
      </c>
      <c r="H548" s="19" t="n">
        <v>2638291555</v>
      </c>
      <c r="I548" s="425" t="inlineStr">
        <is>
          <t>Additional</t>
        </is>
      </c>
      <c r="J548" s="496" t="n">
        <v>46190</v>
      </c>
      <c r="K548" s="28" t="inlineStr">
        <is>
          <t>UCC RENTAL</t>
        </is>
      </c>
      <c r="L548" s="20" t="inlineStr">
        <is>
          <t>-</t>
        </is>
      </c>
      <c r="N548" s="1" t="n"/>
      <c r="O548" s="1" t="n"/>
      <c r="P548" s="1" t="n"/>
      <c r="Q548" s="1" t="n"/>
      <c r="R548" s="1" t="n"/>
      <c r="S548" s="1" t="n"/>
      <c r="T548" s="1" t="n"/>
      <c r="U548" s="1" t="n"/>
      <c r="V548" s="1" t="n"/>
      <c r="W548" s="1" t="n"/>
      <c r="X548" s="1" t="n"/>
      <c r="Y548" s="1" t="n"/>
      <c r="Z548" s="1" t="n"/>
      <c r="AA548" s="1" t="n"/>
      <c r="AB548" s="1" t="n"/>
      <c r="AC548" s="1" t="n"/>
      <c r="AD548" s="1" t="n"/>
      <c r="AE548" s="1" t="n"/>
      <c r="AF548" s="1" t="n"/>
      <c r="AG548" s="1" t="n"/>
      <c r="AH548" s="1" t="n"/>
      <c r="AI548" s="1" t="n"/>
      <c r="AJ548" s="1" t="n"/>
    </row>
    <row r="549" ht="16.5" customHeight="1">
      <c r="A549" s="433" t="n"/>
      <c r="B549" s="433" t="n"/>
      <c r="C549" s="433" t="n"/>
      <c r="D549" s="433" t="n"/>
      <c r="E549" s="22" t="inlineStr">
        <is>
          <t>Jamal Hussain Wali Muhammad</t>
        </is>
      </c>
      <c r="F549" s="26" t="inlineStr">
        <is>
          <t>Soft Service</t>
        </is>
      </c>
      <c r="G549" s="27" t="inlineStr">
        <is>
          <t>-</t>
        </is>
      </c>
      <c r="H549" s="19" t="n">
        <v>2638290979</v>
      </c>
      <c r="I549" s="425" t="inlineStr">
        <is>
          <t>Additional</t>
        </is>
      </c>
      <c r="J549" s="496" t="n">
        <v>46190</v>
      </c>
      <c r="K549" s="28" t="inlineStr">
        <is>
          <t>UCC RENTAL</t>
        </is>
      </c>
      <c r="L549" s="20" t="inlineStr">
        <is>
          <t>-</t>
        </is>
      </c>
      <c r="N549" s="1" t="n"/>
      <c r="O549" s="1" t="n"/>
      <c r="P549" s="1" t="n"/>
      <c r="Q549" s="1" t="n"/>
      <c r="R549" s="1" t="n"/>
      <c r="S549" s="1" t="n"/>
      <c r="T549" s="1" t="n"/>
      <c r="U549" s="1" t="n"/>
      <c r="V549" s="1" t="n"/>
      <c r="W549" s="1" t="n"/>
      <c r="X549" s="1" t="n"/>
      <c r="Y549" s="1" t="n"/>
      <c r="Z549" s="1" t="n"/>
      <c r="AA549" s="1" t="n"/>
      <c r="AB549" s="1" t="n"/>
      <c r="AC549" s="1" t="n"/>
      <c r="AD549" s="1" t="n"/>
      <c r="AE549" s="1" t="n"/>
      <c r="AF549" s="1" t="n"/>
      <c r="AG549" s="1" t="n"/>
      <c r="AH549" s="1" t="n"/>
      <c r="AI549" s="1" t="n"/>
      <c r="AJ549" s="1" t="n"/>
    </row>
    <row r="550" ht="16.5" customHeight="1">
      <c r="A550" s="433" t="n"/>
      <c r="B550" s="433" t="n"/>
      <c r="C550" s="433" t="n"/>
      <c r="D550" s="433" t="n"/>
      <c r="E550" s="32" t="inlineStr">
        <is>
          <t>Narayan Prashad Poudel</t>
        </is>
      </c>
      <c r="F550" s="26" t="inlineStr">
        <is>
          <t>Soft Service</t>
        </is>
      </c>
      <c r="G550" s="425" t="inlineStr">
        <is>
          <t>-</t>
        </is>
      </c>
      <c r="H550" s="425" t="n">
        <v>2615973720</v>
      </c>
      <c r="I550" s="425" t="inlineStr">
        <is>
          <t>Additional</t>
        </is>
      </c>
      <c r="J550" s="496" t="n">
        <v>46217</v>
      </c>
      <c r="K550" s="14" t="inlineStr">
        <is>
          <t>Gulf vision</t>
        </is>
      </c>
      <c r="L550" s="20" t="inlineStr">
        <is>
          <t>-</t>
        </is>
      </c>
      <c r="N550" s="1" t="n"/>
      <c r="O550" s="1" t="n"/>
      <c r="P550" s="1" t="n"/>
      <c r="Q550" s="1" t="n"/>
      <c r="R550" s="1" t="n"/>
      <c r="S550" s="1" t="n"/>
      <c r="T550" s="1" t="n"/>
      <c r="U550" s="1" t="n"/>
      <c r="V550" s="1" t="n"/>
      <c r="W550" s="1" t="n"/>
      <c r="X550" s="1" t="n"/>
      <c r="Y550" s="1" t="n"/>
      <c r="Z550" s="1" t="n"/>
      <c r="AA550" s="1" t="n"/>
      <c r="AB550" s="1" t="n"/>
      <c r="AC550" s="1" t="n"/>
      <c r="AD550" s="1" t="n"/>
      <c r="AE550" s="1" t="n"/>
      <c r="AF550" s="1" t="n"/>
      <c r="AG550" s="1" t="n"/>
      <c r="AH550" s="1" t="n"/>
      <c r="AI550" s="1" t="n"/>
      <c r="AJ550" s="1" t="n"/>
    </row>
    <row r="551" ht="16.5" customHeight="1">
      <c r="A551" s="433" t="n"/>
      <c r="B551" s="433" t="n"/>
      <c r="C551" s="433" t="n"/>
      <c r="D551" s="433" t="n"/>
      <c r="E551" s="32" t="inlineStr">
        <is>
          <t>Varis Ali Sazid</t>
        </is>
      </c>
      <c r="F551" s="26" t="inlineStr">
        <is>
          <t>Soft Service</t>
        </is>
      </c>
      <c r="G551" s="425" t="inlineStr">
        <is>
          <t>L00677</t>
        </is>
      </c>
      <c r="H551" s="425" t="n">
        <v>2630173520</v>
      </c>
      <c r="I551" s="425" t="inlineStr">
        <is>
          <t>Additional</t>
        </is>
      </c>
      <c r="J551" s="496" t="n">
        <v>46217</v>
      </c>
      <c r="K551" s="14" t="inlineStr">
        <is>
          <t>Mehan</t>
        </is>
      </c>
      <c r="L551" s="20" t="inlineStr">
        <is>
          <t>-</t>
        </is>
      </c>
      <c r="N551" s="1" t="n"/>
      <c r="O551" s="1" t="n"/>
      <c r="P551" s="1" t="n"/>
      <c r="Q551" s="1" t="n"/>
      <c r="R551" s="1" t="n"/>
      <c r="S551" s="1" t="n"/>
      <c r="T551" s="1" t="n"/>
      <c r="U551" s="1" t="n"/>
      <c r="V551" s="1" t="n"/>
      <c r="W551" s="1" t="n"/>
      <c r="X551" s="1" t="n"/>
      <c r="Y551" s="1" t="n"/>
      <c r="Z551" s="1" t="n"/>
      <c r="AA551" s="1" t="n"/>
      <c r="AB551" s="1" t="n"/>
      <c r="AC551" s="1" t="n"/>
      <c r="AD551" s="1" t="n"/>
      <c r="AE551" s="1" t="n"/>
      <c r="AF551" s="1" t="n"/>
      <c r="AG551" s="1" t="n"/>
      <c r="AH551" s="1" t="n"/>
      <c r="AI551" s="1" t="n"/>
      <c r="AJ551" s="1" t="n"/>
    </row>
    <row r="552" ht="16.5" customHeight="1">
      <c r="A552" s="433" t="n"/>
      <c r="B552" s="433" t="n"/>
      <c r="C552" s="433" t="n"/>
      <c r="D552" s="433" t="n"/>
      <c r="E552" s="32" t="inlineStr">
        <is>
          <t>Noor Mohd Jaan Mohd</t>
        </is>
      </c>
      <c r="F552" s="26" t="inlineStr">
        <is>
          <t>Soft Service</t>
        </is>
      </c>
      <c r="G552" s="425" t="inlineStr">
        <is>
          <t>R09589</t>
        </is>
      </c>
      <c r="H552" s="425" t="n">
        <v>2616674673</v>
      </c>
      <c r="I552" s="425" t="inlineStr">
        <is>
          <t>Additional</t>
        </is>
      </c>
      <c r="J552" s="496" t="n">
        <v>46217</v>
      </c>
      <c r="K552" s="14" t="inlineStr">
        <is>
          <t>Mehan</t>
        </is>
      </c>
      <c r="L552" s="20" t="inlineStr">
        <is>
          <t>-</t>
        </is>
      </c>
      <c r="N552" s="1" t="n"/>
      <c r="O552" s="1" t="n"/>
      <c r="P552" s="1" t="n"/>
      <c r="Q552" s="1" t="n"/>
      <c r="R552" s="1" t="n"/>
      <c r="S552" s="1" t="n"/>
      <c r="T552" s="1" t="n"/>
      <c r="U552" s="1" t="n"/>
      <c r="V552" s="1" t="n"/>
      <c r="W552" s="1" t="n"/>
      <c r="X552" s="1" t="n"/>
      <c r="Y552" s="1" t="n"/>
      <c r="Z552" s="1" t="n"/>
      <c r="AA552" s="1" t="n"/>
      <c r="AB552" s="1" t="n"/>
      <c r="AC552" s="1" t="n"/>
      <c r="AD552" s="1" t="n"/>
      <c r="AE552" s="1" t="n"/>
      <c r="AF552" s="1" t="n"/>
      <c r="AG552" s="1" t="n"/>
      <c r="AH552" s="1" t="n"/>
      <c r="AI552" s="1" t="n"/>
      <c r="AJ552" s="1" t="n"/>
    </row>
    <row r="553" ht="16.5" customHeight="1">
      <c r="A553" s="433" t="n"/>
      <c r="B553" s="433" t="n"/>
      <c r="C553" s="433" t="n"/>
      <c r="D553" s="433" t="n"/>
      <c r="E553" s="32" t="inlineStr">
        <is>
          <t>Md Abdur Rahim</t>
        </is>
      </c>
      <c r="F553" s="26" t="inlineStr">
        <is>
          <t>Soft Service</t>
        </is>
      </c>
      <c r="G553" s="425" t="inlineStr">
        <is>
          <t>L01426</t>
        </is>
      </c>
      <c r="H553" s="425" t="n">
        <v>2637736238</v>
      </c>
      <c r="I553" s="425" t="inlineStr">
        <is>
          <t>Additional</t>
        </is>
      </c>
      <c r="J553" s="496" t="n">
        <v>46217</v>
      </c>
      <c r="K553" s="14" t="inlineStr">
        <is>
          <t>Mehan</t>
        </is>
      </c>
      <c r="L553" s="20" t="inlineStr">
        <is>
          <t>-</t>
        </is>
      </c>
      <c r="N553" s="1" t="n"/>
      <c r="O553" s="1" t="n"/>
      <c r="P553" s="1" t="n"/>
      <c r="Q553" s="1" t="n"/>
      <c r="R553" s="1" t="n"/>
      <c r="S553" s="1" t="n"/>
      <c r="T553" s="1" t="n"/>
      <c r="U553" s="1" t="n"/>
      <c r="V553" s="1" t="n"/>
      <c r="W553" s="1" t="n"/>
      <c r="X553" s="1" t="n"/>
      <c r="Y553" s="1" t="n"/>
      <c r="Z553" s="1" t="n"/>
      <c r="AA553" s="1" t="n"/>
      <c r="AB553" s="1" t="n"/>
      <c r="AC553" s="1" t="n"/>
      <c r="AD553" s="1" t="n"/>
      <c r="AE553" s="1" t="n"/>
      <c r="AF553" s="1" t="n"/>
      <c r="AG553" s="1" t="n"/>
      <c r="AH553" s="1" t="n"/>
      <c r="AI553" s="1" t="n"/>
      <c r="AJ553" s="1" t="n"/>
    </row>
    <row r="554" ht="16.5" customHeight="1">
      <c r="A554" s="433" t="n"/>
      <c r="B554" s="433" t="n"/>
      <c r="C554" s="433" t="n"/>
      <c r="D554" s="433" t="n"/>
      <c r="E554" s="32" t="inlineStr">
        <is>
          <t>Mohd Shafaq</t>
        </is>
      </c>
      <c r="F554" s="26" t="inlineStr">
        <is>
          <t>Soft Service</t>
        </is>
      </c>
      <c r="G554" s="425" t="inlineStr">
        <is>
          <t>R09524</t>
        </is>
      </c>
      <c r="H554" s="425" t="n">
        <v>2615134919</v>
      </c>
      <c r="I554" s="425" t="inlineStr">
        <is>
          <t>Additional</t>
        </is>
      </c>
      <c r="J554" s="496" t="n">
        <v>46217</v>
      </c>
      <c r="K554" s="14" t="inlineStr">
        <is>
          <t>Mehan</t>
        </is>
      </c>
      <c r="L554" s="20" t="inlineStr">
        <is>
          <t>-</t>
        </is>
      </c>
      <c r="N554" s="1" t="n"/>
      <c r="O554" s="1" t="n"/>
      <c r="P554" s="1" t="n"/>
      <c r="Q554" s="1" t="n"/>
      <c r="R554" s="1" t="n"/>
      <c r="S554" s="1" t="n"/>
      <c r="T554" s="1" t="n"/>
      <c r="U554" s="1" t="n"/>
      <c r="V554" s="1" t="n"/>
      <c r="W554" s="1" t="n"/>
      <c r="X554" s="1" t="n"/>
      <c r="Y554" s="1" t="n"/>
      <c r="Z554" s="1" t="n"/>
      <c r="AA554" s="1" t="n"/>
      <c r="AB554" s="1" t="n"/>
      <c r="AC554" s="1" t="n"/>
      <c r="AD554" s="1" t="n"/>
      <c r="AE554" s="1" t="n"/>
      <c r="AF554" s="1" t="n"/>
      <c r="AG554" s="1" t="n"/>
      <c r="AH554" s="1" t="n"/>
      <c r="AI554" s="1" t="n"/>
      <c r="AJ554" s="1" t="n"/>
    </row>
    <row r="555" ht="16.5" customHeight="1">
      <c r="A555" s="433" t="n"/>
      <c r="B555" s="433" t="n"/>
      <c r="C555" s="433" t="n"/>
      <c r="D555" s="433" t="n"/>
      <c r="E555" s="32" t="inlineStr">
        <is>
          <t>SIYARAM SAH</t>
        </is>
      </c>
      <c r="F555" s="26" t="inlineStr">
        <is>
          <t>Soft Service</t>
        </is>
      </c>
      <c r="G555" s="425" t="inlineStr">
        <is>
          <t>-</t>
        </is>
      </c>
      <c r="H555" s="425" t="n">
        <v>2617336066</v>
      </c>
      <c r="I555" s="425" t="inlineStr">
        <is>
          <t>Additional</t>
        </is>
      </c>
      <c r="J555" s="496" t="n">
        <v>46217</v>
      </c>
      <c r="K555" s="14" t="inlineStr">
        <is>
          <t>Gulf vision</t>
        </is>
      </c>
      <c r="L555" s="20" t="inlineStr">
        <is>
          <t>-</t>
        </is>
      </c>
      <c r="N555" s="1" t="n"/>
      <c r="O555" s="1" t="n"/>
      <c r="P555" s="1" t="n"/>
      <c r="Q555" s="1" t="n"/>
      <c r="R555" s="1" t="n"/>
      <c r="S555" s="1" t="n"/>
      <c r="T555" s="1" t="n"/>
      <c r="U555" s="1" t="n"/>
      <c r="V555" s="1" t="n"/>
      <c r="W555" s="1" t="n"/>
      <c r="X555" s="1" t="n"/>
      <c r="Y555" s="1" t="n"/>
      <c r="Z555" s="1" t="n"/>
      <c r="AA555" s="1" t="n"/>
      <c r="AB555" s="1" t="n"/>
      <c r="AC555" s="1" t="n"/>
      <c r="AD555" s="1" t="n"/>
      <c r="AE555" s="1" t="n"/>
      <c r="AF555" s="1" t="n"/>
      <c r="AG555" s="1" t="n"/>
      <c r="AH555" s="1" t="n"/>
      <c r="AI555" s="1" t="n"/>
      <c r="AJ555" s="1" t="n"/>
    </row>
    <row r="556" ht="16.5" customHeight="1">
      <c r="A556" s="433" t="n"/>
      <c r="B556" s="433" t="n"/>
      <c r="C556" s="433" t="n"/>
      <c r="D556" s="433" t="n"/>
      <c r="E556" s="32" t="inlineStr">
        <is>
          <t>CHOTELAL MAHARA CHAMAR</t>
        </is>
      </c>
      <c r="F556" s="26" t="inlineStr">
        <is>
          <t>Soft Service</t>
        </is>
      </c>
      <c r="G556" s="425" t="inlineStr">
        <is>
          <t>-</t>
        </is>
      </c>
      <c r="H556" s="425" t="n">
        <v>2617334228</v>
      </c>
      <c r="I556" s="425" t="inlineStr">
        <is>
          <t>Additional</t>
        </is>
      </c>
      <c r="J556" s="496" t="n">
        <v>46217</v>
      </c>
      <c r="K556" s="14" t="inlineStr">
        <is>
          <t>Gulf vision</t>
        </is>
      </c>
      <c r="L556" s="20" t="inlineStr">
        <is>
          <t>-</t>
        </is>
      </c>
      <c r="N556" s="1" t="n"/>
      <c r="O556" s="1" t="n"/>
      <c r="P556" s="1" t="n"/>
      <c r="Q556" s="1" t="n"/>
      <c r="R556" s="1" t="n"/>
      <c r="S556" s="1" t="n"/>
      <c r="T556" s="1" t="n"/>
      <c r="U556" s="1" t="n"/>
      <c r="V556" s="1" t="n"/>
      <c r="W556" s="1" t="n"/>
      <c r="X556" s="1" t="n"/>
      <c r="Y556" s="1" t="n"/>
      <c r="Z556" s="1" t="n"/>
      <c r="AA556" s="1" t="n"/>
      <c r="AB556" s="1" t="n"/>
      <c r="AC556" s="1" t="n"/>
      <c r="AD556" s="1" t="n"/>
      <c r="AE556" s="1" t="n"/>
      <c r="AF556" s="1" t="n"/>
      <c r="AG556" s="1" t="n"/>
      <c r="AH556" s="1" t="n"/>
      <c r="AI556" s="1" t="n"/>
      <c r="AJ556" s="1" t="n"/>
    </row>
    <row r="557" ht="16.5" customHeight="1">
      <c r="A557" s="433" t="n"/>
      <c r="B557" s="433" t="n"/>
      <c r="C557" s="433" t="n"/>
      <c r="D557" s="433" t="n"/>
      <c r="E557" s="32" t="inlineStr">
        <is>
          <t>DIPENDRA PASMAN</t>
        </is>
      </c>
      <c r="F557" s="26" t="inlineStr">
        <is>
          <t>Soft Service</t>
        </is>
      </c>
      <c r="G557" s="425" t="inlineStr">
        <is>
          <t>-</t>
        </is>
      </c>
      <c r="H557" s="425" t="n">
        <v>2617334327</v>
      </c>
      <c r="I557" s="425" t="inlineStr">
        <is>
          <t>Additional</t>
        </is>
      </c>
      <c r="J557" s="496" t="n">
        <v>46217</v>
      </c>
      <c r="K557" s="14" t="inlineStr">
        <is>
          <t>Gulf vision</t>
        </is>
      </c>
      <c r="L557" s="20" t="inlineStr">
        <is>
          <t>-</t>
        </is>
      </c>
      <c r="N557" s="1" t="n"/>
      <c r="O557" s="1" t="n"/>
      <c r="P557" s="1" t="n"/>
      <c r="Q557" s="1" t="n"/>
      <c r="R557" s="1" t="n"/>
      <c r="S557" s="1" t="n"/>
      <c r="T557" s="1" t="n"/>
      <c r="U557" s="1" t="n"/>
      <c r="V557" s="1" t="n"/>
      <c r="W557" s="1" t="n"/>
      <c r="X557" s="1" t="n"/>
      <c r="Y557" s="1" t="n"/>
      <c r="Z557" s="1" t="n"/>
      <c r="AA557" s="1" t="n"/>
      <c r="AB557" s="1" t="n"/>
      <c r="AC557" s="1" t="n"/>
      <c r="AD557" s="1" t="n"/>
      <c r="AE557" s="1" t="n"/>
      <c r="AF557" s="1" t="n"/>
      <c r="AG557" s="1" t="n"/>
      <c r="AH557" s="1" t="n"/>
      <c r="AI557" s="1" t="n"/>
      <c r="AJ557" s="1" t="n"/>
    </row>
    <row r="558" ht="16.5" customHeight="1">
      <c r="A558" s="433" t="n"/>
      <c r="B558" s="433" t="n"/>
      <c r="C558" s="433" t="n"/>
      <c r="D558" s="433" t="n"/>
      <c r="E558" s="32" t="inlineStr">
        <is>
          <t>ROSHAN KUMAR MANDAL</t>
        </is>
      </c>
      <c r="F558" s="26" t="inlineStr">
        <is>
          <t>Soft Service</t>
        </is>
      </c>
      <c r="G558" s="425" t="inlineStr">
        <is>
          <t>-</t>
        </is>
      </c>
      <c r="H558" s="425" t="n">
        <v>2617336058</v>
      </c>
      <c r="I558" s="425" t="inlineStr">
        <is>
          <t>Additional</t>
        </is>
      </c>
      <c r="J558" s="496" t="n">
        <v>46217</v>
      </c>
      <c r="K558" s="14" t="inlineStr">
        <is>
          <t>Gulf vision</t>
        </is>
      </c>
      <c r="L558" s="20" t="inlineStr">
        <is>
          <t>-</t>
        </is>
      </c>
      <c r="N558" s="1" t="n"/>
      <c r="O558" s="1" t="n"/>
      <c r="P558" s="1" t="n"/>
      <c r="Q558" s="1" t="n"/>
      <c r="R558" s="1" t="n"/>
      <c r="S558" s="1" t="n"/>
      <c r="T558" s="1" t="n"/>
      <c r="U558" s="1" t="n"/>
      <c r="V558" s="1" t="n"/>
      <c r="W558" s="1" t="n"/>
      <c r="X558" s="1" t="n"/>
      <c r="Y558" s="1" t="n"/>
      <c r="Z558" s="1" t="n"/>
      <c r="AA558" s="1" t="n"/>
      <c r="AB558" s="1" t="n"/>
      <c r="AC558" s="1" t="n"/>
      <c r="AD558" s="1" t="n"/>
      <c r="AE558" s="1" t="n"/>
      <c r="AF558" s="1" t="n"/>
      <c r="AG558" s="1" t="n"/>
      <c r="AH558" s="1" t="n"/>
      <c r="AI558" s="1" t="n"/>
      <c r="AJ558" s="1" t="n"/>
    </row>
    <row r="559" ht="16.5" customHeight="1">
      <c r="A559" s="433" t="n"/>
      <c r="B559" s="433" t="n"/>
      <c r="C559" s="433" t="n"/>
      <c r="D559" s="433" t="n"/>
      <c r="E559" s="32" t="inlineStr">
        <is>
          <t>UDIT NARAYAN THAKUR</t>
        </is>
      </c>
      <c r="F559" s="26" t="inlineStr">
        <is>
          <t>Soft Service</t>
        </is>
      </c>
      <c r="G559" s="425" t="inlineStr">
        <is>
          <t>-</t>
        </is>
      </c>
      <c r="H559" s="425" t="n">
        <v>2617334657</v>
      </c>
      <c r="I559" s="425" t="inlineStr">
        <is>
          <t>Additional</t>
        </is>
      </c>
      <c r="J559" s="496" t="n">
        <v>46217</v>
      </c>
      <c r="K559" s="14" t="inlineStr">
        <is>
          <t>Gulf vision</t>
        </is>
      </c>
      <c r="L559" s="20" t="inlineStr">
        <is>
          <t>-</t>
        </is>
      </c>
      <c r="N559" s="1" t="n"/>
      <c r="O559" s="1" t="n"/>
      <c r="P559" s="1" t="n"/>
      <c r="Q559" s="1" t="n"/>
      <c r="R559" s="1" t="n"/>
      <c r="S559" s="1" t="n"/>
      <c r="T559" s="1" t="n"/>
      <c r="U559" s="1" t="n"/>
      <c r="V559" s="1" t="n"/>
      <c r="W559" s="1" t="n"/>
      <c r="X559" s="1" t="n"/>
      <c r="Y559" s="1" t="n"/>
      <c r="Z559" s="1" t="n"/>
      <c r="AA559" s="1" t="n"/>
      <c r="AB559" s="1" t="n"/>
      <c r="AC559" s="1" t="n"/>
      <c r="AD559" s="1" t="n"/>
      <c r="AE559" s="1" t="n"/>
      <c r="AF559" s="1" t="n"/>
      <c r="AG559" s="1" t="n"/>
      <c r="AH559" s="1" t="n"/>
      <c r="AI559" s="1" t="n"/>
      <c r="AJ559" s="1" t="n"/>
    </row>
    <row r="560" ht="16.5" customHeight="1">
      <c r="A560" s="433" t="n"/>
      <c r="B560" s="433" t="n"/>
      <c r="C560" s="433" t="n"/>
      <c r="D560" s="433" t="n"/>
      <c r="E560" s="32" t="inlineStr">
        <is>
          <t>ADITYA KUMAR  CHAUDHARY</t>
        </is>
      </c>
      <c r="F560" s="26" t="inlineStr">
        <is>
          <t>Soft Service</t>
        </is>
      </c>
      <c r="G560" s="425" t="n">
        <v>104936</v>
      </c>
      <c r="H560" s="425" t="n">
        <v>2447242005</v>
      </c>
      <c r="I560" s="425" t="inlineStr">
        <is>
          <t>Additional</t>
        </is>
      </c>
      <c r="J560" s="496" t="n">
        <v>46217</v>
      </c>
      <c r="K560" s="14" t="inlineStr">
        <is>
          <t>Mehan</t>
        </is>
      </c>
      <c r="L560" s="20" t="inlineStr">
        <is>
          <t>-</t>
        </is>
      </c>
      <c r="N560" s="1" t="n"/>
      <c r="O560" s="1" t="n"/>
      <c r="P560" s="1" t="n"/>
      <c r="Q560" s="1" t="n"/>
      <c r="R560" s="1" t="n"/>
      <c r="S560" s="1" t="n"/>
      <c r="T560" s="1" t="n"/>
      <c r="U560" s="1" t="n"/>
      <c r="V560" s="1" t="n"/>
      <c r="W560" s="1" t="n"/>
      <c r="X560" s="1" t="n"/>
      <c r="Y560" s="1" t="n"/>
      <c r="Z560" s="1" t="n"/>
      <c r="AA560" s="1" t="n"/>
      <c r="AB560" s="1" t="n"/>
      <c r="AC560" s="1" t="n"/>
      <c r="AD560" s="1" t="n"/>
      <c r="AE560" s="1" t="n"/>
      <c r="AF560" s="1" t="n"/>
      <c r="AG560" s="1" t="n"/>
      <c r="AH560" s="1" t="n"/>
      <c r="AI560" s="1" t="n"/>
      <c r="AJ560" s="1" t="n"/>
    </row>
    <row r="561" ht="16.5" customHeight="1">
      <c r="A561" s="433" t="n"/>
      <c r="B561" s="433" t="n"/>
      <c r="C561" s="433" t="n"/>
      <c r="D561" s="433" t="n"/>
      <c r="E561" s="32" t="inlineStr">
        <is>
          <t>MOHAMMAD - - RAFI</t>
        </is>
      </c>
      <c r="F561" s="26" t="inlineStr">
        <is>
          <t>Soft Service</t>
        </is>
      </c>
      <c r="G561" s="425" t="inlineStr">
        <is>
          <t>R07612</t>
        </is>
      </c>
      <c r="H561" s="425" t="n">
        <v>2592479782</v>
      </c>
      <c r="I561" s="425" t="inlineStr">
        <is>
          <t>Additional</t>
        </is>
      </c>
      <c r="J561" s="496" t="n">
        <v>46217</v>
      </c>
      <c r="K561" s="14" t="inlineStr">
        <is>
          <t>Mehan</t>
        </is>
      </c>
      <c r="L561" s="20" t="inlineStr">
        <is>
          <t>-</t>
        </is>
      </c>
      <c r="N561" s="1" t="n"/>
      <c r="O561" s="1" t="n"/>
      <c r="P561" s="1" t="n"/>
      <c r="Q561" s="1" t="n"/>
      <c r="R561" s="1" t="n"/>
      <c r="S561" s="1" t="n"/>
      <c r="T561" s="1" t="n"/>
      <c r="U561" s="1" t="n"/>
      <c r="V561" s="1" t="n"/>
      <c r="W561" s="1" t="n"/>
      <c r="X561" s="1" t="n"/>
      <c r="Y561" s="1" t="n"/>
      <c r="Z561" s="1" t="n"/>
      <c r="AA561" s="1" t="n"/>
      <c r="AB561" s="1" t="n"/>
      <c r="AC561" s="1" t="n"/>
      <c r="AD561" s="1" t="n"/>
      <c r="AE561" s="1" t="n"/>
      <c r="AF561" s="1" t="n"/>
      <c r="AG561" s="1" t="n"/>
      <c r="AH561" s="1" t="n"/>
      <c r="AI561" s="1" t="n"/>
      <c r="AJ561" s="1" t="n"/>
    </row>
    <row r="562" ht="16.5" customHeight="1">
      <c r="A562" s="433" t="n"/>
      <c r="B562" s="433" t="n"/>
      <c r="C562" s="433" t="n"/>
      <c r="D562" s="433" t="n"/>
      <c r="E562" s="32" t="inlineStr">
        <is>
          <t>MOHAMMAD NAIM MOHAMMAD IRFAN</t>
        </is>
      </c>
      <c r="F562" s="26" t="inlineStr">
        <is>
          <t>Soft Service</t>
        </is>
      </c>
      <c r="G562" s="425" t="inlineStr">
        <is>
          <t>R07567</t>
        </is>
      </c>
      <c r="H562" s="425" t="n">
        <v>2589836606</v>
      </c>
      <c r="I562" s="425" t="inlineStr">
        <is>
          <t>Additional</t>
        </is>
      </c>
      <c r="J562" s="496" t="n">
        <v>46217</v>
      </c>
      <c r="K562" s="14" t="inlineStr">
        <is>
          <t>Mehan</t>
        </is>
      </c>
      <c r="L562" s="20" t="inlineStr">
        <is>
          <t>-</t>
        </is>
      </c>
      <c r="N562" s="1" t="n"/>
      <c r="O562" s="1" t="n"/>
      <c r="P562" s="1" t="n"/>
      <c r="Q562" s="1" t="n"/>
      <c r="R562" s="1" t="n"/>
      <c r="S562" s="1" t="n"/>
      <c r="T562" s="1" t="n"/>
      <c r="U562" s="1" t="n"/>
      <c r="V562" s="1" t="n"/>
      <c r="W562" s="1" t="n"/>
      <c r="X562" s="1" t="n"/>
      <c r="Y562" s="1" t="n"/>
      <c r="Z562" s="1" t="n"/>
      <c r="AA562" s="1" t="n"/>
      <c r="AB562" s="1" t="n"/>
      <c r="AC562" s="1" t="n"/>
      <c r="AD562" s="1" t="n"/>
      <c r="AE562" s="1" t="n"/>
      <c r="AF562" s="1" t="n"/>
      <c r="AG562" s="1" t="n"/>
      <c r="AH562" s="1" t="n"/>
      <c r="AI562" s="1" t="n"/>
      <c r="AJ562" s="1" t="n"/>
    </row>
    <row r="563" ht="16.5" customHeight="1">
      <c r="A563" s="433" t="n"/>
      <c r="B563" s="433" t="n"/>
      <c r="C563" s="433" t="n"/>
      <c r="D563" s="433" t="n"/>
      <c r="E563" s="32" t="inlineStr">
        <is>
          <t>IRFAN - - ALI</t>
        </is>
      </c>
      <c r="F563" s="26" t="inlineStr">
        <is>
          <t>Soft Service</t>
        </is>
      </c>
      <c r="G563" s="425" t="inlineStr">
        <is>
          <t>R09553</t>
        </is>
      </c>
      <c r="H563" s="425" t="n">
        <v>2615110166</v>
      </c>
      <c r="I563" s="425" t="inlineStr">
        <is>
          <t>Additional</t>
        </is>
      </c>
      <c r="J563" s="496" t="n">
        <v>46217</v>
      </c>
      <c r="K563" s="14" t="inlineStr">
        <is>
          <t>Mehan</t>
        </is>
      </c>
      <c r="L563" s="20" t="inlineStr">
        <is>
          <t>-</t>
        </is>
      </c>
      <c r="N563" s="1" t="n"/>
      <c r="O563" s="1" t="n"/>
      <c r="P563" s="1" t="n"/>
      <c r="Q563" s="1" t="n"/>
      <c r="R563" s="1" t="n"/>
      <c r="S563" s="1" t="n"/>
      <c r="T563" s="1" t="n"/>
      <c r="U563" s="1" t="n"/>
      <c r="V563" s="1" t="n"/>
      <c r="W563" s="1" t="n"/>
      <c r="X563" s="1" t="n"/>
      <c r="Y563" s="1" t="n"/>
      <c r="Z563" s="1" t="n"/>
      <c r="AA563" s="1" t="n"/>
      <c r="AB563" s="1" t="n"/>
      <c r="AC563" s="1" t="n"/>
      <c r="AD563" s="1" t="n"/>
      <c r="AE563" s="1" t="n"/>
      <c r="AF563" s="1" t="n"/>
      <c r="AG563" s="1" t="n"/>
      <c r="AH563" s="1" t="n"/>
      <c r="AI563" s="1" t="n"/>
      <c r="AJ563" s="1" t="n"/>
    </row>
    <row r="564" ht="16.5" customHeight="1">
      <c r="A564" s="433" t="n"/>
      <c r="B564" s="433" t="n"/>
      <c r="C564" s="433" t="n"/>
      <c r="D564" s="433" t="n"/>
      <c r="E564" s="32" t="n"/>
      <c r="F564" s="26" t="inlineStr">
        <is>
          <t>SOFT SERVICE</t>
        </is>
      </c>
      <c r="G564" s="425" t="inlineStr">
        <is>
          <t>-</t>
        </is>
      </c>
      <c r="H564" s="425" t="inlineStr">
        <is>
          <t>-</t>
        </is>
      </c>
      <c r="I564" s="425" t="inlineStr">
        <is>
          <t>Vacant</t>
        </is>
      </c>
      <c r="J564" s="496" t="n"/>
      <c r="K564" s="14" t="inlineStr">
        <is>
          <t>-</t>
        </is>
      </c>
      <c r="L564" s="20" t="n"/>
      <c r="N564" s="1" t="n"/>
      <c r="O564" s="1" t="n"/>
      <c r="P564" s="1" t="n"/>
      <c r="Q564" s="1" t="n"/>
      <c r="R564" s="1" t="n"/>
      <c r="S564" s="1" t="n"/>
      <c r="T564" s="1" t="n"/>
      <c r="U564" s="1" t="n"/>
      <c r="V564" s="1" t="n"/>
      <c r="W564" s="1" t="n"/>
      <c r="X564" s="1" t="n"/>
      <c r="Y564" s="1" t="n"/>
      <c r="Z564" s="1" t="n"/>
      <c r="AA564" s="1" t="n"/>
      <c r="AB564" s="1" t="n"/>
      <c r="AC564" s="1" t="n"/>
      <c r="AD564" s="1" t="n"/>
      <c r="AE564" s="1" t="n"/>
      <c r="AF564" s="1" t="n"/>
      <c r="AG564" s="1" t="n"/>
      <c r="AH564" s="1" t="n"/>
      <c r="AI564" s="1" t="n"/>
      <c r="AJ564" s="1" t="n"/>
    </row>
    <row r="565" ht="16.5" customHeight="1">
      <c r="A565" s="434" t="n"/>
      <c r="B565" s="434" t="n"/>
      <c r="C565" s="434" t="n"/>
      <c r="D565" s="434" t="n"/>
      <c r="E565" s="32" t="inlineStr">
        <is>
          <t>MO ARIF - ALEEM</t>
        </is>
      </c>
      <c r="F565" s="26" t="inlineStr">
        <is>
          <t>Soft Service</t>
        </is>
      </c>
      <c r="G565" s="425" t="inlineStr">
        <is>
          <t>L00504</t>
        </is>
      </c>
      <c r="H565" s="425" t="n">
        <v>2628342343</v>
      </c>
      <c r="I565" s="425" t="inlineStr">
        <is>
          <t>Additional</t>
        </is>
      </c>
      <c r="J565" s="496" t="n">
        <v>46217</v>
      </c>
      <c r="K565" s="14" t="inlineStr">
        <is>
          <t>Mehan</t>
        </is>
      </c>
      <c r="L565" s="20" t="inlineStr">
        <is>
          <t>-</t>
        </is>
      </c>
      <c r="N565" s="1" t="n"/>
      <c r="O565" s="1" t="n"/>
      <c r="P565" s="1" t="n"/>
      <c r="Q565" s="1" t="n"/>
      <c r="R565" s="1" t="n"/>
      <c r="S565" s="1" t="n"/>
      <c r="T565" s="1" t="n"/>
      <c r="U565" s="1" t="n"/>
      <c r="V565" s="1" t="n"/>
      <c r="W565" s="1" t="n"/>
      <c r="X565" s="1" t="n"/>
      <c r="Y565" s="1" t="n"/>
      <c r="Z565" s="1" t="n"/>
      <c r="AA565" s="1" t="n"/>
      <c r="AB565" s="1" t="n"/>
      <c r="AC565" s="1" t="n"/>
      <c r="AD565" s="1" t="n"/>
      <c r="AE565" s="1" t="n"/>
      <c r="AF565" s="1" t="n"/>
      <c r="AG565" s="1" t="n"/>
      <c r="AH565" s="1" t="n"/>
      <c r="AI565" s="1" t="n"/>
      <c r="AJ565" s="1" t="n"/>
    </row>
    <row r="566" ht="15" customHeight="1">
      <c r="A566" s="424" t="inlineStr">
        <is>
          <t>Driver</t>
        </is>
      </c>
      <c r="B566" s="425" t="n">
        <v>0</v>
      </c>
      <c r="C566" s="425">
        <f>COUNTIF(E566:E579,"&lt;&gt;")</f>
        <v/>
      </c>
      <c r="D566" s="438" t="n">
        <v>0</v>
      </c>
      <c r="E566" s="22" t="inlineStr">
        <is>
          <t>Mohd Faijan</t>
        </is>
      </c>
      <c r="F566" s="19" t="inlineStr">
        <is>
          <t>Logistic Services</t>
        </is>
      </c>
      <c r="G566" s="27" t="n">
        <v>703074</v>
      </c>
      <c r="H566" s="19" t="n">
        <v>2569953355</v>
      </c>
      <c r="I566" s="425" t="inlineStr">
        <is>
          <t>Additional</t>
        </is>
      </c>
      <c r="J566" s="496" t="n">
        <v>45941</v>
      </c>
      <c r="K566" s="28" t="inlineStr">
        <is>
          <t>FMCO</t>
        </is>
      </c>
      <c r="L566" s="20" t="inlineStr">
        <is>
          <t>-</t>
        </is>
      </c>
      <c r="N566" s="1" t="n"/>
      <c r="O566" s="1" t="n"/>
      <c r="P566" s="1" t="n"/>
      <c r="Q566" s="1" t="n"/>
      <c r="R566" s="1" t="n"/>
      <c r="S566" s="1" t="n"/>
      <c r="T566" s="1" t="n"/>
      <c r="U566" s="1" t="n"/>
      <c r="V566" s="1" t="n"/>
      <c r="W566" s="1" t="n"/>
      <c r="X566" s="1" t="n"/>
      <c r="Y566" s="1" t="n"/>
      <c r="Z566" s="1" t="n"/>
      <c r="AA566" s="1" t="n"/>
      <c r="AB566" s="1" t="n"/>
      <c r="AC566" s="1" t="n"/>
      <c r="AD566" s="1" t="n"/>
      <c r="AE566" s="1" t="n"/>
      <c r="AF566" s="1" t="n"/>
      <c r="AG566" s="1" t="n"/>
      <c r="AH566" s="1" t="n"/>
      <c r="AI566" s="1" t="n"/>
      <c r="AJ566" s="1" t="n"/>
    </row>
    <row r="567" ht="15" customHeight="1">
      <c r="A567" s="433" t="n"/>
      <c r="B567" s="433" t="n"/>
      <c r="C567" s="433" t="n"/>
      <c r="D567" s="433" t="n"/>
      <c r="E567" s="22" t="inlineStr">
        <is>
          <t>Amir Jan Mashal Khan</t>
        </is>
      </c>
      <c r="F567" s="19" t="inlineStr">
        <is>
          <t>Logistic Services</t>
        </is>
      </c>
      <c r="G567" s="27" t="n">
        <v>703275</v>
      </c>
      <c r="H567" s="19" t="n">
        <v>2555290341</v>
      </c>
      <c r="I567" s="425" t="inlineStr">
        <is>
          <t>Additional</t>
        </is>
      </c>
      <c r="J567" s="496" t="n">
        <v>45869</v>
      </c>
      <c r="K567" s="28" t="inlineStr">
        <is>
          <t>FMCO</t>
        </is>
      </c>
      <c r="L567" s="20" t="inlineStr">
        <is>
          <t>-</t>
        </is>
      </c>
      <c r="N567" s="1" t="n"/>
      <c r="O567" s="1" t="n"/>
      <c r="P567" s="1" t="n"/>
      <c r="Q567" s="1" t="n"/>
      <c r="R567" s="1" t="n"/>
      <c r="S567" s="1" t="n"/>
      <c r="T567" s="1" t="n"/>
      <c r="U567" s="1" t="n"/>
      <c r="V567" s="1" t="n"/>
      <c r="W567" s="1" t="n"/>
      <c r="X567" s="1" t="n"/>
      <c r="Y567" s="1" t="n"/>
      <c r="Z567" s="1" t="n"/>
      <c r="AA567" s="1" t="n"/>
      <c r="AB567" s="1" t="n"/>
      <c r="AC567" s="1" t="n"/>
      <c r="AD567" s="1" t="n"/>
      <c r="AE567" s="1" t="n"/>
      <c r="AF567" s="1" t="n"/>
      <c r="AG567" s="1" t="n"/>
      <c r="AH567" s="1" t="n"/>
      <c r="AI567" s="1" t="n"/>
      <c r="AJ567" s="1" t="n"/>
    </row>
    <row r="568" ht="15" customHeight="1">
      <c r="A568" s="433" t="n"/>
      <c r="B568" s="433" t="n"/>
      <c r="C568" s="433" t="n"/>
      <c r="D568" s="433" t="n"/>
      <c r="E568" s="22" t="inlineStr">
        <is>
          <t>Shamshad Naseem</t>
        </is>
      </c>
      <c r="F568" s="19" t="inlineStr">
        <is>
          <t>Logistic Services</t>
        </is>
      </c>
      <c r="G568" s="27" t="n">
        <v>701746</v>
      </c>
      <c r="H568" s="19" t="n">
        <v>2536763655</v>
      </c>
      <c r="I568" s="425" t="inlineStr">
        <is>
          <t>Additional</t>
        </is>
      </c>
      <c r="J568" s="496" t="n">
        <v>45796</v>
      </c>
      <c r="K568" s="28" t="inlineStr">
        <is>
          <t>FMCO</t>
        </is>
      </c>
      <c r="L568" s="20" t="n"/>
      <c r="N568" s="1" t="n"/>
      <c r="O568" s="1" t="n"/>
      <c r="P568" s="1" t="n"/>
      <c r="Q568" s="1" t="n"/>
      <c r="R568" s="1" t="n"/>
      <c r="S568" s="1" t="n"/>
      <c r="T568" s="1" t="n"/>
      <c r="U568" s="1" t="n"/>
      <c r="V568" s="1" t="n"/>
      <c r="W568" s="1" t="n"/>
      <c r="X568" s="1" t="n"/>
      <c r="Y568" s="1" t="n"/>
      <c r="Z568" s="1" t="n"/>
      <c r="AA568" s="1" t="n"/>
      <c r="AB568" s="1" t="n"/>
      <c r="AC568" s="1" t="n"/>
      <c r="AD568" s="1" t="n"/>
      <c r="AE568" s="1" t="n"/>
      <c r="AF568" s="1" t="n"/>
      <c r="AG568" s="1" t="n"/>
      <c r="AH568" s="1" t="n"/>
      <c r="AI568" s="1" t="n"/>
      <c r="AJ568" s="1" t="n"/>
    </row>
    <row r="569" ht="15" customHeight="1">
      <c r="A569" s="433" t="n"/>
      <c r="B569" s="433" t="n"/>
      <c r="C569" s="433" t="n"/>
      <c r="D569" s="433" t="n"/>
      <c r="E569" s="22" t="inlineStr">
        <is>
          <t>Abdul Hakeem</t>
        </is>
      </c>
      <c r="F569" s="19" t="inlineStr">
        <is>
          <t>Logistic Services</t>
        </is>
      </c>
      <c r="G569" s="27" t="n">
        <v>703131</v>
      </c>
      <c r="H569" s="19" t="n">
        <v>2569584382</v>
      </c>
      <c r="I569" s="425" t="inlineStr">
        <is>
          <t>Additional</t>
        </is>
      </c>
      <c r="J569" s="496" t="n">
        <v>45452</v>
      </c>
      <c r="K569" s="28" t="inlineStr">
        <is>
          <t>FMCO</t>
        </is>
      </c>
      <c r="L569" s="20" t="inlineStr">
        <is>
          <t>-</t>
        </is>
      </c>
      <c r="N569" s="1" t="n"/>
      <c r="O569" s="1" t="n"/>
      <c r="P569" s="1" t="n"/>
      <c r="Q569" s="1" t="n"/>
      <c r="R569" s="1" t="n"/>
      <c r="S569" s="1" t="n"/>
      <c r="T569" s="1" t="n"/>
      <c r="U569" s="1" t="n"/>
      <c r="V569" s="1" t="n"/>
      <c r="W569" s="1" t="n"/>
      <c r="X569" s="1" t="n"/>
      <c r="Y569" s="1" t="n"/>
      <c r="Z569" s="1" t="n"/>
      <c r="AA569" s="1" t="n"/>
      <c r="AB569" s="1" t="n"/>
      <c r="AC569" s="1" t="n"/>
      <c r="AD569" s="1" t="n"/>
      <c r="AE569" s="1" t="n"/>
      <c r="AF569" s="1" t="n"/>
      <c r="AG569" s="1" t="n"/>
      <c r="AH569" s="1" t="n"/>
      <c r="AI569" s="1" t="n"/>
      <c r="AJ569" s="1" t="n"/>
    </row>
    <row r="570" ht="15" customHeight="1">
      <c r="A570" s="433" t="n"/>
      <c r="B570" s="433" t="n"/>
      <c r="C570" s="433" t="n"/>
      <c r="D570" s="433" t="n"/>
      <c r="E570" s="22" t="inlineStr">
        <is>
          <t>Kamran Khan Abdul Jabbar</t>
        </is>
      </c>
      <c r="F570" s="19" t="inlineStr">
        <is>
          <t>Logistic Services</t>
        </is>
      </c>
      <c r="G570" s="27" t="n">
        <v>703188</v>
      </c>
      <c r="H570" s="19" t="n">
        <v>2565687973</v>
      </c>
      <c r="I570" s="425" t="inlineStr">
        <is>
          <t>Additional</t>
        </is>
      </c>
      <c r="J570" s="496" t="n">
        <v>45610</v>
      </c>
      <c r="K570" s="28" t="inlineStr">
        <is>
          <t>FMCO</t>
        </is>
      </c>
      <c r="L570" s="20" t="inlineStr">
        <is>
          <t>-</t>
        </is>
      </c>
      <c r="N570" s="1" t="n"/>
      <c r="O570" s="1" t="n"/>
      <c r="P570" s="1" t="n"/>
      <c r="Q570" s="1" t="n"/>
      <c r="R570" s="1" t="n"/>
      <c r="S570" s="1" t="n"/>
      <c r="T570" s="1" t="n"/>
      <c r="U570" s="1" t="n"/>
      <c r="V570" s="1" t="n"/>
      <c r="W570" s="1" t="n"/>
      <c r="X570" s="1" t="n"/>
      <c r="Y570" s="1" t="n"/>
      <c r="Z570" s="1" t="n"/>
      <c r="AA570" s="1" t="n"/>
      <c r="AB570" s="1" t="n"/>
      <c r="AC570" s="1" t="n"/>
      <c r="AD570" s="1" t="n"/>
      <c r="AE570" s="1" t="n"/>
      <c r="AF570" s="1" t="n"/>
      <c r="AG570" s="1" t="n"/>
      <c r="AH570" s="1" t="n"/>
      <c r="AI570" s="1" t="n"/>
      <c r="AJ570" s="1" t="n"/>
    </row>
    <row r="571" ht="15" customHeight="1">
      <c r="A571" s="433" t="n"/>
      <c r="B571" s="433" t="n"/>
      <c r="C571" s="433" t="n"/>
      <c r="D571" s="433" t="n"/>
      <c r="E571" s="22" t="inlineStr">
        <is>
          <t>Noor Dad Ali Muhammad Amin Jan</t>
        </is>
      </c>
      <c r="F571" s="19" t="inlineStr">
        <is>
          <t>Logistic Services</t>
        </is>
      </c>
      <c r="G571" s="27" t="n">
        <v>700744</v>
      </c>
      <c r="H571" s="19" t="n">
        <v>2508675093</v>
      </c>
      <c r="I571" s="425" t="inlineStr">
        <is>
          <t>Additional</t>
        </is>
      </c>
      <c r="J571" s="496" t="n">
        <v>45932</v>
      </c>
      <c r="K571" s="28" t="inlineStr">
        <is>
          <t>FMCO</t>
        </is>
      </c>
      <c r="L571" s="20" t="inlineStr">
        <is>
          <t>-</t>
        </is>
      </c>
      <c r="N571" s="1" t="n"/>
      <c r="O571" s="1" t="n"/>
      <c r="P571" s="1" t="n"/>
      <c r="Q571" s="1" t="n"/>
      <c r="R571" s="1" t="n"/>
      <c r="S571" s="1" t="n"/>
      <c r="T571" s="1" t="n"/>
      <c r="U571" s="1" t="n"/>
      <c r="V571" s="1" t="n"/>
      <c r="W571" s="1" t="n"/>
      <c r="X571" s="1" t="n"/>
      <c r="Y571" s="1" t="n"/>
      <c r="Z571" s="1" t="n"/>
      <c r="AA571" s="1" t="n"/>
      <c r="AB571" s="1" t="n"/>
      <c r="AC571" s="1" t="n"/>
      <c r="AD571" s="1" t="n"/>
      <c r="AE571" s="1" t="n"/>
      <c r="AF571" s="1" t="n"/>
      <c r="AG571" s="1" t="n"/>
      <c r="AH571" s="1" t="n"/>
      <c r="AI571" s="1" t="n"/>
      <c r="AJ571" s="1" t="n"/>
    </row>
    <row r="572" ht="15" customHeight="1">
      <c r="A572" s="433" t="n"/>
      <c r="B572" s="433" t="n"/>
      <c r="C572" s="433" t="n"/>
      <c r="D572" s="433" t="n"/>
      <c r="E572" s="22" t="inlineStr">
        <is>
          <t>Tehseen Ullah</t>
        </is>
      </c>
      <c r="F572" s="19" t="inlineStr">
        <is>
          <t>Logistic Services</t>
        </is>
      </c>
      <c r="G572" s="27" t="inlineStr">
        <is>
          <t>C01461</t>
        </is>
      </c>
      <c r="H572" s="19" t="n">
        <v>2590400764</v>
      </c>
      <c r="I572" s="425" t="inlineStr">
        <is>
          <t>Additional</t>
        </is>
      </c>
      <c r="J572" s="496" t="n">
        <v>45983</v>
      </c>
      <c r="K572" s="28" t="inlineStr">
        <is>
          <t>MEHAN</t>
        </is>
      </c>
      <c r="L572" s="20" t="inlineStr">
        <is>
          <t>-</t>
        </is>
      </c>
      <c r="N572" s="1" t="n"/>
      <c r="O572" s="1" t="n"/>
      <c r="P572" s="1" t="n"/>
      <c r="Q572" s="1" t="n"/>
      <c r="R572" s="1" t="n"/>
      <c r="S572" s="1" t="n"/>
      <c r="T572" s="1" t="n"/>
      <c r="U572" s="1" t="n"/>
      <c r="V572" s="1" t="n"/>
      <c r="W572" s="1" t="n"/>
      <c r="X572" s="1" t="n"/>
      <c r="Y572" s="1" t="n"/>
      <c r="Z572" s="1" t="n"/>
      <c r="AA572" s="1" t="n"/>
      <c r="AB572" s="1" t="n"/>
      <c r="AC572" s="1" t="n"/>
      <c r="AD572" s="1" t="n"/>
      <c r="AE572" s="1" t="n"/>
      <c r="AF572" s="1" t="n"/>
      <c r="AG572" s="1" t="n"/>
      <c r="AH572" s="1" t="n"/>
      <c r="AI572" s="1" t="n"/>
      <c r="AJ572" s="1" t="n"/>
    </row>
    <row r="573" ht="15" customHeight="1">
      <c r="A573" s="433" t="n"/>
      <c r="B573" s="433" t="n"/>
      <c r="C573" s="433" t="n"/>
      <c r="D573" s="433" t="n"/>
      <c r="E573" s="22" t="inlineStr">
        <is>
          <t>Talha Ghous Ghulam Ghous</t>
        </is>
      </c>
      <c r="F573" s="19" t="inlineStr">
        <is>
          <t>Logistic Services</t>
        </is>
      </c>
      <c r="G573" s="27" t="inlineStr">
        <is>
          <t>-</t>
        </is>
      </c>
      <c r="H573" s="19" t="n">
        <v>2575064544</v>
      </c>
      <c r="I573" s="425" t="inlineStr">
        <is>
          <t>Additional</t>
        </is>
      </c>
      <c r="J573" s="496" t="n">
        <v>46011</v>
      </c>
      <c r="K573" s="28" t="inlineStr">
        <is>
          <t>ALFALAK</t>
        </is>
      </c>
      <c r="L573" s="20" t="inlineStr">
        <is>
          <t>-</t>
        </is>
      </c>
      <c r="N573" s="1" t="n"/>
      <c r="O573" s="1" t="n"/>
      <c r="P573" s="1" t="n"/>
      <c r="Q573" s="1" t="n"/>
      <c r="R573" s="1" t="n"/>
      <c r="S573" s="1" t="n"/>
      <c r="T573" s="1" t="n"/>
      <c r="U573" s="1" t="n"/>
      <c r="V573" s="1" t="n"/>
      <c r="W573" s="1" t="n"/>
      <c r="X573" s="1" t="n"/>
      <c r="Y573" s="1" t="n"/>
      <c r="Z573" s="1" t="n"/>
      <c r="AA573" s="1" t="n"/>
      <c r="AB573" s="1" t="n"/>
      <c r="AC573" s="1" t="n"/>
      <c r="AD573" s="1" t="n"/>
      <c r="AE573" s="1" t="n"/>
      <c r="AF573" s="1" t="n"/>
      <c r="AG573" s="1" t="n"/>
      <c r="AH573" s="1" t="n"/>
      <c r="AI573" s="1" t="n"/>
      <c r="AJ573" s="1" t="n"/>
    </row>
    <row r="574" ht="15" customHeight="1">
      <c r="A574" s="433" t="n"/>
      <c r="B574" s="433" t="n"/>
      <c r="C574" s="433" t="n"/>
      <c r="D574" s="433" t="n"/>
      <c r="E574" s="22" t="inlineStr">
        <is>
          <t>Sajid Iqbal</t>
        </is>
      </c>
      <c r="F574" s="26" t="inlineStr">
        <is>
          <t>Logistic Services</t>
        </is>
      </c>
      <c r="G574" s="27" t="inlineStr">
        <is>
          <t>-</t>
        </is>
      </c>
      <c r="H574" s="19" t="n">
        <v>2584557306</v>
      </c>
      <c r="I574" s="425" t="inlineStr">
        <is>
          <t>Additional</t>
        </is>
      </c>
      <c r="J574" s="496" t="n">
        <v>46160</v>
      </c>
      <c r="K574" s="28" t="inlineStr">
        <is>
          <t>AL SHARQIYA</t>
        </is>
      </c>
      <c r="L574" s="20" t="inlineStr">
        <is>
          <t>-</t>
        </is>
      </c>
      <c r="N574" s="1" t="n"/>
      <c r="O574" s="1" t="n"/>
      <c r="P574" s="1" t="n"/>
      <c r="Q574" s="1" t="n"/>
      <c r="R574" s="1" t="n"/>
      <c r="S574" s="1" t="n"/>
      <c r="T574" s="1" t="n"/>
      <c r="U574" s="1" t="n"/>
      <c r="V574" s="1" t="n"/>
      <c r="W574" s="1" t="n"/>
      <c r="X574" s="1" t="n"/>
      <c r="Y574" s="1" t="n"/>
      <c r="Z574" s="1" t="n"/>
      <c r="AA574" s="1" t="n"/>
      <c r="AB574" s="1" t="n"/>
      <c r="AC574" s="1" t="n"/>
      <c r="AD574" s="1" t="n"/>
      <c r="AE574" s="1" t="n"/>
      <c r="AF574" s="1" t="n"/>
      <c r="AG574" s="1" t="n"/>
      <c r="AH574" s="1" t="n"/>
      <c r="AI574" s="1" t="n"/>
      <c r="AJ574" s="1" t="n"/>
    </row>
    <row r="575" ht="15" customHeight="1">
      <c r="A575" s="433" t="n"/>
      <c r="B575" s="433" t="n"/>
      <c r="C575" s="433" t="n"/>
      <c r="D575" s="433" t="n"/>
      <c r="E575" s="22" t="inlineStr">
        <is>
          <t>Habib Ur Rahman Bakht Rahmankhan</t>
        </is>
      </c>
      <c r="F575" s="26" t="inlineStr">
        <is>
          <t>Logistic Services</t>
        </is>
      </c>
      <c r="G575" s="27" t="inlineStr">
        <is>
          <t>-</t>
        </is>
      </c>
      <c r="H575" s="19" t="n">
        <v>2508210628</v>
      </c>
      <c r="I575" s="425" t="inlineStr">
        <is>
          <t>Additional</t>
        </is>
      </c>
      <c r="J575" s="496" t="n">
        <v>46174</v>
      </c>
      <c r="K575" s="28" t="inlineStr">
        <is>
          <t>AL SHARQIYA</t>
        </is>
      </c>
      <c r="L575" s="20" t="inlineStr">
        <is>
          <t>-</t>
        </is>
      </c>
      <c r="N575" s="1" t="n"/>
      <c r="O575" s="1" t="n"/>
      <c r="P575" s="1" t="n"/>
      <c r="Q575" s="1" t="n"/>
      <c r="R575" s="1" t="n"/>
      <c r="S575" s="1" t="n"/>
      <c r="T575" s="1" t="n"/>
      <c r="U575" s="1" t="n"/>
      <c r="V575" s="1" t="n"/>
      <c r="W575" s="1" t="n"/>
      <c r="X575" s="1" t="n"/>
      <c r="Y575" s="1" t="n"/>
      <c r="Z575" s="1" t="n"/>
      <c r="AA575" s="1" t="n"/>
      <c r="AB575" s="1" t="n"/>
      <c r="AC575" s="1" t="n"/>
      <c r="AD575" s="1" t="n"/>
      <c r="AE575" s="1" t="n"/>
      <c r="AF575" s="1" t="n"/>
      <c r="AG575" s="1" t="n"/>
      <c r="AH575" s="1" t="n"/>
      <c r="AI575" s="1" t="n"/>
      <c r="AJ575" s="1" t="n"/>
    </row>
    <row r="576" ht="15" customHeight="1">
      <c r="A576" s="433" t="n"/>
      <c r="B576" s="433" t="n"/>
      <c r="C576" s="433" t="n"/>
      <c r="D576" s="433" t="n"/>
      <c r="E576" s="22" t="n"/>
      <c r="F576" s="26" t="inlineStr">
        <is>
          <t>Logistic Services</t>
        </is>
      </c>
      <c r="G576" s="27" t="inlineStr">
        <is>
          <t>-</t>
        </is>
      </c>
      <c r="H576" s="19" t="inlineStr">
        <is>
          <t>-</t>
        </is>
      </c>
      <c r="I576" s="425" t="inlineStr">
        <is>
          <t>Vacant</t>
        </is>
      </c>
      <c r="J576" s="496" t="n"/>
      <c r="K576" s="28" t="inlineStr">
        <is>
          <t>-</t>
        </is>
      </c>
      <c r="L576" s="20" t="n"/>
      <c r="N576" s="1" t="n"/>
      <c r="O576" s="1" t="n"/>
      <c r="P576" s="1" t="n"/>
      <c r="Q576" s="1" t="n"/>
      <c r="R576" s="1" t="n"/>
      <c r="S576" s="1" t="n"/>
      <c r="T576" s="1" t="n"/>
      <c r="U576" s="1" t="n"/>
      <c r="V576" s="1" t="n"/>
      <c r="W576" s="1" t="n"/>
      <c r="X576" s="1" t="n"/>
      <c r="Y576" s="1" t="n"/>
      <c r="Z576" s="1" t="n"/>
      <c r="AA576" s="1" t="n"/>
      <c r="AB576" s="1" t="n"/>
      <c r="AC576" s="1" t="n"/>
      <c r="AD576" s="1" t="n"/>
      <c r="AE576" s="1" t="n"/>
      <c r="AF576" s="1" t="n"/>
      <c r="AG576" s="1" t="n"/>
      <c r="AH576" s="1" t="n"/>
      <c r="AI576" s="1" t="n"/>
      <c r="AJ576" s="1" t="n"/>
    </row>
    <row r="577" ht="15" customHeight="1">
      <c r="A577" s="433" t="n"/>
      <c r="B577" s="433" t="n"/>
      <c r="C577" s="433" t="n"/>
      <c r="D577" s="433" t="n"/>
      <c r="E577" s="32" t="inlineStr">
        <is>
          <t>GHULAM AKBAR</t>
        </is>
      </c>
      <c r="F577" s="425" t="inlineStr">
        <is>
          <t>Logistic Services</t>
        </is>
      </c>
      <c r="G577" s="460" t="inlineStr">
        <is>
          <t>-</t>
        </is>
      </c>
      <c r="H577" s="460" t="n">
        <v>2518671363</v>
      </c>
      <c r="I577" s="425" t="inlineStr">
        <is>
          <t>Additional</t>
        </is>
      </c>
      <c r="J577" s="496" t="n">
        <v>46239</v>
      </c>
      <c r="K577" s="14" t="inlineStr">
        <is>
          <t>-</t>
        </is>
      </c>
      <c r="L577" s="23" t="inlineStr">
        <is>
          <t>-</t>
        </is>
      </c>
      <c r="N577" s="1" t="n"/>
      <c r="O577" s="1" t="n"/>
      <c r="P577" s="1" t="n"/>
      <c r="Q577" s="1" t="n"/>
      <c r="R577" s="1" t="n"/>
      <c r="S577" s="1" t="n"/>
      <c r="T577" s="1" t="n"/>
      <c r="U577" s="1" t="n"/>
      <c r="V577" s="1" t="n"/>
      <c r="W577" s="1" t="n"/>
      <c r="X577" s="1" t="n"/>
      <c r="Y577" s="1" t="n"/>
      <c r="Z577" s="1" t="n"/>
      <c r="AA577" s="1" t="n"/>
      <c r="AB577" s="1" t="n"/>
      <c r="AC577" s="1" t="n"/>
      <c r="AD577" s="1" t="n"/>
      <c r="AE577" s="1" t="n"/>
      <c r="AF577" s="1" t="n"/>
      <c r="AG577" s="1" t="n"/>
      <c r="AH577" s="1" t="n"/>
      <c r="AI577" s="1" t="n"/>
      <c r="AJ577" s="1" t="n"/>
    </row>
    <row r="578" ht="15" customHeight="1">
      <c r="A578" s="433" t="n"/>
      <c r="B578" s="433" t="n"/>
      <c r="C578" s="433" t="n"/>
      <c r="D578" s="433" t="n"/>
      <c r="E578" s="32" t="inlineStr">
        <is>
          <t>SANWAL IJAZ</t>
        </is>
      </c>
      <c r="F578" s="425" t="inlineStr">
        <is>
          <t>Logistic Services</t>
        </is>
      </c>
      <c r="G578" s="460" t="inlineStr">
        <is>
          <t>-</t>
        </is>
      </c>
      <c r="H578" s="460" t="n">
        <v>2579157690</v>
      </c>
      <c r="I578" s="425" t="inlineStr">
        <is>
          <t>Additional</t>
        </is>
      </c>
      <c r="J578" s="496" t="n">
        <v>46239</v>
      </c>
      <c r="K578" s="14" t="inlineStr">
        <is>
          <t>-</t>
        </is>
      </c>
      <c r="L578" s="23" t="inlineStr">
        <is>
          <t>-</t>
        </is>
      </c>
      <c r="N578" s="1" t="n"/>
      <c r="O578" s="1" t="n"/>
      <c r="P578" s="1" t="n"/>
      <c r="Q578" s="1" t="n"/>
      <c r="R578" s="1" t="n"/>
      <c r="S578" s="1" t="n"/>
      <c r="T578" s="1" t="n"/>
      <c r="U578" s="1" t="n"/>
      <c r="V578" s="1" t="n"/>
      <c r="W578" s="1" t="n"/>
      <c r="X578" s="1" t="n"/>
      <c r="Y578" s="1" t="n"/>
      <c r="Z578" s="1" t="n"/>
      <c r="AA578" s="1" t="n"/>
      <c r="AB578" s="1" t="n"/>
      <c r="AC578" s="1" t="n"/>
      <c r="AD578" s="1" t="n"/>
      <c r="AE578" s="1" t="n"/>
      <c r="AF578" s="1" t="n"/>
      <c r="AG578" s="1" t="n"/>
      <c r="AH578" s="1" t="n"/>
      <c r="AI578" s="1" t="n"/>
      <c r="AJ578" s="1" t="n"/>
    </row>
    <row r="579" ht="15" customHeight="1">
      <c r="A579" s="434" t="n"/>
      <c r="B579" s="434" t="n"/>
      <c r="C579" s="434" t="n"/>
      <c r="D579" s="434" t="n"/>
      <c r="E579" s="30" t="inlineStr">
        <is>
          <t>MUHAMMAD UMAIR KHAN</t>
        </is>
      </c>
      <c r="F579" s="425" t="inlineStr">
        <is>
          <t>Logistic Services</t>
        </is>
      </c>
      <c r="G579" s="460" t="inlineStr">
        <is>
          <t>-</t>
        </is>
      </c>
      <c r="H579" s="460" t="n">
        <v>2618423376</v>
      </c>
      <c r="I579" s="425" t="inlineStr">
        <is>
          <t>Additional</t>
        </is>
      </c>
      <c r="J579" s="496" t="n">
        <v>46174</v>
      </c>
      <c r="K579" s="14" t="inlineStr">
        <is>
          <t>AL SHARQIYA</t>
        </is>
      </c>
      <c r="L579" s="20" t="inlineStr">
        <is>
          <t>-</t>
        </is>
      </c>
      <c r="N579" s="1" t="n"/>
      <c r="O579" s="1" t="n"/>
      <c r="P579" s="1" t="n"/>
      <c r="Q579" s="1" t="n"/>
      <c r="R579" s="1" t="n"/>
      <c r="S579" s="1" t="n"/>
      <c r="T579" s="1" t="n"/>
      <c r="U579" s="1" t="n"/>
      <c r="V579" s="1" t="n"/>
      <c r="W579" s="1" t="n"/>
      <c r="X579" s="1" t="n"/>
      <c r="Y579" s="1" t="n"/>
      <c r="Z579" s="1" t="n"/>
      <c r="AA579" s="1" t="n"/>
      <c r="AB579" s="1" t="n"/>
      <c r="AC579" s="1" t="n"/>
      <c r="AD579" s="1" t="n"/>
      <c r="AE579" s="1" t="n"/>
      <c r="AF579" s="1" t="n"/>
      <c r="AG579" s="1" t="n"/>
      <c r="AH579" s="1" t="n"/>
      <c r="AI579" s="1" t="n"/>
      <c r="AJ579" s="1" t="n"/>
    </row>
    <row r="580" ht="15" customHeight="1">
      <c r="A580" s="424" t="inlineStr">
        <is>
          <t>Swimming Pool Supervisor</t>
        </is>
      </c>
      <c r="B580" s="425" t="n">
        <v>0</v>
      </c>
      <c r="C580" s="425">
        <f>COUNTIF(E580:E581,"&lt;&gt;")</f>
        <v/>
      </c>
      <c r="D580" s="438" t="n">
        <v>0</v>
      </c>
      <c r="E580" s="22" t="inlineStr">
        <is>
          <t>Lakshmi Narayana Swamy Kanna</t>
        </is>
      </c>
      <c r="F580" s="26" t="inlineStr">
        <is>
          <t>Hard Service</t>
        </is>
      </c>
      <c r="G580" s="27" t="n">
        <v>219280</v>
      </c>
      <c r="H580" s="19" t="n">
        <v>2622479497</v>
      </c>
      <c r="I580" s="425" t="inlineStr">
        <is>
          <t>Additional</t>
        </is>
      </c>
      <c r="J580" s="496" t="n">
        <v>45993</v>
      </c>
      <c r="K580" s="28" t="inlineStr">
        <is>
          <t>MASSADAR VISA</t>
        </is>
      </c>
      <c r="L580" s="20" t="inlineStr">
        <is>
          <t>-</t>
        </is>
      </c>
      <c r="N580" s="1" t="n"/>
      <c r="O580" s="1" t="n"/>
      <c r="P580" s="1" t="n"/>
      <c r="Q580" s="1" t="n"/>
      <c r="R580" s="1" t="n"/>
      <c r="S580" s="1" t="n"/>
      <c r="T580" s="1" t="n"/>
      <c r="U580" s="1" t="n"/>
      <c r="V580" s="1" t="n"/>
      <c r="W580" s="1" t="n"/>
      <c r="X580" s="1" t="n"/>
      <c r="Y580" s="1" t="n"/>
      <c r="Z580" s="1" t="n"/>
      <c r="AA580" s="1" t="n"/>
      <c r="AB580" s="1" t="n"/>
      <c r="AC580" s="1" t="n"/>
      <c r="AD580" s="1" t="n"/>
      <c r="AE580" s="1" t="n"/>
      <c r="AF580" s="1" t="n"/>
      <c r="AG580" s="1" t="n"/>
      <c r="AH580" s="1" t="n"/>
      <c r="AI580" s="1" t="n"/>
      <c r="AJ580" s="1" t="n"/>
    </row>
    <row r="581" ht="15" customHeight="1">
      <c r="A581" s="434" t="n"/>
      <c r="B581" s="434" t="n"/>
      <c r="C581" s="434" t="n"/>
      <c r="D581" s="434" t="n"/>
      <c r="E581" s="22" t="inlineStr">
        <is>
          <t>Avnish Kumar</t>
        </is>
      </c>
      <c r="F581" s="26" t="inlineStr">
        <is>
          <t>Hard Service</t>
        </is>
      </c>
      <c r="G581" s="27" t="n">
        <v>219399</v>
      </c>
      <c r="H581" s="19" t="n">
        <v>2622658124</v>
      </c>
      <c r="I581" s="425" t="inlineStr">
        <is>
          <t>Additional</t>
        </is>
      </c>
      <c r="J581" s="496" t="n">
        <v>46014</v>
      </c>
      <c r="K581" s="28" t="inlineStr">
        <is>
          <t>MASSADAR VISA</t>
        </is>
      </c>
      <c r="L581" s="20" t="inlineStr">
        <is>
          <t>-</t>
        </is>
      </c>
      <c r="N581" s="1" t="n"/>
      <c r="O581" s="1" t="n"/>
      <c r="P581" s="1" t="n"/>
      <c r="Q581" s="1" t="n"/>
      <c r="R581" s="1" t="n"/>
      <c r="S581" s="1" t="n"/>
      <c r="T581" s="1" t="n"/>
      <c r="U581" s="1" t="n"/>
      <c r="V581" s="1" t="n"/>
      <c r="W581" s="1" t="n"/>
      <c r="X581" s="1" t="n"/>
      <c r="Y581" s="1" t="n"/>
      <c r="Z581" s="1" t="n"/>
      <c r="AA581" s="1" t="n"/>
      <c r="AB581" s="1" t="n"/>
      <c r="AC581" s="1" t="n"/>
      <c r="AD581" s="1" t="n"/>
      <c r="AE581" s="1" t="n"/>
      <c r="AF581" s="1" t="n"/>
      <c r="AG581" s="1" t="n"/>
      <c r="AH581" s="1" t="n"/>
      <c r="AI581" s="1" t="n"/>
      <c r="AJ581" s="1" t="n"/>
    </row>
    <row r="582" ht="15" customHeight="1">
      <c r="A582" s="424" t="inlineStr">
        <is>
          <t>Swimming Pool Technician</t>
        </is>
      </c>
      <c r="B582" s="425" t="n">
        <v>0</v>
      </c>
      <c r="C582" s="425">
        <f>COUNTIF(E582:E586,"&lt;&gt;")</f>
        <v/>
      </c>
      <c r="D582" s="438" t="n">
        <v>0</v>
      </c>
      <c r="E582" s="22" t="inlineStr">
        <is>
          <t>Aftab Ansari</t>
        </is>
      </c>
      <c r="F582" s="26" t="inlineStr">
        <is>
          <t>Hard Service</t>
        </is>
      </c>
      <c r="G582" s="27" t="inlineStr">
        <is>
          <t>EM-0003362</t>
        </is>
      </c>
      <c r="H582" s="19" t="n">
        <v>2629654217</v>
      </c>
      <c r="I582" s="425" t="inlineStr">
        <is>
          <t>Additional</t>
        </is>
      </c>
      <c r="J582" s="496" t="n">
        <v>46065</v>
      </c>
      <c r="K582" s="28" t="inlineStr">
        <is>
          <t>ALFALAK</t>
        </is>
      </c>
      <c r="L582" s="20" t="inlineStr">
        <is>
          <t>-</t>
        </is>
      </c>
      <c r="N582" s="1" t="n"/>
      <c r="O582" s="1" t="n"/>
      <c r="P582" s="1" t="n"/>
      <c r="Q582" s="1" t="n"/>
      <c r="R582" s="1" t="n"/>
      <c r="S582" s="1" t="n"/>
      <c r="T582" s="1" t="n"/>
      <c r="U582" s="1" t="n"/>
      <c r="V582" s="1" t="n"/>
      <c r="W582" s="1" t="n"/>
      <c r="X582" s="1" t="n"/>
      <c r="Y582" s="1" t="n"/>
      <c r="Z582" s="1" t="n"/>
      <c r="AA582" s="1" t="n"/>
      <c r="AB582" s="1" t="n"/>
      <c r="AC582" s="1" t="n"/>
      <c r="AD582" s="1" t="n"/>
      <c r="AE582" s="1" t="n"/>
      <c r="AF582" s="1" t="n"/>
      <c r="AG582" s="1" t="n"/>
      <c r="AH582" s="1" t="n"/>
      <c r="AI582" s="1" t="n"/>
      <c r="AJ582" s="1" t="n"/>
    </row>
    <row r="583" ht="15" customHeight="1">
      <c r="A583" s="433" t="n"/>
      <c r="B583" s="433" t="n"/>
      <c r="C583" s="433" t="n"/>
      <c r="D583" s="433" t="n"/>
      <c r="E583" s="22" t="inlineStr">
        <is>
          <t>Manzar Alam</t>
        </is>
      </c>
      <c r="F583" s="26" t="inlineStr">
        <is>
          <t>Hard Service</t>
        </is>
      </c>
      <c r="G583" s="27" t="inlineStr">
        <is>
          <t>EM-0003411</t>
        </is>
      </c>
      <c r="H583" s="19" t="n">
        <v>2629655867</v>
      </c>
      <c r="I583" s="425" t="inlineStr">
        <is>
          <t>Additional</t>
        </is>
      </c>
      <c r="J583" s="496" t="n">
        <v>46065</v>
      </c>
      <c r="K583" s="28" t="inlineStr">
        <is>
          <t>ALFALAK</t>
        </is>
      </c>
      <c r="L583" s="20" t="inlineStr">
        <is>
          <t>-</t>
        </is>
      </c>
      <c r="N583" s="1" t="n"/>
      <c r="O583" s="1" t="n"/>
      <c r="P583" s="1" t="n"/>
      <c r="Q583" s="1" t="n"/>
      <c r="R583" s="1" t="n"/>
      <c r="S583" s="1" t="n"/>
      <c r="T583" s="1" t="n"/>
      <c r="U583" s="1" t="n"/>
      <c r="V583" s="1" t="n"/>
      <c r="W583" s="1" t="n"/>
      <c r="X583" s="1" t="n"/>
      <c r="Y583" s="1" t="n"/>
      <c r="Z583" s="1" t="n"/>
      <c r="AA583" s="1" t="n"/>
      <c r="AB583" s="1" t="n"/>
      <c r="AC583" s="1" t="n"/>
      <c r="AD583" s="1" t="n"/>
      <c r="AE583" s="1" t="n"/>
      <c r="AF583" s="1" t="n"/>
      <c r="AG583" s="1" t="n"/>
      <c r="AH583" s="1" t="n"/>
      <c r="AI583" s="1" t="n"/>
      <c r="AJ583" s="1" t="n"/>
    </row>
    <row r="584" ht="15" customHeight="1">
      <c r="A584" s="433" t="n"/>
      <c r="B584" s="433" t="n"/>
      <c r="C584" s="433" t="n"/>
      <c r="D584" s="433" t="n"/>
      <c r="E584" s="22" t="inlineStr">
        <is>
          <t>Arman Ansari</t>
        </is>
      </c>
      <c r="F584" s="26" t="inlineStr">
        <is>
          <t>Hard Service</t>
        </is>
      </c>
      <c r="G584" s="27" t="inlineStr">
        <is>
          <t>EM-0003543</t>
        </is>
      </c>
      <c r="H584" s="19" t="n">
        <v>2630787899</v>
      </c>
      <c r="I584" s="425" t="inlineStr">
        <is>
          <t>Additional</t>
        </is>
      </c>
      <c r="J584" s="496" t="n">
        <v>46081</v>
      </c>
      <c r="K584" s="28" t="inlineStr">
        <is>
          <t>AL FALAK</t>
        </is>
      </c>
      <c r="L584" s="20" t="inlineStr">
        <is>
          <t>-</t>
        </is>
      </c>
      <c r="N584" s="1" t="n"/>
      <c r="O584" s="1" t="n"/>
      <c r="P584" s="1" t="n"/>
      <c r="Q584" s="1" t="n"/>
      <c r="R584" s="1" t="n"/>
      <c r="S584" s="1" t="n"/>
      <c r="T584" s="1" t="n"/>
      <c r="U584" s="1" t="n"/>
      <c r="V584" s="1" t="n"/>
      <c r="W584" s="1" t="n"/>
      <c r="X584" s="1" t="n"/>
      <c r="Y584" s="1" t="n"/>
      <c r="Z584" s="1" t="n"/>
      <c r="AA584" s="1" t="n"/>
      <c r="AB584" s="1" t="n"/>
      <c r="AC584" s="1" t="n"/>
      <c r="AD584" s="1" t="n"/>
      <c r="AE584" s="1" t="n"/>
      <c r="AF584" s="1" t="n"/>
      <c r="AG584" s="1" t="n"/>
      <c r="AH584" s="1" t="n"/>
      <c r="AI584" s="1" t="n"/>
      <c r="AJ584" s="1" t="n"/>
    </row>
    <row r="585" ht="15" customHeight="1">
      <c r="A585" s="433" t="n"/>
      <c r="B585" s="433" t="n"/>
      <c r="C585" s="433" t="n"/>
      <c r="D585" s="433" t="n"/>
      <c r="E585" s="22" t="inlineStr">
        <is>
          <t>Md Meraj Hussain</t>
        </is>
      </c>
      <c r="F585" s="26" t="inlineStr">
        <is>
          <t>Hard Service</t>
        </is>
      </c>
      <c r="G585" s="27" t="inlineStr">
        <is>
          <t>EM-0003179</t>
        </is>
      </c>
      <c r="H585" s="19" t="n">
        <v>2624621112</v>
      </c>
      <c r="I585" s="425" t="inlineStr">
        <is>
          <t>Additional</t>
        </is>
      </c>
      <c r="J585" s="496" t="n">
        <v>46016</v>
      </c>
      <c r="K585" s="28" t="inlineStr">
        <is>
          <t>AL FALAK</t>
        </is>
      </c>
      <c r="L585" s="20" t="inlineStr">
        <is>
          <t>-</t>
        </is>
      </c>
      <c r="N585" s="1" t="n"/>
      <c r="O585" s="1" t="n"/>
      <c r="P585" s="1" t="n"/>
      <c r="Q585" s="1" t="n"/>
      <c r="R585" s="1" t="n"/>
      <c r="S585" s="1" t="n"/>
      <c r="T585" s="1" t="n"/>
      <c r="U585" s="1" t="n"/>
      <c r="V585" s="1" t="n"/>
      <c r="W585" s="1" t="n"/>
      <c r="X585" s="1" t="n"/>
      <c r="Y585" s="1" t="n"/>
      <c r="Z585" s="1" t="n"/>
      <c r="AA585" s="1" t="n"/>
      <c r="AB585" s="1" t="n"/>
      <c r="AC585" s="1" t="n"/>
      <c r="AD585" s="1" t="n"/>
      <c r="AE585" s="1" t="n"/>
      <c r="AF585" s="1" t="n"/>
      <c r="AG585" s="1" t="n"/>
      <c r="AH585" s="1" t="n"/>
      <c r="AI585" s="1" t="n"/>
      <c r="AJ585" s="1" t="n"/>
    </row>
    <row r="586" ht="15" customHeight="1">
      <c r="A586" s="434" t="n"/>
      <c r="B586" s="434" t="n"/>
      <c r="C586" s="434" t="n"/>
      <c r="D586" s="434" t="n"/>
      <c r="E586" s="22" t="inlineStr">
        <is>
          <t>Md Asharaf Alam</t>
        </is>
      </c>
      <c r="F586" s="26" t="inlineStr">
        <is>
          <t>Hard Service</t>
        </is>
      </c>
      <c r="G586" s="27" t="inlineStr">
        <is>
          <t>C01628</t>
        </is>
      </c>
      <c r="H586" s="19" t="n">
        <v>2630877831</v>
      </c>
      <c r="I586" s="425" t="inlineStr">
        <is>
          <t>Additional</t>
        </is>
      </c>
      <c r="J586" s="496" t="n">
        <v>46081</v>
      </c>
      <c r="K586" s="28" t="inlineStr">
        <is>
          <t>MEHAN</t>
        </is>
      </c>
      <c r="L586" s="20" t="inlineStr">
        <is>
          <t>-</t>
        </is>
      </c>
      <c r="N586" s="1" t="n"/>
      <c r="O586" s="1" t="n"/>
      <c r="P586" s="1" t="n"/>
      <c r="Q586" s="1" t="n"/>
      <c r="R586" s="1" t="n"/>
      <c r="S586" s="1" t="n"/>
      <c r="T586" s="1" t="n"/>
      <c r="U586" s="1" t="n"/>
      <c r="V586" s="1" t="n"/>
      <c r="W586" s="1" t="n"/>
      <c r="X586" s="1" t="n"/>
      <c r="Y586" s="1" t="n"/>
      <c r="Z586" s="1" t="n"/>
      <c r="AA586" s="1" t="n"/>
      <c r="AB586" s="1" t="n"/>
      <c r="AC586" s="1" t="n"/>
      <c r="AD586" s="1" t="n"/>
      <c r="AE586" s="1" t="n"/>
      <c r="AF586" s="1" t="n"/>
      <c r="AG586" s="1" t="n"/>
      <c r="AH586" s="1" t="n"/>
      <c r="AI586" s="1" t="n"/>
      <c r="AJ586" s="1" t="n"/>
    </row>
    <row r="587" ht="15" customHeight="1">
      <c r="A587" s="424" t="inlineStr">
        <is>
          <t>Pool Pump Technician</t>
        </is>
      </c>
      <c r="B587" s="425" t="n">
        <v>0</v>
      </c>
      <c r="C587" s="425">
        <f>COUNTIF(E587:E588,"&lt;&gt;")</f>
        <v/>
      </c>
      <c r="D587" s="438" t="n">
        <v>0</v>
      </c>
      <c r="E587" s="22" t="inlineStr">
        <is>
          <t>Sajid Khan</t>
        </is>
      </c>
      <c r="F587" s="26" t="inlineStr">
        <is>
          <t>Hard Service</t>
        </is>
      </c>
      <c r="G587" s="27" t="n">
        <v>703954</v>
      </c>
      <c r="H587" s="19" t="n">
        <v>2583867052</v>
      </c>
      <c r="I587" s="425" t="inlineStr">
        <is>
          <t>Additional</t>
        </is>
      </c>
      <c r="J587" s="496" t="n">
        <v>45902</v>
      </c>
      <c r="K587" s="28" t="inlineStr">
        <is>
          <t>FMCO</t>
        </is>
      </c>
      <c r="L587" s="20" t="inlineStr">
        <is>
          <t>-</t>
        </is>
      </c>
      <c r="N587" s="1" t="n"/>
      <c r="O587" s="1" t="n"/>
      <c r="P587" s="1" t="n"/>
      <c r="Q587" s="1" t="n"/>
      <c r="R587" s="1" t="n"/>
      <c r="S587" s="1" t="n"/>
      <c r="T587" s="1" t="n"/>
      <c r="U587" s="1" t="n"/>
      <c r="V587" s="1" t="n"/>
      <c r="W587" s="1" t="n"/>
      <c r="X587" s="1" t="n"/>
      <c r="Y587" s="1" t="n"/>
      <c r="Z587" s="1" t="n"/>
      <c r="AA587" s="1" t="n"/>
      <c r="AB587" s="1" t="n"/>
      <c r="AC587" s="1" t="n"/>
      <c r="AD587" s="1" t="n"/>
      <c r="AE587" s="1" t="n"/>
      <c r="AF587" s="1" t="n"/>
      <c r="AG587" s="1" t="n"/>
      <c r="AH587" s="1" t="n"/>
      <c r="AI587" s="1" t="n"/>
      <c r="AJ587" s="1" t="n"/>
    </row>
    <row r="588" ht="15" customHeight="1">
      <c r="A588" s="434" t="n"/>
      <c r="B588" s="434" t="n"/>
      <c r="C588" s="434" t="n"/>
      <c r="D588" s="434" t="n"/>
      <c r="E588" s="22" t="inlineStr">
        <is>
          <t>Md Abul Hussain</t>
        </is>
      </c>
      <c r="F588" s="26" t="inlineStr">
        <is>
          <t>Hard Service</t>
        </is>
      </c>
      <c r="G588" s="27" t="inlineStr">
        <is>
          <t>EM-0002523</t>
        </is>
      </c>
      <c r="H588" s="19" t="n">
        <v>2583863713</v>
      </c>
      <c r="I588" s="425" t="inlineStr">
        <is>
          <t>Additional</t>
        </is>
      </c>
      <c r="J588" s="496" t="n">
        <v>46117</v>
      </c>
      <c r="K588" s="28" t="inlineStr">
        <is>
          <t>AL-FALAK VISA</t>
        </is>
      </c>
      <c r="L588" s="20" t="inlineStr">
        <is>
          <t>-</t>
        </is>
      </c>
      <c r="N588" s="1" t="n"/>
      <c r="O588" s="1" t="n"/>
      <c r="P588" s="1" t="n"/>
      <c r="Q588" s="1" t="n"/>
      <c r="R588" s="1" t="n"/>
      <c r="S588" s="1" t="n"/>
      <c r="T588" s="1" t="n"/>
      <c r="U588" s="1" t="n"/>
      <c r="V588" s="1" t="n"/>
      <c r="W588" s="1" t="n"/>
      <c r="X588" s="1" t="n"/>
      <c r="Y588" s="1" t="n"/>
      <c r="Z588" s="1" t="n"/>
      <c r="AA588" s="1" t="n"/>
      <c r="AB588" s="1" t="n"/>
      <c r="AC588" s="1" t="n"/>
      <c r="AD588" s="1" t="n"/>
      <c r="AE588" s="1" t="n"/>
      <c r="AF588" s="1" t="n"/>
      <c r="AG588" s="1" t="n"/>
      <c r="AH588" s="1" t="n"/>
      <c r="AI588" s="1" t="n"/>
      <c r="AJ588" s="1" t="n"/>
    </row>
    <row r="589" ht="15" customHeight="1">
      <c r="A589" s="424" t="inlineStr">
        <is>
          <t>Lifeguard</t>
        </is>
      </c>
      <c r="B589" s="425" t="n">
        <v>0</v>
      </c>
      <c r="C589" s="425" t="n">
        <v>7</v>
      </c>
      <c r="D589" s="438" t="n">
        <v>0</v>
      </c>
      <c r="E589" s="22" t="inlineStr">
        <is>
          <t>Omr Khaled Sedky Ali</t>
        </is>
      </c>
      <c r="F589" s="26" t="inlineStr">
        <is>
          <t>Recreation</t>
        </is>
      </c>
      <c r="G589" s="27" t="inlineStr">
        <is>
          <t>-</t>
        </is>
      </c>
      <c r="H589" s="19" t="n">
        <v>2628725075</v>
      </c>
      <c r="I589" s="425" t="inlineStr">
        <is>
          <t>Additional</t>
        </is>
      </c>
      <c r="J589" s="496" t="n">
        <v>46064</v>
      </c>
      <c r="K589" s="28" t="inlineStr">
        <is>
          <t>WABCO</t>
        </is>
      </c>
      <c r="L589" s="20" t="inlineStr">
        <is>
          <t>-</t>
        </is>
      </c>
      <c r="N589" s="1" t="n"/>
      <c r="O589" s="1" t="n"/>
      <c r="P589" s="1" t="n"/>
      <c r="Q589" s="1" t="n"/>
      <c r="R589" s="1" t="n"/>
      <c r="S589" s="1" t="n"/>
      <c r="T589" s="1" t="n"/>
      <c r="U589" s="1" t="n"/>
      <c r="V589" s="1" t="n"/>
      <c r="W589" s="1" t="n"/>
      <c r="X589" s="1" t="n"/>
      <c r="Y589" s="1" t="n"/>
      <c r="Z589" s="1" t="n"/>
      <c r="AA589" s="1" t="n"/>
      <c r="AB589" s="1" t="n"/>
      <c r="AC589" s="1" t="n"/>
      <c r="AD589" s="1" t="n"/>
      <c r="AE589" s="1" t="n"/>
      <c r="AF589" s="1" t="n"/>
      <c r="AG589" s="1" t="n"/>
      <c r="AH589" s="1" t="n"/>
      <c r="AI589" s="1" t="n"/>
      <c r="AJ589" s="1" t="n"/>
    </row>
    <row r="590" ht="15" customHeight="1">
      <c r="A590" s="433" t="n"/>
      <c r="B590" s="433" t="n"/>
      <c r="C590" s="433" t="n"/>
      <c r="D590" s="433" t="n"/>
      <c r="E590" s="22" t="inlineStr">
        <is>
          <t>SHERIF MOHAMMED AHMED</t>
        </is>
      </c>
      <c r="F590" s="26" t="inlineStr">
        <is>
          <t>RECREATION</t>
        </is>
      </c>
      <c r="G590" s="27" t="n">
        <v>10062</v>
      </c>
      <c r="H590" s="19" t="inlineStr">
        <is>
          <t>2619467430</t>
        </is>
      </c>
      <c r="I590" s="425" t="inlineStr">
        <is>
          <t>Additional</t>
        </is>
      </c>
      <c r="J590" s="496" t="n">
        <v>46135</v>
      </c>
      <c r="K590" s="28" t="inlineStr">
        <is>
          <t>WABCO</t>
        </is>
      </c>
      <c r="L590" s="20" t="n"/>
      <c r="N590" s="1" t="n"/>
      <c r="O590" s="1" t="n"/>
      <c r="P590" s="1" t="n"/>
      <c r="Q590" s="1" t="n"/>
      <c r="R590" s="1" t="n"/>
      <c r="S590" s="1" t="n"/>
      <c r="T590" s="1" t="n"/>
      <c r="U590" s="1" t="n"/>
      <c r="V590" s="1" t="n"/>
      <c r="W590" s="1" t="n"/>
      <c r="X590" s="1" t="n"/>
      <c r="Y590" s="1" t="n"/>
      <c r="Z590" s="1" t="n"/>
      <c r="AA590" s="1" t="n"/>
      <c r="AB590" s="1" t="n"/>
      <c r="AC590" s="1" t="n"/>
      <c r="AD590" s="1" t="n"/>
      <c r="AE590" s="1" t="n"/>
      <c r="AF590" s="1" t="n"/>
      <c r="AG590" s="1" t="n"/>
      <c r="AH590" s="1" t="n"/>
      <c r="AI590" s="1" t="n"/>
      <c r="AJ590" s="1" t="n"/>
    </row>
    <row r="591" ht="15" customHeight="1">
      <c r="A591" s="433" t="n"/>
      <c r="B591" s="433" t="n"/>
      <c r="C591" s="433" t="n"/>
      <c r="D591" s="433" t="n"/>
      <c r="E591" s="22" t="inlineStr">
        <is>
          <t>Osama Adnan Fouad Abdel-Aati</t>
        </is>
      </c>
      <c r="F591" s="26" t="inlineStr">
        <is>
          <t>Recreation</t>
        </is>
      </c>
      <c r="G591" s="27" t="inlineStr">
        <is>
          <t>-</t>
        </is>
      </c>
      <c r="H591" s="19" t="n">
        <v>2620222964</v>
      </c>
      <c r="I591" s="425" t="inlineStr">
        <is>
          <t>Additional</t>
        </is>
      </c>
      <c r="J591" s="496" t="n">
        <v>46134</v>
      </c>
      <c r="K591" s="28" t="inlineStr">
        <is>
          <t>WABCO</t>
        </is>
      </c>
      <c r="L591" s="20" t="inlineStr">
        <is>
          <t>-</t>
        </is>
      </c>
      <c r="N591" s="1" t="n"/>
      <c r="O591" s="1" t="n"/>
      <c r="P591" s="1" t="n"/>
      <c r="Q591" s="1" t="n"/>
      <c r="R591" s="1" t="n"/>
      <c r="S591" s="1" t="n"/>
      <c r="T591" s="1" t="n"/>
      <c r="U591" s="1" t="n"/>
      <c r="V591" s="1" t="n"/>
      <c r="W591" s="1" t="n"/>
      <c r="X591" s="1" t="n"/>
      <c r="Y591" s="1" t="n"/>
      <c r="Z591" s="1" t="n"/>
      <c r="AA591" s="1" t="n"/>
      <c r="AB591" s="1" t="n"/>
      <c r="AC591" s="1" t="n"/>
      <c r="AD591" s="1" t="n"/>
      <c r="AE591" s="1" t="n"/>
      <c r="AF591" s="1" t="n"/>
      <c r="AG591" s="1" t="n"/>
      <c r="AH591" s="1" t="n"/>
      <c r="AI591" s="1" t="n"/>
      <c r="AJ591" s="1" t="n"/>
    </row>
    <row r="592" ht="15" customHeight="1">
      <c r="A592" s="433" t="n"/>
      <c r="B592" s="433" t="n"/>
      <c r="C592" s="433" t="n"/>
      <c r="D592" s="433" t="n"/>
      <c r="E592" s="22" t="inlineStr">
        <is>
          <t>Mahmoud Walid Kamal Ali</t>
        </is>
      </c>
      <c r="F592" s="26" t="inlineStr">
        <is>
          <t>Recreation</t>
        </is>
      </c>
      <c r="G592" s="27" t="inlineStr">
        <is>
          <t>-</t>
        </is>
      </c>
      <c r="H592" s="19" t="n">
        <v>2638999462</v>
      </c>
      <c r="I592" s="425" t="inlineStr">
        <is>
          <t>Additional</t>
        </is>
      </c>
      <c r="J592" s="496" t="n">
        <v>46199</v>
      </c>
      <c r="K592" s="28" t="inlineStr">
        <is>
          <t>WABCO</t>
        </is>
      </c>
      <c r="L592" s="20" t="inlineStr">
        <is>
          <t>-</t>
        </is>
      </c>
      <c r="N592" s="1" t="n"/>
      <c r="O592" s="1" t="n"/>
      <c r="P592" s="1" t="n"/>
      <c r="Q592" s="1" t="n"/>
      <c r="R592" s="1" t="n"/>
      <c r="S592" s="1" t="n"/>
      <c r="T592" s="1" t="n"/>
      <c r="U592" s="1" t="n"/>
      <c r="V592" s="1" t="n"/>
      <c r="W592" s="1" t="n"/>
      <c r="X592" s="1" t="n"/>
      <c r="Y592" s="1" t="n"/>
      <c r="Z592" s="1" t="n"/>
      <c r="AA592" s="1" t="n"/>
      <c r="AB592" s="1" t="n"/>
      <c r="AC592" s="1" t="n"/>
      <c r="AD592" s="1" t="n"/>
      <c r="AE592" s="1" t="n"/>
      <c r="AF592" s="1" t="n"/>
      <c r="AG592" s="1" t="n"/>
      <c r="AH592" s="1" t="n"/>
      <c r="AI592" s="1" t="n"/>
      <c r="AJ592" s="1" t="n"/>
    </row>
    <row r="593" ht="15" customHeight="1">
      <c r="A593" s="433" t="n"/>
      <c r="B593" s="433" t="n"/>
      <c r="C593" s="433" t="n"/>
      <c r="D593" s="433" t="n"/>
      <c r="E593" s="22" t="inlineStr">
        <is>
          <t>Ashique Mannil Thodi</t>
        </is>
      </c>
      <c r="F593" s="26" t="inlineStr">
        <is>
          <t>Recreation</t>
        </is>
      </c>
      <c r="G593" s="27" t="inlineStr">
        <is>
          <t>-</t>
        </is>
      </c>
      <c r="H593" s="19" t="n">
        <v>2640117434</v>
      </c>
      <c r="I593" s="425" t="inlineStr">
        <is>
          <t>Additional</t>
        </is>
      </c>
      <c r="J593" s="496" t="n">
        <v>46209</v>
      </c>
      <c r="K593" s="28" t="inlineStr">
        <is>
          <t>FMCO</t>
        </is>
      </c>
      <c r="L593" s="20" t="inlineStr">
        <is>
          <t>-</t>
        </is>
      </c>
      <c r="N593" s="1" t="n"/>
      <c r="O593" s="1" t="n"/>
      <c r="P593" s="1" t="n"/>
      <c r="Q593" s="1" t="n"/>
      <c r="R593" s="1" t="n"/>
      <c r="S593" s="1" t="n"/>
      <c r="T593" s="1" t="n"/>
      <c r="U593" s="1" t="n"/>
      <c r="V593" s="1" t="n"/>
      <c r="W593" s="1" t="n"/>
      <c r="X593" s="1" t="n"/>
      <c r="Y593" s="1" t="n"/>
      <c r="Z593" s="1" t="n"/>
      <c r="AA593" s="1" t="n"/>
      <c r="AB593" s="1" t="n"/>
      <c r="AC593" s="1" t="n"/>
      <c r="AD593" s="1" t="n"/>
      <c r="AE593" s="1" t="n"/>
      <c r="AF593" s="1" t="n"/>
      <c r="AG593" s="1" t="n"/>
      <c r="AH593" s="1" t="n"/>
      <c r="AI593" s="1" t="n"/>
      <c r="AJ593" s="1" t="n"/>
    </row>
    <row r="594" ht="15" customHeight="1">
      <c r="A594" s="433" t="n"/>
      <c r="B594" s="433" t="n"/>
      <c r="C594" s="433" t="n"/>
      <c r="D594" s="433" t="n"/>
      <c r="E594" s="22" t="inlineStr">
        <is>
          <t>IRSHADALLI BABUSAHEB NADAF</t>
        </is>
      </c>
      <c r="F594" s="26" t="inlineStr">
        <is>
          <t>Recreation</t>
        </is>
      </c>
      <c r="G594" s="27" t="n"/>
      <c r="H594" s="19" t="inlineStr">
        <is>
          <t>AA019340</t>
        </is>
      </c>
      <c r="I594" s="425" t="inlineStr">
        <is>
          <t>Additional</t>
        </is>
      </c>
      <c r="J594" s="496" t="n">
        <v>46268</v>
      </c>
      <c r="K594" s="28" t="n"/>
      <c r="L594" s="20" t="n"/>
      <c r="N594" s="1" t="n"/>
      <c r="O594" s="1" t="n"/>
      <c r="P594" s="1" t="n"/>
      <c r="Q594" s="1" t="n"/>
      <c r="R594" s="1" t="n"/>
      <c r="S594" s="1" t="n"/>
      <c r="T594" s="1" t="n"/>
      <c r="U594" s="1" t="n"/>
      <c r="V594" s="1" t="n"/>
      <c r="W594" s="1" t="n"/>
      <c r="X594" s="1" t="n"/>
      <c r="Y594" s="1" t="n"/>
      <c r="Z594" s="1" t="n"/>
      <c r="AA594" s="1" t="n"/>
      <c r="AB594" s="1" t="n"/>
      <c r="AC594" s="1" t="n"/>
      <c r="AD594" s="1" t="n"/>
      <c r="AE594" s="1" t="n"/>
      <c r="AF594" s="1" t="n"/>
      <c r="AG594" s="1" t="n"/>
      <c r="AH594" s="1" t="n"/>
      <c r="AI594" s="1" t="n"/>
      <c r="AJ594" s="1" t="n"/>
    </row>
    <row r="595" ht="15" customHeight="1">
      <c r="A595" s="434" t="n"/>
      <c r="B595" s="434" t="n"/>
      <c r="C595" s="434" t="n"/>
      <c r="D595" s="434" t="n"/>
      <c r="E595" s="22" t="inlineStr">
        <is>
          <t>Ranjith Rajan</t>
        </is>
      </c>
      <c r="F595" s="26" t="inlineStr">
        <is>
          <t>Recreation</t>
        </is>
      </c>
      <c r="G595" s="27" t="inlineStr">
        <is>
          <t>-</t>
        </is>
      </c>
      <c r="H595" s="19" t="n">
        <v>2640117673</v>
      </c>
      <c r="I595" s="425" t="inlineStr">
        <is>
          <t>Additional</t>
        </is>
      </c>
      <c r="J595" s="496" t="n">
        <v>46209</v>
      </c>
      <c r="K595" s="28" t="inlineStr">
        <is>
          <t>FMCO</t>
        </is>
      </c>
      <c r="L595" s="20" t="inlineStr">
        <is>
          <t>-</t>
        </is>
      </c>
      <c r="N595" s="1" t="n"/>
      <c r="O595" s="1" t="n"/>
      <c r="P595" s="1" t="n"/>
      <c r="Q595" s="1" t="n"/>
      <c r="R595" s="1" t="n"/>
      <c r="S595" s="1" t="n"/>
      <c r="T595" s="1" t="n"/>
      <c r="U595" s="1" t="n"/>
      <c r="V595" s="1" t="n"/>
      <c r="W595" s="1" t="n"/>
      <c r="X595" s="1" t="n"/>
      <c r="Y595" s="1" t="n"/>
      <c r="Z595" s="1" t="n"/>
      <c r="AA595" s="1" t="n"/>
      <c r="AB595" s="1" t="n"/>
      <c r="AC595" s="1" t="n"/>
      <c r="AD595" s="1" t="n"/>
      <c r="AE595" s="1" t="n"/>
      <c r="AF595" s="1" t="n"/>
      <c r="AG595" s="1" t="n"/>
      <c r="AH595" s="1" t="n"/>
      <c r="AI595" s="1" t="n"/>
      <c r="AJ595" s="1" t="n"/>
    </row>
    <row r="596" ht="15" customHeight="1">
      <c r="A596" s="114" t="inlineStr">
        <is>
          <t xml:space="preserve">Storekeeper </t>
        </is>
      </c>
      <c r="B596" s="340" t="n">
        <v>0</v>
      </c>
      <c r="C596" s="340">
        <f>COUNTIF(E596:E596,"&lt;&gt;")</f>
        <v/>
      </c>
      <c r="D596" s="339" t="n">
        <v>0</v>
      </c>
      <c r="E596" s="22" t="inlineStr">
        <is>
          <t>Tahir Sajjad</t>
        </is>
      </c>
      <c r="F596" s="26" t="inlineStr">
        <is>
          <t>Warehouse</t>
        </is>
      </c>
      <c r="G596" s="27" t="n">
        <v>703483</v>
      </c>
      <c r="H596" s="19" t="n">
        <v>2032148179</v>
      </c>
      <c r="I596" s="425" t="inlineStr">
        <is>
          <t>Additional</t>
        </is>
      </c>
      <c r="J596" s="496" t="n">
        <v>45725</v>
      </c>
      <c r="K596" s="28" t="inlineStr">
        <is>
          <t>FMCO</t>
        </is>
      </c>
      <c r="L596" s="20" t="inlineStr">
        <is>
          <t>-</t>
        </is>
      </c>
      <c r="N596" s="1" t="n"/>
      <c r="O596" s="1" t="n"/>
      <c r="P596" s="1" t="n"/>
      <c r="Q596" s="1" t="n"/>
      <c r="R596" s="1" t="n"/>
      <c r="S596" s="1" t="n"/>
      <c r="T596" s="1" t="n"/>
      <c r="U596" s="1" t="n"/>
      <c r="V596" s="1" t="n"/>
      <c r="W596" s="1" t="n"/>
      <c r="X596" s="1" t="n"/>
      <c r="Y596" s="1" t="n"/>
      <c r="Z596" s="1" t="n"/>
      <c r="AA596" s="1" t="n"/>
      <c r="AB596" s="1" t="n"/>
      <c r="AC596" s="1" t="n"/>
      <c r="AD596" s="1" t="n"/>
      <c r="AE596" s="1" t="n"/>
      <c r="AF596" s="1" t="n"/>
      <c r="AG596" s="1" t="n"/>
      <c r="AH596" s="1" t="n"/>
      <c r="AI596" s="1" t="n"/>
      <c r="AJ596" s="1" t="n"/>
    </row>
    <row r="597" ht="15" customHeight="1">
      <c r="A597" s="424" t="inlineStr">
        <is>
          <t xml:space="preserve">Kitchen &amp; Laundry Technician </t>
        </is>
      </c>
      <c r="B597" s="425" t="n">
        <v>0</v>
      </c>
      <c r="C597" s="425">
        <f>COUNTIF(E597,"&lt;&gt;")</f>
        <v/>
      </c>
      <c r="D597" s="438" t="n">
        <v>0</v>
      </c>
      <c r="E597" s="22" t="inlineStr">
        <is>
          <t>Dinesh Kumar Prajapati</t>
        </is>
      </c>
      <c r="F597" s="26" t="inlineStr">
        <is>
          <t>Hard Service</t>
        </is>
      </c>
      <c r="G597" s="27" t="n">
        <v>700732</v>
      </c>
      <c r="H597" s="19" t="n">
        <v>2520311578</v>
      </c>
      <c r="I597" s="425" t="inlineStr">
        <is>
          <t>Additional</t>
        </is>
      </c>
      <c r="J597" s="496" t="n">
        <v>46101</v>
      </c>
      <c r="K597" s="28" t="inlineStr">
        <is>
          <t>FMCO</t>
        </is>
      </c>
      <c r="L597" s="20" t="inlineStr">
        <is>
          <t>-</t>
        </is>
      </c>
      <c r="N597" s="1" t="n"/>
      <c r="O597" s="1" t="n"/>
      <c r="P597" s="1" t="n"/>
      <c r="Q597" s="1" t="n"/>
      <c r="R597" s="1" t="n"/>
      <c r="S597" s="1" t="n"/>
      <c r="T597" s="1" t="n"/>
      <c r="U597" s="1" t="n"/>
      <c r="V597" s="1" t="n"/>
      <c r="W597" s="1" t="n"/>
      <c r="X597" s="1" t="n"/>
      <c r="Y597" s="1" t="n"/>
      <c r="Z597" s="1" t="n"/>
      <c r="AA597" s="1" t="n"/>
      <c r="AB597" s="1" t="n"/>
      <c r="AC597" s="1" t="n"/>
      <c r="AD597" s="1" t="n"/>
      <c r="AE597" s="1" t="n"/>
      <c r="AF597" s="1" t="n"/>
      <c r="AG597" s="1" t="n"/>
      <c r="AH597" s="1" t="n"/>
      <c r="AI597" s="1" t="n"/>
      <c r="AJ597" s="1" t="n"/>
    </row>
    <row r="598" ht="15" customHeight="1">
      <c r="A598" s="424" t="inlineStr">
        <is>
          <t>Painter</t>
        </is>
      </c>
      <c r="B598" s="425" t="n">
        <v>0</v>
      </c>
      <c r="C598" s="425">
        <f>COUNTIF(E598,"&lt;&gt;")</f>
        <v/>
      </c>
      <c r="D598" s="438" t="n">
        <v>0</v>
      </c>
      <c r="E598" s="30" t="inlineStr">
        <is>
          <t>MOHAMMAD RAJA</t>
        </is>
      </c>
      <c r="F598" s="425" t="inlineStr">
        <is>
          <t>Hard Service</t>
        </is>
      </c>
      <c r="G598" s="460" t="inlineStr">
        <is>
          <t>-</t>
        </is>
      </c>
      <c r="H598" s="460" t="inlineStr">
        <is>
          <t>-</t>
        </is>
      </c>
      <c r="I598" s="425" t="inlineStr">
        <is>
          <t>Additional</t>
        </is>
      </c>
      <c r="J598" s="496" t="inlineStr">
        <is>
          <t>26/08/2026</t>
        </is>
      </c>
      <c r="K598" s="28" t="inlineStr">
        <is>
          <t>-</t>
        </is>
      </c>
      <c r="L598" s="20" t="inlineStr">
        <is>
          <t>-</t>
        </is>
      </c>
      <c r="N598" s="1" t="n"/>
      <c r="O598" s="1" t="n"/>
      <c r="P598" s="1" t="n"/>
      <c r="Q598" s="1" t="n"/>
      <c r="R598" s="1" t="n"/>
      <c r="S598" s="1" t="n"/>
      <c r="T598" s="1" t="n"/>
      <c r="U598" s="1" t="n"/>
      <c r="V598" s="1" t="n"/>
      <c r="W598" s="1" t="n"/>
      <c r="X598" s="1" t="n"/>
      <c r="Y598" s="1" t="n"/>
      <c r="Z598" s="1" t="n"/>
      <c r="AA598" s="1" t="n"/>
      <c r="AB598" s="1" t="n"/>
      <c r="AC598" s="1" t="n"/>
      <c r="AD598" s="1" t="n"/>
      <c r="AE598" s="1" t="n"/>
      <c r="AF598" s="1" t="n"/>
      <c r="AG598" s="1" t="n"/>
      <c r="AH598" s="1" t="n"/>
      <c r="AI598" s="1" t="n"/>
      <c r="AJ598" s="1" t="n"/>
    </row>
    <row r="599" ht="15" customHeight="1">
      <c r="A599" s="434" t="n"/>
      <c r="B599" s="425" t="n">
        <v>0</v>
      </c>
      <c r="C599" s="425">
        <f>COUNTIF(E599,"&lt;&gt;")</f>
        <v/>
      </c>
      <c r="D599" s="438" t="n">
        <v>0</v>
      </c>
      <c r="E599" s="22" t="inlineStr">
        <is>
          <t>Mohammad Ali Hossain Bepary</t>
        </is>
      </c>
      <c r="F599" s="26" t="inlineStr">
        <is>
          <t>Hard Service</t>
        </is>
      </c>
      <c r="G599" s="27" t="inlineStr">
        <is>
          <t>-</t>
        </is>
      </c>
      <c r="H599" s="19" t="n">
        <v>2611164050</v>
      </c>
      <c r="I599" s="425" t="inlineStr">
        <is>
          <t>Additional</t>
        </is>
      </c>
      <c r="J599" s="496" t="n">
        <v>46151</v>
      </c>
      <c r="K599" s="28" t="inlineStr">
        <is>
          <t>AL SHARQIYA</t>
        </is>
      </c>
      <c r="L599" s="20" t="inlineStr">
        <is>
          <t>-</t>
        </is>
      </c>
      <c r="N599" s="1" t="n"/>
      <c r="O599" s="1" t="n"/>
      <c r="P599" s="1" t="n"/>
      <c r="Q599" s="1" t="n"/>
      <c r="R599" s="1" t="n"/>
      <c r="S599" s="1" t="n"/>
      <c r="T599" s="1" t="n"/>
      <c r="U599" s="1" t="n"/>
      <c r="V599" s="1" t="n"/>
      <c r="W599" s="1" t="n"/>
      <c r="X599" s="1" t="n"/>
      <c r="Y599" s="1" t="n"/>
      <c r="Z599" s="1" t="n"/>
      <c r="AA599" s="1" t="n"/>
      <c r="AB599" s="1" t="n"/>
      <c r="AC599" s="1" t="n"/>
      <c r="AD599" s="1" t="n"/>
      <c r="AE599" s="1" t="n"/>
      <c r="AF599" s="1" t="n"/>
      <c r="AG599" s="1" t="n"/>
      <c r="AH599" s="1" t="n"/>
      <c r="AI599" s="1" t="n"/>
      <c r="AJ599" s="1" t="n"/>
    </row>
    <row r="600" ht="15" customHeight="1">
      <c r="A600" s="424" t="inlineStr">
        <is>
          <t>STP Operator</t>
        </is>
      </c>
      <c r="B600" s="425" t="n">
        <v>0</v>
      </c>
      <c r="C600" s="425">
        <f>COUNTIF(E151,"&lt;&gt;")</f>
        <v/>
      </c>
      <c r="D600" s="438" t="n">
        <v>0</v>
      </c>
      <c r="L600" s="20" t="inlineStr">
        <is>
          <t>-</t>
        </is>
      </c>
      <c r="N600" s="1" t="n"/>
      <c r="O600" s="1" t="n"/>
      <c r="P600" s="1" t="n"/>
      <c r="Q600" s="1" t="n"/>
      <c r="R600" s="1" t="n"/>
      <c r="S600" s="1" t="n"/>
      <c r="T600" s="1" t="n"/>
      <c r="U600" s="1" t="n"/>
      <c r="V600" s="1" t="n"/>
      <c r="W600" s="1" t="n"/>
      <c r="X600" s="1" t="n"/>
      <c r="Y600" s="1" t="n"/>
      <c r="Z600" s="1" t="n"/>
      <c r="AA600" s="1" t="n"/>
      <c r="AB600" s="1" t="n"/>
      <c r="AC600" s="1" t="n"/>
      <c r="AD600" s="1" t="n"/>
      <c r="AE600" s="1" t="n"/>
      <c r="AF600" s="1" t="n"/>
      <c r="AG600" s="1" t="n"/>
      <c r="AH600" s="1" t="n"/>
      <c r="AI600" s="1" t="n"/>
      <c r="AJ600" s="1" t="n"/>
    </row>
    <row r="601" ht="15" customHeight="1">
      <c r="A601" s="424" t="inlineStr">
        <is>
          <t>Tailor</t>
        </is>
      </c>
      <c r="B601" s="425" t="n">
        <v>0</v>
      </c>
      <c r="C601" s="425">
        <f>COUNTIF(E601,"&lt;&gt;")</f>
        <v/>
      </c>
      <c r="D601" s="438" t="n">
        <v>0</v>
      </c>
      <c r="E601" s="22" t="inlineStr">
        <is>
          <t>Shahid Iqbal</t>
        </is>
      </c>
      <c r="F601" s="26" t="inlineStr">
        <is>
          <t>Soft Service</t>
        </is>
      </c>
      <c r="G601" s="27" t="inlineStr">
        <is>
          <t>C00935</t>
        </is>
      </c>
      <c r="H601" s="19" t="n">
        <v>2600062471</v>
      </c>
      <c r="I601" s="425" t="inlineStr">
        <is>
          <t>Additional</t>
        </is>
      </c>
      <c r="J601" s="496" t="n">
        <v>45757</v>
      </c>
      <c r="K601" s="28" t="inlineStr">
        <is>
          <t>MEHAN</t>
        </is>
      </c>
      <c r="L601" s="20" t="inlineStr">
        <is>
          <t>-</t>
        </is>
      </c>
      <c r="N601" s="1" t="n"/>
      <c r="O601" s="1" t="n"/>
      <c r="P601" s="1" t="n"/>
      <c r="Q601" s="1" t="n"/>
      <c r="R601" s="1" t="n"/>
      <c r="S601" s="1" t="n"/>
      <c r="T601" s="1" t="n"/>
      <c r="U601" s="1" t="n"/>
      <c r="V601" s="1" t="n"/>
      <c r="W601" s="1" t="n"/>
      <c r="X601" s="1" t="n"/>
      <c r="Y601" s="1" t="n"/>
      <c r="Z601" s="1" t="n"/>
      <c r="AA601" s="1" t="n"/>
      <c r="AB601" s="1" t="n"/>
      <c r="AC601" s="1" t="n"/>
      <c r="AD601" s="1" t="n"/>
      <c r="AE601" s="1" t="n"/>
      <c r="AF601" s="1" t="n"/>
      <c r="AG601" s="1" t="n"/>
      <c r="AH601" s="1" t="n"/>
      <c r="AI601" s="1" t="n"/>
      <c r="AJ601" s="1" t="n"/>
    </row>
    <row r="602" ht="15" customHeight="1">
      <c r="A602" s="114" t="inlineStr">
        <is>
          <t>Supervisor cum driver</t>
        </is>
      </c>
      <c r="B602" s="340" t="n">
        <v>0</v>
      </c>
      <c r="C602" s="115" t="n">
        <v>1</v>
      </c>
      <c r="D602" s="339" t="n">
        <v>0</v>
      </c>
      <c r="E602" s="30" t="inlineStr">
        <is>
          <t>Shaik Ismail Zabiullah</t>
        </is>
      </c>
      <c r="F602" s="425" t="inlineStr">
        <is>
          <t>Logistic Services</t>
        </is>
      </c>
      <c r="G602" s="460" t="inlineStr">
        <is>
          <t>-</t>
        </is>
      </c>
      <c r="H602" s="460" t="inlineStr">
        <is>
          <t>-</t>
        </is>
      </c>
      <c r="I602" s="425" t="inlineStr">
        <is>
          <t>Additional</t>
        </is>
      </c>
      <c r="J602" s="496" t="n">
        <v>46235</v>
      </c>
      <c r="K602" s="14" t="inlineStr">
        <is>
          <t>-</t>
        </is>
      </c>
      <c r="L602" s="20" t="inlineStr">
        <is>
          <t>-</t>
        </is>
      </c>
      <c r="N602" s="1" t="n"/>
      <c r="O602" s="1" t="n"/>
      <c r="P602" s="1" t="n"/>
      <c r="Q602" s="1" t="n"/>
      <c r="R602" s="1" t="n"/>
      <c r="S602" s="1" t="n"/>
      <c r="T602" s="1" t="n"/>
      <c r="U602" s="1" t="n"/>
      <c r="V602" s="1" t="n"/>
      <c r="W602" s="1" t="n"/>
      <c r="X602" s="1" t="n"/>
      <c r="Y602" s="1" t="n"/>
      <c r="Z602" s="1" t="n"/>
      <c r="AA602" s="1" t="n"/>
      <c r="AB602" s="1" t="n"/>
      <c r="AC602" s="1" t="n"/>
      <c r="AD602" s="1" t="n"/>
      <c r="AE602" s="1" t="n"/>
      <c r="AF602" s="1" t="n"/>
      <c r="AG602" s="1" t="n"/>
      <c r="AH602" s="1" t="n"/>
      <c r="AI602" s="1" t="n"/>
      <c r="AJ602" s="1" t="n"/>
    </row>
    <row r="603" ht="15" customHeight="1">
      <c r="A603" s="424" t="inlineStr">
        <is>
          <t>Admin</t>
        </is>
      </c>
      <c r="B603" s="340" t="n">
        <v>0</v>
      </c>
      <c r="C603" s="115" t="n">
        <v>1</v>
      </c>
      <c r="D603" s="339" t="n">
        <v>0</v>
      </c>
      <c r="E603" s="30" t="inlineStr">
        <is>
          <t>MOHAMMAD HAMZA ALI</t>
        </is>
      </c>
      <c r="F603" s="425" t="inlineStr">
        <is>
          <t>Site Management</t>
        </is>
      </c>
      <c r="G603" s="460" t="inlineStr">
        <is>
          <t>-</t>
        </is>
      </c>
      <c r="H603" s="460" t="inlineStr">
        <is>
          <t>-</t>
        </is>
      </c>
      <c r="I603" s="425" t="inlineStr">
        <is>
          <t>Additional</t>
        </is>
      </c>
      <c r="J603" s="496" t="inlineStr">
        <is>
          <t>22/8/2026</t>
        </is>
      </c>
      <c r="K603" s="14" t="inlineStr">
        <is>
          <t>-</t>
        </is>
      </c>
      <c r="L603" s="20" t="inlineStr">
        <is>
          <t>-</t>
        </is>
      </c>
      <c r="N603" s="1" t="n"/>
      <c r="O603" s="1" t="n"/>
      <c r="P603" s="1" t="n"/>
      <c r="Q603" s="1" t="n"/>
      <c r="R603" s="1" t="n"/>
      <c r="S603" s="1" t="n"/>
      <c r="T603" s="1" t="n"/>
      <c r="U603" s="1" t="n"/>
      <c r="V603" s="1" t="n"/>
      <c r="W603" s="1" t="n"/>
      <c r="X603" s="1" t="n"/>
      <c r="Y603" s="1" t="n"/>
      <c r="Z603" s="1" t="n"/>
      <c r="AA603" s="1" t="n"/>
      <c r="AB603" s="1" t="n"/>
      <c r="AC603" s="1" t="n"/>
      <c r="AD603" s="1" t="n"/>
      <c r="AE603" s="1" t="n"/>
      <c r="AF603" s="1" t="n"/>
      <c r="AG603" s="1" t="n"/>
      <c r="AH603" s="1" t="n"/>
      <c r="AI603" s="1" t="n"/>
      <c r="AJ603" s="1" t="n"/>
    </row>
    <row r="604" ht="15" customHeight="1">
      <c r="A604" s="434" t="n"/>
      <c r="B604" s="340" t="n">
        <v>0</v>
      </c>
      <c r="C604" s="115" t="n">
        <v>1</v>
      </c>
      <c r="D604" s="339" t="n">
        <v>0</v>
      </c>
      <c r="E604" s="32" t="inlineStr">
        <is>
          <t>Deependra Kumar Yadav</t>
        </is>
      </c>
      <c r="F604" s="425" t="inlineStr">
        <is>
          <t>Site Management</t>
        </is>
      </c>
      <c r="G604" s="460" t="n">
        <v>703536</v>
      </c>
      <c r="H604" s="460" t="n">
        <v>2585449503</v>
      </c>
      <c r="I604" s="425" t="inlineStr">
        <is>
          <t>Additional</t>
        </is>
      </c>
      <c r="J604" s="496" t="n">
        <v>45586</v>
      </c>
      <c r="K604" s="14" t="inlineStr">
        <is>
          <t>FMCO</t>
        </is>
      </c>
      <c r="L604" s="20" t="inlineStr">
        <is>
          <t>-</t>
        </is>
      </c>
      <c r="N604" s="1" t="n"/>
      <c r="O604" s="1" t="n"/>
      <c r="P604" s="1" t="n"/>
      <c r="Q604" s="1" t="n"/>
      <c r="R604" s="1" t="n"/>
      <c r="S604" s="1" t="n"/>
      <c r="T604" s="1" t="n"/>
      <c r="U604" s="1" t="n"/>
      <c r="V604" s="1" t="n"/>
      <c r="W604" s="1" t="n"/>
      <c r="X604" s="1" t="n"/>
      <c r="Y604" s="1" t="n"/>
      <c r="Z604" s="1" t="n"/>
      <c r="AA604" s="1" t="n"/>
      <c r="AB604" s="1" t="n"/>
      <c r="AC604" s="1" t="n"/>
      <c r="AD604" s="1" t="n"/>
      <c r="AE604" s="1" t="n"/>
      <c r="AF604" s="1" t="n"/>
      <c r="AG604" s="1" t="n"/>
      <c r="AH604" s="1" t="n"/>
      <c r="AI604" s="1" t="n"/>
      <c r="AJ604" s="1" t="n"/>
    </row>
    <row r="605" ht="15" customHeight="1">
      <c r="A605" s="114" t="inlineStr">
        <is>
          <t>ADMINISTRATOR/ RECERATION</t>
        </is>
      </c>
      <c r="B605" s="340" t="n">
        <v>0</v>
      </c>
      <c r="C605" s="115" t="n">
        <v>1</v>
      </c>
      <c r="D605" s="339" t="n">
        <v>0</v>
      </c>
      <c r="E605" s="30" t="inlineStr">
        <is>
          <t>MOHAMMAD PAVEL</t>
        </is>
      </c>
      <c r="F605" s="425" t="inlineStr">
        <is>
          <t>Recreation</t>
        </is>
      </c>
      <c r="G605" s="460" t="inlineStr">
        <is>
          <t>EM-0004108</t>
        </is>
      </c>
      <c r="H605" s="460" t="n">
        <v>2643065473</v>
      </c>
      <c r="I605" s="425" t="inlineStr">
        <is>
          <t>Additional</t>
        </is>
      </c>
      <c r="J605" s="496" t="n">
        <v>46245</v>
      </c>
      <c r="K605" s="14" t="inlineStr">
        <is>
          <t>AL-FALAK VISA</t>
        </is>
      </c>
      <c r="L605" s="20" t="inlineStr">
        <is>
          <t>-</t>
        </is>
      </c>
      <c r="N605" s="1" t="n"/>
      <c r="O605" s="1" t="n"/>
      <c r="P605" s="1" t="n"/>
      <c r="Q605" s="1" t="n"/>
      <c r="R605" s="1" t="n"/>
      <c r="S605" s="1" t="n"/>
      <c r="T605" s="1" t="n"/>
      <c r="U605" s="1" t="n"/>
      <c r="V605" s="1" t="n"/>
      <c r="W605" s="1" t="n"/>
      <c r="X605" s="1" t="n"/>
      <c r="Y605" s="1" t="n"/>
      <c r="Z605" s="1" t="n"/>
      <c r="AA605" s="1" t="n"/>
      <c r="AB605" s="1" t="n"/>
      <c r="AC605" s="1" t="n"/>
      <c r="AD605" s="1" t="n"/>
      <c r="AE605" s="1" t="n"/>
      <c r="AF605" s="1" t="n"/>
      <c r="AG605" s="1" t="n"/>
      <c r="AH605" s="1" t="n"/>
      <c r="AI605" s="1" t="n"/>
      <c r="AJ605" s="1" t="n"/>
    </row>
    <row r="606" ht="15" customHeight="1">
      <c r="A606" s="114" t="inlineStr">
        <is>
          <t>KITCHEN TECHNICIAN</t>
        </is>
      </c>
      <c r="B606" s="340" t="n">
        <v>0</v>
      </c>
      <c r="C606" s="115" t="n">
        <v>1</v>
      </c>
      <c r="D606" s="339" t="n">
        <v>0</v>
      </c>
      <c r="E606" s="30" t="inlineStr">
        <is>
          <t>MD RASEL MIEA</t>
        </is>
      </c>
      <c r="F606" s="425" t="inlineStr">
        <is>
          <t>Hard Service</t>
        </is>
      </c>
      <c r="G606" s="460" t="inlineStr">
        <is>
          <t>EM-0004164</t>
        </is>
      </c>
      <c r="H606" s="460" t="n">
        <v>2643189422</v>
      </c>
      <c r="I606" s="425" t="inlineStr">
        <is>
          <t>Additional</t>
        </is>
      </c>
      <c r="J606" s="496" t="n">
        <v>46246</v>
      </c>
      <c r="K606" s="14" t="inlineStr">
        <is>
          <t>AL-FALAK VISA</t>
        </is>
      </c>
      <c r="L606" s="20" t="inlineStr">
        <is>
          <t>-</t>
        </is>
      </c>
      <c r="N606" s="1" t="n"/>
      <c r="O606" s="1" t="n"/>
      <c r="P606" s="1" t="n"/>
      <c r="Q606" s="1" t="n"/>
      <c r="R606" s="1" t="n"/>
      <c r="S606" s="1" t="n"/>
      <c r="T606" s="1" t="n"/>
      <c r="U606" s="1" t="n"/>
      <c r="V606" s="1" t="n"/>
      <c r="W606" s="1" t="n"/>
      <c r="X606" s="1" t="n"/>
      <c r="Y606" s="1" t="n"/>
      <c r="Z606" s="1" t="n"/>
      <c r="AA606" s="1" t="n"/>
      <c r="AB606" s="1" t="n"/>
      <c r="AC606" s="1" t="n"/>
      <c r="AD606" s="1" t="n"/>
      <c r="AE606" s="1" t="n"/>
      <c r="AF606" s="1" t="n"/>
      <c r="AG606" s="1" t="n"/>
      <c r="AH606" s="1" t="n"/>
      <c r="AI606" s="1" t="n"/>
      <c r="AJ606" s="1" t="n"/>
    </row>
    <row r="607" ht="15" customHeight="1">
      <c r="A607" s="293" t="inlineStr">
        <is>
          <t>CLEANER</t>
        </is>
      </c>
      <c r="B607" s="281" t="n">
        <v>0</v>
      </c>
      <c r="C607" s="282" t="n">
        <v>1</v>
      </c>
      <c r="D607" s="283" t="n">
        <v>0</v>
      </c>
      <c r="E607" s="284" t="inlineStr">
        <is>
          <t>MD RAKIB</t>
        </is>
      </c>
      <c r="F607" s="425" t="inlineStr">
        <is>
          <t>Soft Service</t>
        </is>
      </c>
      <c r="G607" s="460" t="inlineStr">
        <is>
          <t>-</t>
        </is>
      </c>
      <c r="H607" s="460" t="inlineStr">
        <is>
          <t>-</t>
        </is>
      </c>
      <c r="I607" s="425" t="inlineStr">
        <is>
          <t>Additional</t>
        </is>
      </c>
      <c r="J607" s="496" t="inlineStr">
        <is>
          <t>26/08/2026</t>
        </is>
      </c>
      <c r="K607" s="14" t="inlineStr">
        <is>
          <t>-</t>
        </is>
      </c>
      <c r="L607" s="20" t="inlineStr">
        <is>
          <t>-</t>
        </is>
      </c>
      <c r="N607" s="1" t="n"/>
      <c r="O607" s="1" t="n"/>
      <c r="P607" s="1" t="n"/>
      <c r="Q607" s="1" t="n"/>
      <c r="R607" s="1" t="n"/>
      <c r="S607" s="1" t="n"/>
      <c r="T607" s="1" t="n"/>
      <c r="U607" s="1" t="n"/>
      <c r="V607" s="1" t="n"/>
      <c r="W607" s="1" t="n"/>
      <c r="X607" s="1" t="n"/>
      <c r="Y607" s="1" t="n"/>
      <c r="Z607" s="1" t="n"/>
      <c r="AA607" s="1" t="n"/>
      <c r="AB607" s="1" t="n"/>
      <c r="AC607" s="1" t="n"/>
      <c r="AD607" s="1" t="n"/>
      <c r="AE607" s="1" t="n"/>
      <c r="AF607" s="1" t="n"/>
      <c r="AG607" s="1" t="n"/>
      <c r="AH607" s="1" t="n"/>
      <c r="AI607" s="1" t="n"/>
      <c r="AJ607" s="1" t="n"/>
    </row>
    <row r="608" ht="15" customHeight="1">
      <c r="A608" s="465" t="inlineStr">
        <is>
          <t>GENERATOR OPERATOR</t>
        </is>
      </c>
      <c r="B608" s="340" t="n">
        <v>0</v>
      </c>
      <c r="C608" s="115" t="n">
        <v>1</v>
      </c>
      <c r="D608" s="339" t="n">
        <v>0</v>
      </c>
      <c r="E608" s="30" t="inlineStr">
        <is>
          <t>SRINIVASAMURTHY ARTHANARI</t>
        </is>
      </c>
      <c r="F608" s="425" t="inlineStr">
        <is>
          <t>Hard Service</t>
        </is>
      </c>
      <c r="G608" s="460" t="inlineStr">
        <is>
          <t>-</t>
        </is>
      </c>
      <c r="H608" s="460" t="inlineStr">
        <is>
          <t>-</t>
        </is>
      </c>
      <c r="I608" s="425" t="inlineStr">
        <is>
          <t>Additional</t>
        </is>
      </c>
      <c r="J608" s="496" t="inlineStr">
        <is>
          <t>26/08/2026</t>
        </is>
      </c>
      <c r="K608" s="14" t="inlineStr">
        <is>
          <t>-</t>
        </is>
      </c>
      <c r="L608" s="20" t="inlineStr">
        <is>
          <t>-</t>
        </is>
      </c>
      <c r="N608" s="1" t="n"/>
      <c r="O608" s="1" t="n"/>
      <c r="P608" s="1" t="n"/>
      <c r="Q608" s="1" t="n"/>
      <c r="R608" s="1" t="n"/>
      <c r="S608" s="1" t="n"/>
      <c r="T608" s="1" t="n"/>
      <c r="U608" s="1" t="n"/>
      <c r="V608" s="1" t="n"/>
      <c r="W608" s="1" t="n"/>
      <c r="X608" s="1" t="n"/>
      <c r="Y608" s="1" t="n"/>
      <c r="Z608" s="1" t="n"/>
      <c r="AA608" s="1" t="n"/>
      <c r="AB608" s="1" t="n"/>
      <c r="AC608" s="1" t="n"/>
      <c r="AD608" s="1" t="n"/>
      <c r="AE608" s="1" t="n"/>
      <c r="AF608" s="1" t="n"/>
      <c r="AG608" s="1" t="n"/>
      <c r="AH608" s="1" t="n"/>
      <c r="AI608" s="1" t="n"/>
      <c r="AJ608" s="1" t="n"/>
    </row>
    <row r="609" ht="15" customHeight="1">
      <c r="A609" s="465" t="inlineStr">
        <is>
          <t>DIESEL GENERATOR TECHNICIAN</t>
        </is>
      </c>
      <c r="B609" s="340" t="n">
        <v>0</v>
      </c>
      <c r="C609" s="115" t="n">
        <v>1</v>
      </c>
      <c r="D609" s="339" t="n">
        <v>0</v>
      </c>
      <c r="E609" s="30" t="inlineStr">
        <is>
          <t>ANOWARUL ISLAM</t>
        </is>
      </c>
      <c r="F609" s="425" t="inlineStr">
        <is>
          <t>Hard Service</t>
        </is>
      </c>
      <c r="G609" s="460" t="inlineStr">
        <is>
          <t>-</t>
        </is>
      </c>
      <c r="H609" s="460" t="inlineStr">
        <is>
          <t>-</t>
        </is>
      </c>
      <c r="I609" s="425" t="inlineStr">
        <is>
          <t>Additional</t>
        </is>
      </c>
      <c r="J609" s="496" t="inlineStr">
        <is>
          <t>26/08/2026</t>
        </is>
      </c>
      <c r="K609" s="14" t="inlineStr">
        <is>
          <t>-</t>
        </is>
      </c>
      <c r="L609" s="20" t="inlineStr">
        <is>
          <t>-</t>
        </is>
      </c>
      <c r="N609" s="1" t="n"/>
      <c r="O609" s="1" t="n"/>
      <c r="P609" s="1" t="n"/>
      <c r="Q609" s="1" t="n"/>
      <c r="R609" s="1" t="n"/>
      <c r="S609" s="1" t="n"/>
      <c r="T609" s="1" t="n"/>
      <c r="U609" s="1" t="n"/>
      <c r="V609" s="1" t="n"/>
      <c r="W609" s="1" t="n"/>
      <c r="X609" s="1" t="n"/>
      <c r="Y609" s="1" t="n"/>
      <c r="Z609" s="1" t="n"/>
      <c r="AA609" s="1" t="n"/>
      <c r="AB609" s="1" t="n"/>
      <c r="AC609" s="1" t="n"/>
      <c r="AD609" s="1" t="n"/>
      <c r="AE609" s="1" t="n"/>
      <c r="AF609" s="1" t="n"/>
      <c r="AG609" s="1" t="n"/>
      <c r="AH609" s="1" t="n"/>
      <c r="AI609" s="1" t="n"/>
      <c r="AJ609" s="1" t="n"/>
    </row>
    <row r="610" ht="15" customHeight="1">
      <c r="A610" s="465" t="inlineStr">
        <is>
          <t>BARBER</t>
        </is>
      </c>
      <c r="B610" s="425" t="n">
        <v>0</v>
      </c>
      <c r="C610" s="425" t="n">
        <v>2</v>
      </c>
      <c r="D610" s="425" t="n">
        <v>0</v>
      </c>
      <c r="E610" s="30" t="inlineStr">
        <is>
          <t>ANWAR ALI</t>
        </is>
      </c>
      <c r="F610" s="425" t="inlineStr">
        <is>
          <t>Soft Service</t>
        </is>
      </c>
      <c r="G610" s="460" t="n"/>
      <c r="H610" s="292" t="n">
        <v>10756973</v>
      </c>
      <c r="I610" s="425" t="inlineStr">
        <is>
          <t>Additional</t>
        </is>
      </c>
      <c r="J610" s="496" t="n">
        <v>46267</v>
      </c>
      <c r="K610" s="14" t="n"/>
      <c r="L610" s="20" t="n"/>
      <c r="N610" s="1" t="n"/>
      <c r="O610" s="1" t="n"/>
      <c r="P610" s="1" t="n"/>
      <c r="Q610" s="1" t="n"/>
      <c r="R610" s="1" t="n"/>
      <c r="S610" s="1" t="n"/>
      <c r="T610" s="1" t="n"/>
      <c r="U610" s="1" t="n"/>
      <c r="V610" s="1" t="n"/>
      <c r="W610" s="1" t="n"/>
      <c r="X610" s="1" t="n"/>
      <c r="Y610" s="1" t="n"/>
      <c r="Z610" s="1" t="n"/>
      <c r="AA610" s="1" t="n"/>
      <c r="AB610" s="1" t="n"/>
      <c r="AC610" s="1" t="n"/>
      <c r="AD610" s="1" t="n"/>
      <c r="AE610" s="1" t="n"/>
      <c r="AF610" s="1" t="n"/>
      <c r="AG610" s="1" t="n"/>
      <c r="AH610" s="1" t="n"/>
      <c r="AI610" s="1" t="n"/>
      <c r="AJ610" s="1" t="n"/>
    </row>
    <row r="611" ht="15" customHeight="1">
      <c r="A611" s="431" t="n"/>
      <c r="B611" s="434" t="n"/>
      <c r="C611" s="434" t="n"/>
      <c r="D611" s="434" t="n"/>
      <c r="E611" s="30" t="inlineStr">
        <is>
          <t>BUDDI CHANDRA SHARMA</t>
        </is>
      </c>
      <c r="F611" s="425" t="inlineStr">
        <is>
          <t>Soft Service</t>
        </is>
      </c>
      <c r="G611" s="460" t="n"/>
      <c r="H611" s="295" t="inlineStr">
        <is>
          <t>A07824961</t>
        </is>
      </c>
      <c r="I611" s="425" t="inlineStr">
        <is>
          <t>Additional</t>
        </is>
      </c>
      <c r="J611" s="496" t="n">
        <v>46267</v>
      </c>
      <c r="K611" s="14" t="n"/>
      <c r="L611" s="20" t="n"/>
      <c r="N611" s="1" t="n"/>
      <c r="O611" s="1" t="n"/>
      <c r="P611" s="1" t="n"/>
      <c r="Q611" s="1" t="n"/>
      <c r="R611" s="1" t="n"/>
      <c r="S611" s="1" t="n"/>
      <c r="T611" s="1" t="n"/>
      <c r="U611" s="1" t="n"/>
      <c r="V611" s="1" t="n"/>
      <c r="W611" s="1" t="n"/>
      <c r="X611" s="1" t="n"/>
      <c r="Y611" s="1" t="n"/>
      <c r="Z611" s="1" t="n"/>
      <c r="AA611" s="1" t="n"/>
      <c r="AB611" s="1" t="n"/>
      <c r="AC611" s="1" t="n"/>
      <c r="AD611" s="1" t="n"/>
      <c r="AE611" s="1" t="n"/>
      <c r="AF611" s="1" t="n"/>
      <c r="AG611" s="1" t="n"/>
      <c r="AH611" s="1" t="n"/>
      <c r="AI611" s="1" t="n"/>
      <c r="AJ611" s="1" t="n"/>
    </row>
    <row r="612" ht="15" customHeight="1">
      <c r="A612" s="465" t="inlineStr">
        <is>
          <t>MALE CLEANER</t>
        </is>
      </c>
      <c r="B612" s="437" t="n">
        <v>0</v>
      </c>
      <c r="C612" s="437" t="n">
        <v>18</v>
      </c>
      <c r="D612" s="437" t="n">
        <v>0</v>
      </c>
      <c r="E612" s="292" t="inlineStr">
        <is>
          <t>MD JOY</t>
        </is>
      </c>
      <c r="F612" s="425" t="inlineStr">
        <is>
          <t>Soft Service</t>
        </is>
      </c>
      <c r="G612" s="292" t="inlineStr">
        <is>
          <t>R08732</t>
        </is>
      </c>
      <c r="H612" s="292" t="n">
        <v>2608372252</v>
      </c>
      <c r="I612" s="425" t="inlineStr">
        <is>
          <t>Additional</t>
        </is>
      </c>
      <c r="J612" s="496" t="n">
        <v>46261</v>
      </c>
      <c r="K612" s="14" t="n"/>
      <c r="L612" s="20" t="n"/>
      <c r="N612" s="1" t="n"/>
      <c r="O612" s="1" t="n"/>
      <c r="P612" s="1" t="n"/>
      <c r="Q612" s="1" t="n"/>
      <c r="R612" s="1" t="n"/>
      <c r="S612" s="1" t="n"/>
      <c r="T612" s="1" t="n"/>
      <c r="U612" s="1" t="n"/>
      <c r="V612" s="1" t="n"/>
      <c r="W612" s="1" t="n"/>
      <c r="X612" s="1" t="n"/>
      <c r="Y612" s="1" t="n"/>
      <c r="Z612" s="1" t="n"/>
      <c r="AA612" s="1" t="n"/>
      <c r="AB612" s="1" t="n"/>
      <c r="AC612" s="1" t="n"/>
      <c r="AD612" s="1" t="n"/>
      <c r="AE612" s="1" t="n"/>
      <c r="AF612" s="1" t="n"/>
      <c r="AG612" s="1" t="n"/>
      <c r="AH612" s="1" t="n"/>
      <c r="AI612" s="1" t="n"/>
      <c r="AJ612" s="1" t="n"/>
    </row>
    <row r="613" ht="15" customHeight="1">
      <c r="A613" s="429" t="n"/>
      <c r="B613" s="429" t="n"/>
      <c r="C613" s="429" t="n"/>
      <c r="D613" s="429" t="n"/>
      <c r="E613" s="292" t="inlineStr">
        <is>
          <t>MD RUBEL AHAMED</t>
        </is>
      </c>
      <c r="F613" s="425" t="inlineStr">
        <is>
          <t>Soft Service</t>
        </is>
      </c>
      <c r="G613" s="292" t="inlineStr">
        <is>
          <t>R09257</t>
        </is>
      </c>
      <c r="H613" s="292" t="n">
        <v>2612712139</v>
      </c>
      <c r="I613" s="425" t="inlineStr">
        <is>
          <t>Additional</t>
        </is>
      </c>
      <c r="J613" s="496" t="n">
        <v>46261</v>
      </c>
      <c r="K613" s="14" t="n"/>
      <c r="L613" s="20" t="n"/>
      <c r="N613" s="1" t="n"/>
      <c r="O613" s="1" t="n"/>
      <c r="P613" s="1" t="n"/>
      <c r="Q613" s="1" t="n"/>
      <c r="R613" s="1" t="n"/>
      <c r="S613" s="1" t="n"/>
      <c r="T613" s="1" t="n"/>
      <c r="U613" s="1" t="n"/>
      <c r="V613" s="1" t="n"/>
      <c r="W613" s="1" t="n"/>
      <c r="X613" s="1" t="n"/>
      <c r="Y613" s="1" t="n"/>
      <c r="Z613" s="1" t="n"/>
      <c r="AA613" s="1" t="n"/>
      <c r="AB613" s="1" t="n"/>
      <c r="AC613" s="1" t="n"/>
      <c r="AD613" s="1" t="n"/>
      <c r="AE613" s="1" t="n"/>
      <c r="AF613" s="1" t="n"/>
      <c r="AG613" s="1" t="n"/>
      <c r="AH613" s="1" t="n"/>
      <c r="AI613" s="1" t="n"/>
      <c r="AJ613" s="1" t="n"/>
    </row>
    <row r="614" ht="15" customHeight="1">
      <c r="A614" s="429" t="n"/>
      <c r="B614" s="429" t="n"/>
      <c r="C614" s="429" t="n"/>
      <c r="D614" s="429" t="n"/>
      <c r="E614" s="292" t="inlineStr">
        <is>
          <t>SHAH ALI  EMON</t>
        </is>
      </c>
      <c r="F614" s="425" t="inlineStr">
        <is>
          <t>Soft Service</t>
        </is>
      </c>
      <c r="G614" s="292" t="inlineStr">
        <is>
          <t>R09264</t>
        </is>
      </c>
      <c r="H614" s="292" t="n">
        <v>2612713285</v>
      </c>
      <c r="I614" s="425" t="inlineStr">
        <is>
          <t>Additional</t>
        </is>
      </c>
      <c r="J614" s="496" t="n">
        <v>46261</v>
      </c>
      <c r="K614" s="14" t="n"/>
      <c r="L614" s="20" t="n"/>
      <c r="N614" s="1" t="n"/>
      <c r="O614" s="1" t="n"/>
      <c r="P614" s="1" t="n"/>
      <c r="Q614" s="1" t="n"/>
      <c r="R614" s="1" t="n"/>
      <c r="S614" s="1" t="n"/>
      <c r="T614" s="1" t="n"/>
      <c r="U614" s="1" t="n"/>
      <c r="V614" s="1" t="n"/>
      <c r="W614" s="1" t="n"/>
      <c r="X614" s="1" t="n"/>
      <c r="Y614" s="1" t="n"/>
      <c r="Z614" s="1" t="n"/>
      <c r="AA614" s="1" t="n"/>
      <c r="AB614" s="1" t="n"/>
      <c r="AC614" s="1" t="n"/>
      <c r="AD614" s="1" t="n"/>
      <c r="AE614" s="1" t="n"/>
      <c r="AF614" s="1" t="n"/>
      <c r="AG614" s="1" t="n"/>
      <c r="AH614" s="1" t="n"/>
      <c r="AI614" s="1" t="n"/>
      <c r="AJ614" s="1" t="n"/>
    </row>
    <row r="615" ht="15" customHeight="1">
      <c r="A615" s="429" t="n"/>
      <c r="B615" s="429" t="n"/>
      <c r="C615" s="429" t="n"/>
      <c r="D615" s="429" t="n"/>
      <c r="E615" s="292" t="inlineStr">
        <is>
          <t>BIRJI  DAS</t>
        </is>
      </c>
      <c r="F615" s="425" t="inlineStr">
        <is>
          <t>Soft Service</t>
        </is>
      </c>
      <c r="G615" s="292" t="inlineStr">
        <is>
          <t>R09325</t>
        </is>
      </c>
      <c r="H615" s="292" t="n">
        <v>2613294996</v>
      </c>
      <c r="I615" s="425" t="inlineStr">
        <is>
          <t>Additional</t>
        </is>
      </c>
      <c r="J615" s="496" t="n">
        <v>46261</v>
      </c>
      <c r="K615" s="14" t="n"/>
      <c r="L615" s="20" t="n"/>
      <c r="N615" s="1" t="n"/>
      <c r="O615" s="1" t="n"/>
      <c r="P615" s="1" t="n"/>
      <c r="Q615" s="1" t="n"/>
      <c r="R615" s="1" t="n"/>
      <c r="S615" s="1" t="n"/>
      <c r="T615" s="1" t="n"/>
      <c r="U615" s="1" t="n"/>
      <c r="V615" s="1" t="n"/>
      <c r="W615" s="1" t="n"/>
      <c r="X615" s="1" t="n"/>
      <c r="Y615" s="1" t="n"/>
      <c r="Z615" s="1" t="n"/>
      <c r="AA615" s="1" t="n"/>
      <c r="AB615" s="1" t="n"/>
      <c r="AC615" s="1" t="n"/>
      <c r="AD615" s="1" t="n"/>
      <c r="AE615" s="1" t="n"/>
      <c r="AF615" s="1" t="n"/>
      <c r="AG615" s="1" t="n"/>
      <c r="AH615" s="1" t="n"/>
      <c r="AI615" s="1" t="n"/>
      <c r="AJ615" s="1" t="n"/>
    </row>
    <row r="616" ht="15" customHeight="1">
      <c r="A616" s="429" t="n"/>
      <c r="B616" s="429" t="n"/>
      <c r="C616" s="429" t="n"/>
      <c r="D616" s="429" t="n"/>
      <c r="E616" s="292" t="inlineStr">
        <is>
          <t>VAIS AHMAD KAMALUDDIN</t>
        </is>
      </c>
      <c r="F616" s="425" t="inlineStr">
        <is>
          <t>Soft Service</t>
        </is>
      </c>
      <c r="G616" s="292" t="inlineStr">
        <is>
          <t>R09548</t>
        </is>
      </c>
      <c r="H616" s="292" t="n">
        <v>2615109788</v>
      </c>
      <c r="I616" s="425" t="inlineStr">
        <is>
          <t>Additional</t>
        </is>
      </c>
      <c r="J616" s="496" t="n">
        <v>46261</v>
      </c>
      <c r="K616" s="14" t="n"/>
      <c r="L616" s="20" t="n"/>
      <c r="N616" s="1" t="n"/>
      <c r="O616" s="1" t="n"/>
      <c r="P616" s="1" t="n"/>
      <c r="Q616" s="1" t="n"/>
      <c r="R616" s="1" t="n"/>
      <c r="S616" s="1" t="n"/>
      <c r="T616" s="1" t="n"/>
      <c r="U616" s="1" t="n"/>
      <c r="V616" s="1" t="n"/>
      <c r="W616" s="1" t="n"/>
      <c r="X616" s="1" t="n"/>
      <c r="Y616" s="1" t="n"/>
      <c r="Z616" s="1" t="n"/>
      <c r="AA616" s="1" t="n"/>
      <c r="AB616" s="1" t="n"/>
      <c r="AC616" s="1" t="n"/>
      <c r="AD616" s="1" t="n"/>
      <c r="AE616" s="1" t="n"/>
      <c r="AF616" s="1" t="n"/>
      <c r="AG616" s="1" t="n"/>
      <c r="AH616" s="1" t="n"/>
      <c r="AI616" s="1" t="n"/>
      <c r="AJ616" s="1" t="n"/>
    </row>
    <row r="617" ht="15" customHeight="1">
      <c r="A617" s="429" t="n"/>
      <c r="B617" s="429" t="n"/>
      <c r="C617" s="429" t="n"/>
      <c r="D617" s="429" t="n"/>
      <c r="E617" s="292" t="inlineStr">
        <is>
          <t>SHAMSUL HAQUE ANSARI</t>
        </is>
      </c>
      <c r="F617" s="425" t="inlineStr">
        <is>
          <t>Soft Service</t>
        </is>
      </c>
      <c r="G617" s="292" t="inlineStr">
        <is>
          <t>R09881</t>
        </is>
      </c>
      <c r="H617" s="292" t="n">
        <v>2621395660</v>
      </c>
      <c r="I617" s="425" t="inlineStr">
        <is>
          <t>Additional</t>
        </is>
      </c>
      <c r="J617" s="496" t="n">
        <v>46261</v>
      </c>
      <c r="K617" s="14" t="n"/>
      <c r="L617" s="20" t="n"/>
      <c r="N617" s="1" t="n"/>
      <c r="O617" s="1" t="n"/>
      <c r="P617" s="1" t="n"/>
      <c r="Q617" s="1" t="n"/>
      <c r="R617" s="1" t="n"/>
      <c r="S617" s="1" t="n"/>
      <c r="T617" s="1" t="n"/>
      <c r="U617" s="1" t="n"/>
      <c r="V617" s="1" t="n"/>
      <c r="W617" s="1" t="n"/>
      <c r="X617" s="1" t="n"/>
      <c r="Y617" s="1" t="n"/>
      <c r="Z617" s="1" t="n"/>
      <c r="AA617" s="1" t="n"/>
      <c r="AB617" s="1" t="n"/>
      <c r="AC617" s="1" t="n"/>
      <c r="AD617" s="1" t="n"/>
      <c r="AE617" s="1" t="n"/>
      <c r="AF617" s="1" t="n"/>
      <c r="AG617" s="1" t="n"/>
      <c r="AH617" s="1" t="n"/>
      <c r="AI617" s="1" t="n"/>
      <c r="AJ617" s="1" t="n"/>
    </row>
    <row r="618" ht="15" customHeight="1">
      <c r="A618" s="429" t="n"/>
      <c r="B618" s="429" t="n"/>
      <c r="C618" s="429" t="n"/>
      <c r="D618" s="429" t="n"/>
      <c r="E618" s="292" t="inlineStr">
        <is>
          <t>MUHAMMAD KAMRAN GHULAM MUSTAFA</t>
        </is>
      </c>
      <c r="F618" s="425" t="inlineStr">
        <is>
          <t>Soft Service</t>
        </is>
      </c>
      <c r="G618" s="292" t="inlineStr">
        <is>
          <t>L01147</t>
        </is>
      </c>
      <c r="H618" s="292" t="n">
        <v>2635109727</v>
      </c>
      <c r="I618" s="425" t="inlineStr">
        <is>
          <t>Additional</t>
        </is>
      </c>
      <c r="J618" s="496" t="n">
        <v>46261</v>
      </c>
      <c r="K618" s="14" t="n"/>
      <c r="L618" s="20" t="n"/>
      <c r="N618" s="1" t="n"/>
      <c r="O618" s="1" t="n"/>
      <c r="P618" s="1" t="n"/>
      <c r="Q618" s="1" t="n"/>
      <c r="R618" s="1" t="n"/>
      <c r="S618" s="1" t="n"/>
      <c r="T618" s="1" t="n"/>
      <c r="U618" s="1" t="n"/>
      <c r="V618" s="1" t="n"/>
      <c r="W618" s="1" t="n"/>
      <c r="X618" s="1" t="n"/>
      <c r="Y618" s="1" t="n"/>
      <c r="Z618" s="1" t="n"/>
      <c r="AA618" s="1" t="n"/>
      <c r="AB618" s="1" t="n"/>
      <c r="AC618" s="1" t="n"/>
      <c r="AD618" s="1" t="n"/>
      <c r="AE618" s="1" t="n"/>
      <c r="AF618" s="1" t="n"/>
      <c r="AG618" s="1" t="n"/>
      <c r="AH618" s="1" t="n"/>
      <c r="AI618" s="1" t="n"/>
      <c r="AJ618" s="1" t="n"/>
    </row>
    <row r="619" ht="15" customHeight="1">
      <c r="A619" s="429" t="n"/>
      <c r="B619" s="429" t="n"/>
      <c r="C619" s="429" t="n"/>
      <c r="D619" s="429" t="n"/>
      <c r="E619" s="292" t="inlineStr">
        <is>
          <t>AFRASIYAB  MUHAMMAD JAVED</t>
        </is>
      </c>
      <c r="F619" s="425" t="inlineStr">
        <is>
          <t>Soft Service</t>
        </is>
      </c>
      <c r="G619" s="292" t="inlineStr">
        <is>
          <t>L01149</t>
        </is>
      </c>
      <c r="H619" s="292" t="n">
        <v>2635109842</v>
      </c>
      <c r="I619" s="425" t="inlineStr">
        <is>
          <t>Additional</t>
        </is>
      </c>
      <c r="J619" s="496" t="n">
        <v>46261</v>
      </c>
      <c r="K619" s="14" t="n"/>
      <c r="L619" s="20" t="n"/>
      <c r="N619" s="1" t="n"/>
      <c r="O619" s="1" t="n"/>
      <c r="P619" s="1" t="n"/>
      <c r="Q619" s="1" t="n"/>
      <c r="R619" s="1" t="n"/>
      <c r="S619" s="1" t="n"/>
      <c r="T619" s="1" t="n"/>
      <c r="U619" s="1" t="n"/>
      <c r="V619" s="1" t="n"/>
      <c r="W619" s="1" t="n"/>
      <c r="X619" s="1" t="n"/>
      <c r="Y619" s="1" t="n"/>
      <c r="Z619" s="1" t="n"/>
      <c r="AA619" s="1" t="n"/>
      <c r="AB619" s="1" t="n"/>
      <c r="AC619" s="1" t="n"/>
      <c r="AD619" s="1" t="n"/>
      <c r="AE619" s="1" t="n"/>
      <c r="AF619" s="1" t="n"/>
      <c r="AG619" s="1" t="n"/>
      <c r="AH619" s="1" t="n"/>
      <c r="AI619" s="1" t="n"/>
      <c r="AJ619" s="1" t="n"/>
    </row>
    <row r="620" ht="15" customHeight="1">
      <c r="A620" s="429" t="n"/>
      <c r="B620" s="429" t="n"/>
      <c r="C620" s="429" t="n"/>
      <c r="D620" s="429" t="n"/>
      <c r="E620" s="292" t="inlineStr">
        <is>
          <t>MD ABDUL  KAIYOUM</t>
        </is>
      </c>
      <c r="F620" s="425" t="inlineStr">
        <is>
          <t>Soft Service</t>
        </is>
      </c>
      <c r="G620" s="292" t="inlineStr">
        <is>
          <t>L01168</t>
        </is>
      </c>
      <c r="H620" s="292" t="n">
        <v>2635403112</v>
      </c>
      <c r="I620" s="425" t="inlineStr">
        <is>
          <t>Additional</t>
        </is>
      </c>
      <c r="J620" s="496" t="n">
        <v>46261</v>
      </c>
      <c r="K620" s="14" t="n"/>
      <c r="L620" s="20" t="n"/>
      <c r="N620" s="1" t="n"/>
      <c r="O620" s="1" t="n"/>
      <c r="P620" s="1" t="n"/>
      <c r="Q620" s="1" t="n"/>
      <c r="R620" s="1" t="n"/>
      <c r="S620" s="1" t="n"/>
      <c r="T620" s="1" t="n"/>
      <c r="U620" s="1" t="n"/>
      <c r="V620" s="1" t="n"/>
      <c r="W620" s="1" t="n"/>
      <c r="X620" s="1" t="n"/>
      <c r="Y620" s="1" t="n"/>
      <c r="Z620" s="1" t="n"/>
      <c r="AA620" s="1" t="n"/>
      <c r="AB620" s="1" t="n"/>
      <c r="AC620" s="1" t="n"/>
      <c r="AD620" s="1" t="n"/>
      <c r="AE620" s="1" t="n"/>
      <c r="AF620" s="1" t="n"/>
      <c r="AG620" s="1" t="n"/>
      <c r="AH620" s="1" t="n"/>
      <c r="AI620" s="1" t="n"/>
      <c r="AJ620" s="1" t="n"/>
    </row>
    <row r="621" ht="15" customHeight="1">
      <c r="A621" s="429" t="n"/>
      <c r="B621" s="429" t="n"/>
      <c r="C621" s="429" t="n"/>
      <c r="D621" s="429" t="n"/>
      <c r="E621" s="292" t="inlineStr">
        <is>
          <t>ADEEL AHMED FAZAL UR REHMAN</t>
        </is>
      </c>
      <c r="F621" s="425" t="inlineStr">
        <is>
          <t>Soft Service</t>
        </is>
      </c>
      <c r="G621" s="292" t="inlineStr">
        <is>
          <t>L01649</t>
        </is>
      </c>
      <c r="H621" s="292" t="n">
        <v>2639934716</v>
      </c>
      <c r="I621" s="425" t="inlineStr">
        <is>
          <t>Additional</t>
        </is>
      </c>
      <c r="J621" s="496" t="n">
        <v>46261</v>
      </c>
      <c r="K621" s="14" t="n"/>
      <c r="L621" s="20" t="n"/>
      <c r="N621" s="1" t="n"/>
      <c r="O621" s="1" t="n"/>
      <c r="P621" s="1" t="n"/>
      <c r="Q621" s="1" t="n"/>
      <c r="R621" s="1" t="n"/>
      <c r="S621" s="1" t="n"/>
      <c r="T621" s="1" t="n"/>
      <c r="U621" s="1" t="n"/>
      <c r="V621" s="1" t="n"/>
      <c r="W621" s="1" t="n"/>
      <c r="X621" s="1" t="n"/>
      <c r="Y621" s="1" t="n"/>
      <c r="Z621" s="1" t="n"/>
      <c r="AA621" s="1" t="n"/>
      <c r="AB621" s="1" t="n"/>
      <c r="AC621" s="1" t="n"/>
      <c r="AD621" s="1" t="n"/>
      <c r="AE621" s="1" t="n"/>
      <c r="AF621" s="1" t="n"/>
      <c r="AG621" s="1" t="n"/>
      <c r="AH621" s="1" t="n"/>
      <c r="AI621" s="1" t="n"/>
      <c r="AJ621" s="1" t="n"/>
    </row>
    <row r="622" ht="15" customHeight="1">
      <c r="A622" s="429" t="n"/>
      <c r="B622" s="429" t="n"/>
      <c r="C622" s="429" t="n"/>
      <c r="D622" s="429" t="n"/>
      <c r="E622" s="292" t="inlineStr">
        <is>
          <t>MD TUMAL</t>
        </is>
      </c>
      <c r="F622" s="425" t="inlineStr">
        <is>
          <t>Soft Service</t>
        </is>
      </c>
      <c r="G622" s="292" t="inlineStr">
        <is>
          <t>L02011</t>
        </is>
      </c>
      <c r="H622" s="292" t="n">
        <v>2642869503</v>
      </c>
      <c r="I622" s="425" t="inlineStr">
        <is>
          <t>Additional</t>
        </is>
      </c>
      <c r="J622" s="496" t="n">
        <v>46261</v>
      </c>
      <c r="K622" s="14" t="n"/>
      <c r="L622" s="20" t="n"/>
      <c r="N622" s="1" t="n"/>
      <c r="O622" s="1" t="n"/>
      <c r="P622" s="1" t="n"/>
      <c r="Q622" s="1" t="n"/>
      <c r="R622" s="1" t="n"/>
      <c r="S622" s="1" t="n"/>
      <c r="T622" s="1" t="n"/>
      <c r="U622" s="1" t="n"/>
      <c r="V622" s="1" t="n"/>
      <c r="W622" s="1" t="n"/>
      <c r="X622" s="1" t="n"/>
      <c r="Y622" s="1" t="n"/>
      <c r="Z622" s="1" t="n"/>
      <c r="AA622" s="1" t="n"/>
      <c r="AB622" s="1" t="n"/>
      <c r="AC622" s="1" t="n"/>
      <c r="AD622" s="1" t="n"/>
      <c r="AE622" s="1" t="n"/>
      <c r="AF622" s="1" t="n"/>
      <c r="AG622" s="1" t="n"/>
      <c r="AH622" s="1" t="n"/>
      <c r="AI622" s="1" t="n"/>
      <c r="AJ622" s="1" t="n"/>
    </row>
    <row r="623" ht="15" customHeight="1">
      <c r="A623" s="429" t="n"/>
      <c r="B623" s="429" t="n"/>
      <c r="C623" s="429" t="n"/>
      <c r="D623" s="429" t="n"/>
      <c r="E623" s="292" t="inlineStr">
        <is>
          <t>MUHAMMAD ADNAN AZIZ KHAN</t>
        </is>
      </c>
      <c r="F623" s="425" t="inlineStr">
        <is>
          <t>Soft Service</t>
        </is>
      </c>
      <c r="G623" s="292" t="inlineStr">
        <is>
          <t>L02043</t>
        </is>
      </c>
      <c r="H623" s="292" t="n">
        <v>2643723832</v>
      </c>
      <c r="I623" s="425" t="inlineStr">
        <is>
          <t>Additional</t>
        </is>
      </c>
      <c r="J623" s="496" t="n">
        <v>46261</v>
      </c>
      <c r="K623" s="14" t="n"/>
      <c r="L623" s="20" t="n"/>
      <c r="N623" s="1" t="n"/>
      <c r="O623" s="1" t="n"/>
      <c r="P623" s="1" t="n"/>
      <c r="Q623" s="1" t="n"/>
      <c r="R623" s="1" t="n"/>
      <c r="S623" s="1" t="n"/>
      <c r="T623" s="1" t="n"/>
      <c r="U623" s="1" t="n"/>
      <c r="V623" s="1" t="n"/>
      <c r="W623" s="1" t="n"/>
      <c r="X623" s="1" t="n"/>
      <c r="Y623" s="1" t="n"/>
      <c r="Z623" s="1" t="n"/>
      <c r="AA623" s="1" t="n"/>
      <c r="AB623" s="1" t="n"/>
      <c r="AC623" s="1" t="n"/>
      <c r="AD623" s="1" t="n"/>
      <c r="AE623" s="1" t="n"/>
      <c r="AF623" s="1" t="n"/>
      <c r="AG623" s="1" t="n"/>
      <c r="AH623" s="1" t="n"/>
      <c r="AI623" s="1" t="n"/>
      <c r="AJ623" s="1" t="n"/>
    </row>
    <row r="624" ht="15" customHeight="1">
      <c r="A624" s="429" t="n"/>
      <c r="B624" s="429" t="n"/>
      <c r="C624" s="429" t="n"/>
      <c r="D624" s="429" t="n"/>
      <c r="E624" s="292" t="inlineStr">
        <is>
          <t>SURAJ KUMAR RAUT</t>
        </is>
      </c>
      <c r="F624" s="425" t="inlineStr">
        <is>
          <t>Soft Service</t>
        </is>
      </c>
      <c r="G624" s="460" t="n"/>
      <c r="H624" s="292" t="inlineStr">
        <is>
          <t>PA1286924</t>
        </is>
      </c>
      <c r="I624" s="425" t="inlineStr">
        <is>
          <t>Additional</t>
        </is>
      </c>
      <c r="J624" s="496" t="n">
        <v>46267</v>
      </c>
      <c r="K624" s="14" t="n"/>
      <c r="L624" s="20" t="n"/>
      <c r="N624" s="1" t="n"/>
      <c r="O624" s="1" t="n"/>
      <c r="P624" s="1" t="n"/>
      <c r="Q624" s="1" t="n"/>
      <c r="R624" s="1" t="n"/>
      <c r="S624" s="1" t="n"/>
      <c r="T624" s="1" t="n"/>
      <c r="U624" s="1" t="n"/>
      <c r="V624" s="1" t="n"/>
      <c r="W624" s="1" t="n"/>
      <c r="X624" s="1" t="n"/>
      <c r="Y624" s="1" t="n"/>
      <c r="Z624" s="1" t="n"/>
      <c r="AA624" s="1" t="n"/>
      <c r="AB624" s="1" t="n"/>
      <c r="AC624" s="1" t="n"/>
      <c r="AD624" s="1" t="n"/>
      <c r="AE624" s="1" t="n"/>
      <c r="AF624" s="1" t="n"/>
      <c r="AG624" s="1" t="n"/>
      <c r="AH624" s="1" t="n"/>
      <c r="AI624" s="1" t="n"/>
      <c r="AJ624" s="1" t="n"/>
    </row>
    <row r="625" ht="15" customHeight="1">
      <c r="A625" s="429" t="n"/>
      <c r="B625" s="429" t="n"/>
      <c r="C625" s="429" t="n"/>
      <c r="D625" s="429" t="n"/>
      <c r="E625" s="292" t="inlineStr">
        <is>
          <t>KAMLESH RAY</t>
        </is>
      </c>
      <c r="F625" s="425" t="inlineStr">
        <is>
          <t>Soft Service</t>
        </is>
      </c>
      <c r="G625" s="460" t="n"/>
      <c r="H625" s="292" t="inlineStr">
        <is>
          <t>PA3964254</t>
        </is>
      </c>
      <c r="I625" s="425" t="inlineStr">
        <is>
          <t>Additional</t>
        </is>
      </c>
      <c r="J625" s="496" t="n">
        <v>46267</v>
      </c>
      <c r="K625" s="14" t="n"/>
      <c r="L625" s="20" t="n"/>
      <c r="N625" s="1" t="n"/>
      <c r="O625" s="1" t="n"/>
      <c r="P625" s="1" t="n"/>
      <c r="Q625" s="1" t="n"/>
      <c r="R625" s="1" t="n"/>
      <c r="S625" s="1" t="n"/>
      <c r="T625" s="1" t="n"/>
      <c r="U625" s="1" t="n"/>
      <c r="V625" s="1" t="n"/>
      <c r="W625" s="1" t="n"/>
      <c r="X625" s="1" t="n"/>
      <c r="Y625" s="1" t="n"/>
      <c r="Z625" s="1" t="n"/>
      <c r="AA625" s="1" t="n"/>
      <c r="AB625" s="1" t="n"/>
      <c r="AC625" s="1" t="n"/>
      <c r="AD625" s="1" t="n"/>
      <c r="AE625" s="1" t="n"/>
      <c r="AF625" s="1" t="n"/>
      <c r="AG625" s="1" t="n"/>
      <c r="AH625" s="1" t="n"/>
      <c r="AI625" s="1" t="n"/>
      <c r="AJ625" s="1" t="n"/>
    </row>
    <row r="626" ht="15" customHeight="1">
      <c r="A626" s="429" t="n"/>
      <c r="B626" s="429" t="n"/>
      <c r="C626" s="429" t="n"/>
      <c r="D626" s="429" t="n"/>
      <c r="E626" s="292" t="inlineStr">
        <is>
          <t>RABIN SADA</t>
        </is>
      </c>
      <c r="F626" s="425" t="inlineStr">
        <is>
          <t>Soft Service</t>
        </is>
      </c>
      <c r="G626" s="460" t="n"/>
      <c r="H626" s="292" t="inlineStr">
        <is>
          <t>PA5S191202</t>
        </is>
      </c>
      <c r="I626" s="425" t="inlineStr">
        <is>
          <t>Additional</t>
        </is>
      </c>
      <c r="J626" s="496" t="n">
        <v>46267</v>
      </c>
      <c r="K626" s="14" t="n"/>
      <c r="L626" s="20" t="n"/>
      <c r="N626" s="1" t="n"/>
      <c r="O626" s="1" t="n"/>
      <c r="P626" s="1" t="n"/>
      <c r="Q626" s="1" t="n"/>
      <c r="R626" s="1" t="n"/>
      <c r="S626" s="1" t="n"/>
      <c r="T626" s="1" t="n"/>
      <c r="U626" s="1" t="n"/>
      <c r="V626" s="1" t="n"/>
      <c r="W626" s="1" t="n"/>
      <c r="X626" s="1" t="n"/>
      <c r="Y626" s="1" t="n"/>
      <c r="Z626" s="1" t="n"/>
      <c r="AA626" s="1" t="n"/>
      <c r="AB626" s="1" t="n"/>
      <c r="AC626" s="1" t="n"/>
      <c r="AD626" s="1" t="n"/>
      <c r="AE626" s="1" t="n"/>
      <c r="AF626" s="1" t="n"/>
      <c r="AG626" s="1" t="n"/>
      <c r="AH626" s="1" t="n"/>
      <c r="AI626" s="1" t="n"/>
      <c r="AJ626" s="1" t="n"/>
    </row>
    <row r="627" ht="15" customHeight="1">
      <c r="A627" s="429" t="n"/>
      <c r="B627" s="429" t="n"/>
      <c r="C627" s="429" t="n"/>
      <c r="D627" s="429" t="n"/>
      <c r="E627" s="292" t="inlineStr">
        <is>
          <t>RAKESH KUMAR JHA</t>
        </is>
      </c>
      <c r="F627" s="425" t="inlineStr">
        <is>
          <t>Soft Service</t>
        </is>
      </c>
      <c r="G627" s="460" t="n"/>
      <c r="H627" s="292" t="inlineStr">
        <is>
          <t>PA3740200</t>
        </is>
      </c>
      <c r="I627" s="425" t="inlineStr">
        <is>
          <t>Additional</t>
        </is>
      </c>
      <c r="J627" s="496" t="n">
        <v>46267</v>
      </c>
      <c r="K627" s="14" t="n"/>
      <c r="L627" s="20" t="n"/>
      <c r="N627" s="1" t="n"/>
      <c r="O627" s="1" t="n"/>
      <c r="P627" s="1" t="n"/>
      <c r="Q627" s="1" t="n"/>
      <c r="R627" s="1" t="n"/>
      <c r="S627" s="1" t="n"/>
      <c r="T627" s="1" t="n"/>
      <c r="U627" s="1" t="n"/>
      <c r="V627" s="1" t="n"/>
      <c r="W627" s="1" t="n"/>
      <c r="X627" s="1" t="n"/>
      <c r="Y627" s="1" t="n"/>
      <c r="Z627" s="1" t="n"/>
      <c r="AA627" s="1" t="n"/>
      <c r="AB627" s="1" t="n"/>
      <c r="AC627" s="1" t="n"/>
      <c r="AD627" s="1" t="n"/>
      <c r="AE627" s="1" t="n"/>
      <c r="AF627" s="1" t="n"/>
      <c r="AG627" s="1" t="n"/>
      <c r="AH627" s="1" t="n"/>
      <c r="AI627" s="1" t="n"/>
      <c r="AJ627" s="1" t="n"/>
    </row>
    <row r="628" ht="15" customHeight="1">
      <c r="A628" s="429" t="n"/>
      <c r="B628" s="429" t="n"/>
      <c r="C628" s="429" t="n"/>
      <c r="D628" s="429" t="n"/>
      <c r="E628" s="292" t="inlineStr">
        <is>
          <t>BASHAR ABDUL OHAB MOMUTAZ</t>
        </is>
      </c>
      <c r="F628" s="425" t="inlineStr">
        <is>
          <t>SOFT SERVICE</t>
        </is>
      </c>
      <c r="G628" s="460" t="inlineStr">
        <is>
          <t>R02361</t>
        </is>
      </c>
      <c r="H628" s="292" t="inlineStr">
        <is>
          <t>2475960510</t>
        </is>
      </c>
      <c r="I628" s="425" t="inlineStr">
        <is>
          <t>Additional</t>
        </is>
      </c>
      <c r="J628" s="496" t="n">
        <v>46139</v>
      </c>
      <c r="K628" s="14" t="inlineStr">
        <is>
          <t>MEHAN (RENTAL)</t>
        </is>
      </c>
      <c r="L628" s="20" t="n"/>
      <c r="N628" s="1" t="n"/>
      <c r="O628" s="1" t="n"/>
      <c r="P628" s="1" t="n"/>
      <c r="Q628" s="1" t="n"/>
      <c r="R628" s="1" t="n"/>
      <c r="S628" s="1" t="n"/>
      <c r="T628" s="1" t="n"/>
      <c r="U628" s="1" t="n"/>
      <c r="V628" s="1" t="n"/>
      <c r="W628" s="1" t="n"/>
      <c r="X628" s="1" t="n"/>
      <c r="Y628" s="1" t="n"/>
      <c r="Z628" s="1" t="n"/>
      <c r="AA628" s="1" t="n"/>
      <c r="AB628" s="1" t="n"/>
      <c r="AC628" s="1" t="n"/>
      <c r="AD628" s="1" t="n"/>
      <c r="AE628" s="1" t="n"/>
      <c r="AF628" s="1" t="n"/>
      <c r="AG628" s="1" t="n"/>
      <c r="AH628" s="1" t="n"/>
      <c r="AI628" s="1" t="n"/>
      <c r="AJ628" s="1" t="n"/>
    </row>
    <row r="629" ht="15" customHeight="1">
      <c r="A629" s="431" t="n"/>
      <c r="B629" s="431" t="n"/>
      <c r="C629" s="431" t="n"/>
      <c r="D629" s="431" t="n"/>
      <c r="E629" s="295" t="inlineStr">
        <is>
          <t>SAINIYA KAPAR KEWAT</t>
        </is>
      </c>
      <c r="F629" s="340" t="inlineStr">
        <is>
          <t>Soft Service</t>
        </is>
      </c>
      <c r="G629" s="297" t="n"/>
      <c r="H629" s="295" t="inlineStr">
        <is>
          <t>PA3242016</t>
        </is>
      </c>
      <c r="I629" s="340" t="inlineStr">
        <is>
          <t>Additional</t>
        </is>
      </c>
      <c r="J629" s="512" t="n">
        <v>46267</v>
      </c>
      <c r="K629" s="298" t="n"/>
      <c r="L629" s="20" t="n"/>
      <c r="N629" s="1" t="n"/>
      <c r="O629" s="1" t="n"/>
      <c r="P629" s="1" t="n"/>
      <c r="Q629" s="1" t="n"/>
      <c r="R629" s="1" t="n"/>
      <c r="S629" s="1" t="n"/>
      <c r="T629" s="1" t="n"/>
      <c r="U629" s="1" t="n"/>
      <c r="V629" s="1" t="n"/>
      <c r="W629" s="1" t="n"/>
      <c r="X629" s="1" t="n"/>
      <c r="Y629" s="1" t="n"/>
      <c r="Z629" s="1" t="n"/>
      <c r="AA629" s="1" t="n"/>
      <c r="AB629" s="1" t="n"/>
      <c r="AC629" s="1" t="n"/>
      <c r="AD629" s="1" t="n"/>
      <c r="AE629" s="1" t="n"/>
      <c r="AF629" s="1" t="n"/>
      <c r="AG629" s="1" t="n"/>
      <c r="AH629" s="1" t="n"/>
      <c r="AI629" s="1" t="n"/>
      <c r="AJ629" s="1" t="n"/>
    </row>
    <row r="630" ht="15" customHeight="1">
      <c r="A630" s="465" t="inlineStr">
        <is>
          <t>FEMALE CLEANER</t>
        </is>
      </c>
      <c r="B630" s="437" t="n">
        <v>0</v>
      </c>
      <c r="C630" s="437" t="n">
        <v>1</v>
      </c>
      <c r="D630" s="437" t="n">
        <v>0</v>
      </c>
      <c r="E630" s="296" t="inlineStr">
        <is>
          <t>SUMA AKTER SHAKILA</t>
        </is>
      </c>
      <c r="F630" s="425" t="inlineStr">
        <is>
          <t>Soft Service</t>
        </is>
      </c>
      <c r="G630" s="460" t="n"/>
      <c r="H630" s="296" t="inlineStr">
        <is>
          <t>A21614378</t>
        </is>
      </c>
      <c r="I630" s="425" t="inlineStr">
        <is>
          <t>Additional</t>
        </is>
      </c>
      <c r="J630" s="496" t="n">
        <v>46263</v>
      </c>
      <c r="K630" s="14" t="n"/>
      <c r="L630" s="20" t="n"/>
      <c r="N630" s="1" t="n"/>
      <c r="O630" s="1" t="n"/>
      <c r="P630" s="1" t="n"/>
      <c r="Q630" s="1" t="n"/>
      <c r="R630" s="1" t="n"/>
      <c r="S630" s="1" t="n"/>
      <c r="T630" s="1" t="n"/>
      <c r="U630" s="1" t="n"/>
      <c r="V630" s="1" t="n"/>
      <c r="W630" s="1" t="n"/>
      <c r="X630" s="1" t="n"/>
      <c r="Y630" s="1" t="n"/>
      <c r="Z630" s="1" t="n"/>
      <c r="AA630" s="1" t="n"/>
      <c r="AB630" s="1" t="n"/>
      <c r="AC630" s="1" t="n"/>
      <c r="AD630" s="1" t="n"/>
      <c r="AE630" s="1" t="n"/>
      <c r="AF630" s="1" t="n"/>
      <c r="AG630" s="1" t="n"/>
      <c r="AH630" s="1" t="n"/>
      <c r="AI630" s="1" t="n"/>
      <c r="AJ630" s="1" t="n"/>
    </row>
    <row r="631" ht="15" customHeight="1">
      <c r="A631" s="431" t="n"/>
      <c r="B631" s="431" t="n"/>
      <c r="C631" s="431" t="n"/>
      <c r="D631" s="431" t="n"/>
      <c r="E631" s="296" t="inlineStr">
        <is>
          <t>RUPALI AKHTER</t>
        </is>
      </c>
      <c r="F631" s="425" t="inlineStr">
        <is>
          <t>SOFT SERVICE</t>
        </is>
      </c>
      <c r="G631" s="460" t="inlineStr">
        <is>
          <t>EM-0004171</t>
        </is>
      </c>
      <c r="H631" s="296" t="inlineStr">
        <is>
          <t>2643477710</t>
        </is>
      </c>
      <c r="I631" s="425" t="inlineStr">
        <is>
          <t>Additional</t>
        </is>
      </c>
      <c r="J631" s="496" t="n">
        <v>46235</v>
      </c>
      <c r="K631" s="14" t="inlineStr">
        <is>
          <t>AL-FALAK VISA</t>
        </is>
      </c>
      <c r="L631" s="20" t="n"/>
      <c r="N631" s="1" t="n"/>
      <c r="O631" s="1" t="n"/>
      <c r="P631" s="1" t="n"/>
      <c r="Q631" s="1" t="n"/>
      <c r="R631" s="1" t="n"/>
      <c r="S631" s="1" t="n"/>
      <c r="T631" s="1" t="n"/>
      <c r="U631" s="1" t="n"/>
      <c r="V631" s="1" t="n"/>
      <c r="W631" s="1" t="n"/>
      <c r="X631" s="1" t="n"/>
      <c r="Y631" s="1" t="n"/>
      <c r="Z631" s="1" t="n"/>
      <c r="AA631" s="1" t="n"/>
      <c r="AB631" s="1" t="n"/>
      <c r="AC631" s="1" t="n"/>
      <c r="AD631" s="1" t="n"/>
      <c r="AE631" s="1" t="n"/>
      <c r="AF631" s="1" t="n"/>
      <c r="AG631" s="1" t="n"/>
      <c r="AH631" s="1" t="n"/>
      <c r="AI631" s="1" t="n"/>
      <c r="AJ631" s="1" t="n"/>
    </row>
    <row r="632" ht="15" customHeight="1">
      <c r="A632" s="465" t="inlineStr">
        <is>
          <t>SAFETY OFFICER</t>
        </is>
      </c>
      <c r="B632" s="437" t="n">
        <v>0</v>
      </c>
      <c r="C632" s="437" t="n">
        <v>1</v>
      </c>
      <c r="D632" s="437" t="n">
        <v>0</v>
      </c>
      <c r="E632" s="296" t="inlineStr">
        <is>
          <t>KASHIF ALI SYED</t>
        </is>
      </c>
      <c r="F632" s="425" t="inlineStr">
        <is>
          <t>HSE</t>
        </is>
      </c>
      <c r="G632" s="460" t="n"/>
      <c r="H632" s="296" t="inlineStr">
        <is>
          <t>AT406808</t>
        </is>
      </c>
      <c r="I632" s="425" t="inlineStr">
        <is>
          <t>Additional</t>
        </is>
      </c>
      <c r="J632" s="496" t="n">
        <v>46267</v>
      </c>
      <c r="K632" s="14" t="n"/>
      <c r="L632" s="20" t="n"/>
      <c r="N632" s="1" t="n"/>
      <c r="O632" s="1" t="n"/>
      <c r="P632" s="1" t="n"/>
      <c r="Q632" s="1" t="n"/>
      <c r="R632" s="1" t="n"/>
      <c r="S632" s="1" t="n"/>
      <c r="T632" s="1" t="n"/>
      <c r="U632" s="1" t="n"/>
      <c r="V632" s="1" t="n"/>
      <c r="W632" s="1" t="n"/>
      <c r="X632" s="1" t="n"/>
      <c r="Y632" s="1" t="n"/>
      <c r="Z632" s="1" t="n"/>
      <c r="AA632" s="1" t="n"/>
      <c r="AB632" s="1" t="n"/>
      <c r="AC632" s="1" t="n"/>
      <c r="AD632" s="1" t="n"/>
      <c r="AE632" s="1" t="n"/>
      <c r="AF632" s="1" t="n"/>
      <c r="AG632" s="1" t="n"/>
      <c r="AH632" s="1" t="n"/>
      <c r="AI632" s="1" t="n"/>
      <c r="AJ632" s="1" t="n"/>
    </row>
    <row r="633" ht="15" customHeight="1">
      <c r="A633" s="424" t="inlineStr">
        <is>
          <t>Supervisor HVAC</t>
        </is>
      </c>
      <c r="B633" s="425" t="n">
        <v>0</v>
      </c>
      <c r="C633" s="425" t="n">
        <v>2</v>
      </c>
      <c r="D633" s="425" t="n">
        <v>0</v>
      </c>
      <c r="E633" s="296" t="inlineStr">
        <is>
          <t>SARFARAZ AHMAD</t>
        </is>
      </c>
      <c r="F633" s="425" t="inlineStr">
        <is>
          <t>HARD SERVICE</t>
        </is>
      </c>
      <c r="G633" s="460" t="inlineStr">
        <is>
          <t>EM-0004152</t>
        </is>
      </c>
      <c r="H633" s="296" t="inlineStr">
        <is>
          <t>2643067073</t>
        </is>
      </c>
      <c r="I633" s="425" t="inlineStr">
        <is>
          <t>Additional</t>
        </is>
      </c>
      <c r="J633" s="496" t="n">
        <v>46247</v>
      </c>
      <c r="K633" s="14" t="inlineStr">
        <is>
          <t>AL-FALAK VISA</t>
        </is>
      </c>
      <c r="L633" s="20" t="n"/>
      <c r="N633" s="1" t="n"/>
      <c r="O633" s="1" t="n"/>
      <c r="P633" s="1" t="n"/>
      <c r="Q633" s="1" t="n"/>
      <c r="R633" s="1" t="n"/>
      <c r="S633" s="1" t="n"/>
      <c r="T633" s="1" t="n"/>
      <c r="U633" s="1" t="n"/>
      <c r="V633" s="1" t="n"/>
      <c r="W633" s="1" t="n"/>
      <c r="X633" s="1" t="n"/>
      <c r="Y633" s="1" t="n"/>
      <c r="Z633" s="1" t="n"/>
      <c r="AA633" s="1" t="n"/>
      <c r="AB633" s="1" t="n"/>
      <c r="AC633" s="1" t="n"/>
      <c r="AD633" s="1" t="n"/>
      <c r="AE633" s="1" t="n"/>
      <c r="AF633" s="1" t="n"/>
      <c r="AG633" s="1" t="n"/>
      <c r="AH633" s="1" t="n"/>
      <c r="AI633" s="1" t="n"/>
      <c r="AJ633" s="1" t="n"/>
    </row>
    <row r="634" ht="15" customHeight="1">
      <c r="A634" s="434" t="n"/>
      <c r="B634" s="434" t="n"/>
      <c r="C634" s="434" t="n"/>
      <c r="D634" s="434" t="n"/>
      <c r="E634" s="296" t="inlineStr">
        <is>
          <t>Mahipal Bin</t>
        </is>
      </c>
      <c r="F634" s="425" t="inlineStr">
        <is>
          <t>Hard Service</t>
        </is>
      </c>
      <c r="G634" s="460" t="inlineStr">
        <is>
          <t>EM-0002692</t>
        </is>
      </c>
      <c r="H634" s="296" t="n">
        <v>2586438406</v>
      </c>
      <c r="I634" s="425" t="inlineStr">
        <is>
          <t>Additional</t>
        </is>
      </c>
      <c r="J634" s="496" t="n">
        <v>45599</v>
      </c>
      <c r="K634" s="14" t="inlineStr">
        <is>
          <t>AL-FALAK VISA</t>
        </is>
      </c>
      <c r="L634" s="20" t="n"/>
      <c r="N634" s="1" t="n"/>
      <c r="O634" s="1" t="n"/>
      <c r="P634" s="1" t="n"/>
      <c r="Q634" s="1" t="n"/>
      <c r="R634" s="1" t="n"/>
      <c r="S634" s="1" t="n"/>
      <c r="T634" s="1" t="n"/>
      <c r="U634" s="1" t="n"/>
      <c r="V634" s="1" t="n"/>
      <c r="W634" s="1" t="n"/>
      <c r="X634" s="1" t="n"/>
      <c r="Y634" s="1" t="n"/>
      <c r="Z634" s="1" t="n"/>
      <c r="AA634" s="1" t="n"/>
      <c r="AB634" s="1" t="n"/>
      <c r="AC634" s="1" t="n"/>
      <c r="AD634" s="1" t="n"/>
      <c r="AE634" s="1" t="n"/>
      <c r="AF634" s="1" t="n"/>
      <c r="AG634" s="1" t="n"/>
      <c r="AH634" s="1" t="n"/>
      <c r="AI634" s="1" t="n"/>
      <c r="AJ634" s="1" t="n"/>
    </row>
    <row r="635" ht="15" customHeight="1">
      <c r="A635" s="416" t="inlineStr">
        <is>
          <t>Utility Supervisor</t>
        </is>
      </c>
      <c r="B635" s="425" t="n">
        <v>0</v>
      </c>
      <c r="C635" s="425" t="n">
        <v>1</v>
      </c>
      <c r="D635" s="425" t="n">
        <v>0</v>
      </c>
      <c r="E635" s="296" t="inlineStr">
        <is>
          <t>TALHA ABDUL AZEEM</t>
        </is>
      </c>
      <c r="F635" s="425" t="inlineStr">
        <is>
          <t>HARD SERVICE</t>
        </is>
      </c>
      <c r="G635" s="460" t="n">
        <v>704486</v>
      </c>
      <c r="H635" s="296" t="inlineStr">
        <is>
          <t>2587514684</t>
        </is>
      </c>
      <c r="I635" s="425" t="inlineStr">
        <is>
          <t>Additional</t>
        </is>
      </c>
      <c r="J635" s="496" t="n">
        <v>46244</v>
      </c>
      <c r="K635" s="14" t="inlineStr">
        <is>
          <t>FMCO</t>
        </is>
      </c>
      <c r="L635" s="20" t="inlineStr">
        <is>
          <t>-</t>
        </is>
      </c>
      <c r="N635" s="1" t="n"/>
      <c r="O635" s="1" t="n"/>
      <c r="P635" s="1" t="n"/>
      <c r="Q635" s="1" t="n"/>
      <c r="R635" s="1" t="n"/>
      <c r="S635" s="1" t="n"/>
      <c r="T635" s="1" t="n"/>
      <c r="U635" s="1" t="n"/>
      <c r="V635" s="1" t="n"/>
      <c r="W635" s="1" t="n"/>
      <c r="X635" s="1" t="n"/>
      <c r="Y635" s="1" t="n"/>
      <c r="Z635" s="1" t="n"/>
      <c r="AA635" s="1" t="n"/>
      <c r="AB635" s="1" t="n"/>
      <c r="AC635" s="1" t="n"/>
      <c r="AD635" s="1" t="n"/>
      <c r="AE635" s="1" t="n"/>
      <c r="AF635" s="1" t="n"/>
      <c r="AG635" s="1" t="n"/>
      <c r="AH635" s="1" t="n"/>
      <c r="AI635" s="1" t="n"/>
      <c r="AJ635" s="1" t="n"/>
    </row>
    <row r="636" ht="26.25" customHeight="1">
      <c r="A636" s="35" t="inlineStr">
        <is>
          <t>STORE KEEPER</t>
        </is>
      </c>
      <c r="B636" s="36" t="n">
        <v>0</v>
      </c>
      <c r="C636" s="36" t="inlineStr">
        <is>
          <t>Approved</t>
        </is>
      </c>
      <c r="D636" s="36" t="inlineStr">
        <is>
          <t>Vacant Position</t>
        </is>
      </c>
      <c r="E636" s="37" t="inlineStr">
        <is>
          <t>NAHID HOSSAIN</t>
        </is>
      </c>
      <c r="F636" s="38" t="inlineStr">
        <is>
          <t>WAREHOUSE</t>
        </is>
      </c>
      <c r="G636" s="38" t="n">
        <v>700791</v>
      </c>
      <c r="H636" s="38" t="inlineStr">
        <is>
          <t>2504613239</t>
        </is>
      </c>
      <c r="I636" s="58" t="inlineStr">
        <is>
          <t>Additional</t>
        </is>
      </c>
      <c r="J636" s="500" t="n">
        <v>45965</v>
      </c>
      <c r="K636" s="40" t="inlineStr">
        <is>
          <t>FMCO</t>
        </is>
      </c>
      <c r="L636" s="41" t="inlineStr">
        <is>
          <t>Remark/Notes</t>
        </is>
      </c>
      <c r="N636" s="1" t="n"/>
      <c r="O636" s="1" t="n"/>
      <c r="P636" s="1" t="n"/>
      <c r="Q636" s="1" t="n"/>
      <c r="R636" s="1" t="n"/>
      <c r="S636" s="1" t="n"/>
      <c r="T636" s="1" t="n"/>
      <c r="U636" s="1" t="n"/>
      <c r="V636" s="1" t="n"/>
      <c r="W636" s="1" t="n"/>
      <c r="X636" s="1" t="n"/>
      <c r="Y636" s="1" t="n"/>
      <c r="Z636" s="1" t="n"/>
      <c r="AA636" s="1" t="n"/>
      <c r="AB636" s="1" t="n"/>
      <c r="AC636" s="1" t="n"/>
      <c r="AD636" s="1" t="n"/>
      <c r="AE636" s="1" t="n"/>
      <c r="AF636" s="1" t="n"/>
      <c r="AG636" s="1" t="n"/>
      <c r="AH636" s="1" t="n"/>
      <c r="AI636" s="1" t="n"/>
      <c r="AJ636" s="1" t="n"/>
    </row>
    <row r="637" ht="15" customHeight="1">
      <c r="A637" s="93" t="inlineStr">
        <is>
          <t>FACILITY SEPCIALIST</t>
        </is>
      </c>
      <c r="B637" s="93" t="n">
        <v>0</v>
      </c>
      <c r="C637" s="93">
        <f>COUNTIF(I4:I1048576,"Approved")</f>
        <v/>
      </c>
      <c r="D637" s="93">
        <f>COUNTIF(I4:I1048576,"Vacant")</f>
        <v/>
      </c>
      <c r="E637" s="94" t="inlineStr">
        <is>
          <t>SULTAN ABDULALI  AL MAZRUI</t>
        </is>
      </c>
      <c r="F637" s="95" t="inlineStr">
        <is>
          <t>SITE MANAGEMENT</t>
        </is>
      </c>
      <c r="G637" s="95" t="n">
        <v>704131</v>
      </c>
      <c r="H637" s="95" t="inlineStr">
        <is>
          <t>1113400368</t>
        </is>
      </c>
      <c r="I637" s="96" t="inlineStr">
        <is>
          <t>Additional</t>
        </is>
      </c>
      <c r="J637" s="509" t="n">
        <v>46082</v>
      </c>
      <c r="K637" s="97" t="inlineStr">
        <is>
          <t>FMCO</t>
        </is>
      </c>
      <c r="L637" s="96" t="n"/>
      <c r="N637" s="1" t="n"/>
      <c r="O637" s="1" t="n"/>
      <c r="P637" s="1" t="n"/>
      <c r="Q637" s="1" t="n"/>
      <c r="R637" s="1" t="n"/>
      <c r="S637" s="1" t="n"/>
      <c r="T637" s="1" t="n"/>
      <c r="U637" s="1" t="n"/>
      <c r="V637" s="1" t="n"/>
      <c r="W637" s="1" t="n"/>
      <c r="X637" s="1" t="n"/>
      <c r="Y637" s="1" t="n"/>
      <c r="Z637" s="1" t="n"/>
      <c r="AA637" s="1" t="n"/>
      <c r="AB637" s="1" t="n"/>
      <c r="AC637" s="1" t="n"/>
      <c r="AD637" s="1" t="n"/>
      <c r="AE637" s="1" t="n"/>
      <c r="AF637" s="1" t="n"/>
      <c r="AG637" s="1" t="n"/>
      <c r="AH637" s="1" t="n"/>
      <c r="AI637" s="1" t="n"/>
      <c r="AJ637" s="1" t="n"/>
    </row>
    <row r="638" ht="12.75" customHeight="1">
      <c r="H638" s="7" t="n"/>
      <c r="I638" s="7" t="n"/>
      <c r="J638" s="7" t="n"/>
      <c r="K638" s="7" t="n"/>
      <c r="L638" s="7" t="n"/>
      <c r="M638" s="7" t="n"/>
    </row>
    <row r="639" ht="12.75" customHeight="1">
      <c r="H639" s="7" t="n"/>
      <c r="I639" s="7" t="n"/>
      <c r="J639" s="7" t="n"/>
      <c r="K639" s="7" t="n"/>
      <c r="L639" s="7" t="n"/>
      <c r="M639" s="7" t="n"/>
    </row>
    <row r="640" ht="12.75" customHeight="1">
      <c r="H640" s="7" t="n"/>
      <c r="I640" s="7" t="n"/>
      <c r="J640" s="7" t="n"/>
      <c r="K640" s="7" t="n"/>
      <c r="L640" s="7" t="n"/>
      <c r="M640" s="7" t="n"/>
    </row>
    <row r="641" ht="12.75" customHeight="1">
      <c r="H641" s="7" t="n"/>
      <c r="I641" s="7" t="n"/>
      <c r="J641" s="7" t="n"/>
      <c r="K641" s="7" t="n"/>
      <c r="L641" s="7" t="n"/>
      <c r="M641" s="7" t="n"/>
    </row>
    <row r="642" ht="12.75" customHeight="1">
      <c r="H642" s="7" t="n"/>
      <c r="I642" s="7" t="n"/>
      <c r="J642" s="7" t="n"/>
      <c r="K642" s="7" t="n"/>
      <c r="L642" s="7" t="n"/>
      <c r="M642" s="7" t="n"/>
    </row>
    <row r="643" ht="12.75" customHeight="1">
      <c r="H643" s="7" t="n"/>
      <c r="I643" s="7" t="n"/>
      <c r="J643" s="7" t="n"/>
      <c r="K643" s="7" t="n"/>
      <c r="L643" s="7" t="n"/>
      <c r="M643" s="7" t="n"/>
    </row>
    <row r="644" ht="12.75" customHeight="1">
      <c r="H644" s="7" t="n"/>
      <c r="I644" s="7" t="n"/>
      <c r="J644" s="7" t="n"/>
      <c r="K644" s="7" t="n"/>
      <c r="L644" s="7" t="n"/>
      <c r="M644" s="7" t="n"/>
    </row>
    <row r="645" ht="12.75" customHeight="1">
      <c r="H645" s="7" t="n"/>
      <c r="I645" s="7" t="n"/>
      <c r="J645" s="7" t="n"/>
      <c r="K645" s="7" t="n"/>
      <c r="L645" s="7" t="n"/>
      <c r="M645" s="7" t="n"/>
    </row>
    <row r="646" ht="12.75" customHeight="1">
      <c r="H646" s="7" t="n"/>
      <c r="I646" s="7" t="n"/>
      <c r="J646" s="7" t="n"/>
      <c r="K646" s="7" t="n"/>
      <c r="L646" s="7" t="n"/>
      <c r="M646" s="7" t="n"/>
    </row>
    <row r="647" ht="12.75" customHeight="1">
      <c r="H647" s="7" t="n"/>
      <c r="I647" s="7" t="n"/>
      <c r="J647" s="7" t="n"/>
      <c r="K647" s="7" t="n"/>
      <c r="L647" s="7" t="n"/>
      <c r="M647" s="7" t="n"/>
    </row>
    <row r="648" ht="12.75" customHeight="1">
      <c r="H648" s="7" t="n"/>
      <c r="I648" s="7" t="n"/>
      <c r="J648" s="7" t="n"/>
      <c r="K648" s="7" t="n"/>
      <c r="L648" s="7" t="n"/>
      <c r="M648" s="7" t="n"/>
    </row>
    <row r="649" ht="12.75" customHeight="1">
      <c r="H649" s="7" t="n"/>
      <c r="I649" s="7" t="n"/>
      <c r="J649" s="7" t="n"/>
      <c r="K649" s="7" t="n"/>
      <c r="L649" s="7" t="n"/>
      <c r="M649" s="7" t="n"/>
    </row>
    <row r="650" ht="12.75" customHeight="1">
      <c r="H650" s="7" t="n"/>
      <c r="I650" s="7" t="n"/>
      <c r="J650" s="7" t="n"/>
      <c r="K650" s="7" t="n"/>
      <c r="L650" s="7" t="n"/>
      <c r="M650" s="7" t="n"/>
    </row>
    <row r="651" ht="12.75" customHeight="1">
      <c r="H651" s="7" t="n"/>
      <c r="I651" s="7" t="n"/>
      <c r="J651" s="7" t="n"/>
      <c r="K651" s="7" t="n"/>
      <c r="L651" s="7" t="n"/>
      <c r="M651" s="7" t="n"/>
    </row>
    <row r="652" ht="12.75" customHeight="1">
      <c r="H652" s="7" t="n"/>
      <c r="I652" s="7" t="n"/>
      <c r="J652" s="7" t="n"/>
      <c r="K652" s="7" t="n"/>
      <c r="L652" s="7" t="n"/>
      <c r="M652" s="7" t="n"/>
    </row>
    <row r="653" ht="12.75" customHeight="1">
      <c r="H653" s="7" t="n"/>
      <c r="I653" s="7" t="n"/>
      <c r="J653" s="7" t="n"/>
      <c r="K653" s="7" t="n"/>
      <c r="L653" s="7" t="n"/>
      <c r="M653" s="7" t="n"/>
    </row>
    <row r="654" ht="12.75" customHeight="1">
      <c r="H654" s="7" t="n"/>
      <c r="I654" s="7" t="n"/>
      <c r="J654" s="7" t="n"/>
      <c r="K654" s="7" t="n"/>
      <c r="L654" s="7" t="n"/>
      <c r="M654" s="7" t="n"/>
    </row>
    <row r="655" ht="12.75" customHeight="1">
      <c r="H655" s="7" t="n"/>
      <c r="I655" s="7" t="n"/>
      <c r="J655" s="7" t="n"/>
      <c r="K655" s="7" t="n"/>
      <c r="L655" s="7" t="n"/>
      <c r="M655" s="7" t="n"/>
    </row>
    <row r="656" ht="12.75" customHeight="1">
      <c r="H656" s="7" t="n"/>
      <c r="I656" s="7" t="n"/>
      <c r="J656" s="7" t="n"/>
      <c r="K656" s="7" t="n"/>
      <c r="L656" s="7" t="n"/>
      <c r="M656" s="7" t="n"/>
    </row>
    <row r="657" ht="12.75" customHeight="1">
      <c r="H657" s="7" t="n"/>
      <c r="I657" s="7" t="n"/>
      <c r="J657" s="7" t="n"/>
      <c r="K657" s="7" t="n"/>
      <c r="L657" s="7" t="n"/>
      <c r="M657" s="7" t="n"/>
    </row>
    <row r="658" ht="12.75" customHeight="1">
      <c r="H658" s="7" t="n"/>
      <c r="I658" s="7" t="n"/>
      <c r="J658" s="7" t="n"/>
      <c r="K658" s="7" t="n"/>
      <c r="L658" s="7" t="n"/>
      <c r="M658" s="7" t="n"/>
    </row>
    <row r="659" ht="12.75" customHeight="1">
      <c r="H659" s="7" t="n"/>
      <c r="I659" s="7" t="n"/>
      <c r="J659" s="7" t="n"/>
      <c r="K659" s="7" t="n"/>
      <c r="L659" s="7" t="n"/>
      <c r="M659" s="7" t="n"/>
    </row>
    <row r="660" ht="12.75" customHeight="1">
      <c r="H660" s="7" t="n"/>
      <c r="I660" s="7" t="n"/>
      <c r="J660" s="7" t="n"/>
      <c r="K660" s="7" t="n"/>
      <c r="L660" s="7" t="n"/>
      <c r="M660" s="7" t="n"/>
    </row>
    <row r="661" ht="12.75" customHeight="1">
      <c r="H661" s="7" t="n"/>
      <c r="I661" s="7" t="n"/>
      <c r="J661" s="7" t="n"/>
      <c r="K661" s="7" t="n"/>
      <c r="L661" s="7" t="n"/>
      <c r="M661" s="7" t="n"/>
    </row>
    <row r="662" ht="12.75" customHeight="1">
      <c r="H662" s="7" t="n"/>
      <c r="I662" s="7" t="n"/>
      <c r="J662" s="7" t="n"/>
      <c r="K662" s="7" t="n"/>
      <c r="L662" s="7" t="n"/>
      <c r="M662" s="7" t="n"/>
    </row>
    <row r="663" ht="12.75" customHeight="1">
      <c r="H663" s="7" t="n"/>
      <c r="I663" s="7" t="n"/>
      <c r="J663" s="7" t="n"/>
      <c r="K663" s="7" t="n"/>
      <c r="L663" s="7" t="n"/>
      <c r="M663" s="7" t="n"/>
    </row>
    <row r="664" ht="12.75" customHeight="1">
      <c r="H664" s="7" t="n"/>
      <c r="I664" s="7" t="n"/>
      <c r="J664" s="7" t="n"/>
      <c r="K664" s="7" t="n"/>
      <c r="L664" s="7" t="n"/>
      <c r="M664" s="7" t="n"/>
    </row>
    <row r="665" ht="12.75" customHeight="1">
      <c r="H665" s="7" t="n"/>
      <c r="I665" s="7" t="n"/>
      <c r="J665" s="7" t="n"/>
      <c r="K665" s="7" t="n"/>
      <c r="L665" s="7" t="n"/>
      <c r="M665" s="7" t="n"/>
    </row>
    <row r="666" ht="12.75" customHeight="1">
      <c r="H666" s="7" t="n"/>
      <c r="I666" s="7" t="n"/>
      <c r="J666" s="7" t="n"/>
      <c r="K666" s="7" t="n"/>
      <c r="L666" s="7" t="n"/>
      <c r="M666" s="7" t="n"/>
    </row>
    <row r="667" ht="12.75" customHeight="1">
      <c r="H667" s="7" t="n"/>
      <c r="I667" s="7" t="n"/>
      <c r="J667" s="7" t="n"/>
      <c r="K667" s="7" t="n"/>
      <c r="L667" s="7" t="n"/>
      <c r="M667" s="7" t="n"/>
    </row>
    <row r="668" ht="12.75" customHeight="1">
      <c r="H668" s="7" t="n"/>
      <c r="I668" s="7" t="n"/>
      <c r="J668" s="7" t="n"/>
      <c r="K668" s="7" t="n"/>
      <c r="L668" s="7" t="n"/>
      <c r="M668" s="7" t="n"/>
    </row>
    <row r="669" ht="12.75" customHeight="1">
      <c r="H669" s="7" t="n"/>
      <c r="I669" s="7" t="n"/>
      <c r="J669" s="7" t="n"/>
      <c r="K669" s="7" t="n"/>
      <c r="L669" s="7" t="n"/>
      <c r="M669" s="7" t="n"/>
    </row>
    <row r="670" ht="12.75" customHeight="1">
      <c r="H670" s="7" t="n"/>
      <c r="I670" s="7" t="n"/>
      <c r="J670" s="7" t="n"/>
      <c r="K670" s="7" t="n"/>
      <c r="L670" s="7" t="n"/>
      <c r="M670" s="7" t="n"/>
    </row>
    <row r="671" ht="12.75" customHeight="1">
      <c r="H671" s="7" t="n"/>
      <c r="I671" s="7" t="n"/>
      <c r="J671" s="7" t="n"/>
      <c r="K671" s="7" t="n"/>
      <c r="L671" s="7" t="n"/>
      <c r="M671" s="7" t="n"/>
    </row>
    <row r="672" ht="12.75" customHeight="1">
      <c r="H672" s="7" t="n"/>
      <c r="I672" s="7" t="n"/>
      <c r="J672" s="7" t="n"/>
      <c r="K672" s="7" t="n"/>
      <c r="L672" s="7" t="n"/>
      <c r="M672" s="7" t="n"/>
    </row>
    <row r="673" ht="12.75" customHeight="1">
      <c r="H673" s="7" t="n"/>
      <c r="I673" s="7" t="n"/>
      <c r="J673" s="7" t="n"/>
      <c r="K673" s="7" t="n"/>
      <c r="L673" s="7" t="n"/>
      <c r="M673" s="7" t="n"/>
    </row>
    <row r="674" ht="12.75" customHeight="1">
      <c r="H674" s="7" t="n"/>
      <c r="I674" s="7" t="n"/>
      <c r="J674" s="7" t="n"/>
      <c r="K674" s="7" t="n"/>
      <c r="L674" s="7" t="n"/>
      <c r="M674" s="7" t="n"/>
    </row>
    <row r="675" ht="12.75" customHeight="1">
      <c r="H675" s="7" t="n"/>
      <c r="I675" s="7" t="n"/>
      <c r="J675" s="7" t="n"/>
      <c r="K675" s="7" t="n"/>
      <c r="L675" s="7" t="n"/>
      <c r="M675" s="7" t="n"/>
    </row>
    <row r="676" ht="12.75" customHeight="1">
      <c r="H676" s="7" t="n"/>
      <c r="I676" s="7" t="n"/>
      <c r="J676" s="7" t="n"/>
      <c r="K676" s="7" t="n"/>
      <c r="L676" s="7" t="n"/>
      <c r="M676" s="7" t="n"/>
    </row>
    <row r="677" ht="12.75" customHeight="1">
      <c r="I677" s="7" t="n"/>
      <c r="J677" s="7" t="n"/>
      <c r="K677" s="7" t="n"/>
      <c r="L677" s="7" t="n"/>
      <c r="M677" s="7" t="n"/>
    </row>
    <row r="678" ht="12.75" customHeight="1">
      <c r="I678" s="7" t="n"/>
      <c r="J678" s="7" t="n"/>
      <c r="K678" s="7" t="n"/>
      <c r="L678" s="7" t="n"/>
      <c r="M678" s="7" t="n"/>
    </row>
    <row r="679" ht="12.75" customHeight="1">
      <c r="I679" s="7" t="n"/>
      <c r="J679" s="7" t="n"/>
      <c r="K679" s="7" t="n"/>
      <c r="L679" s="7" t="n"/>
      <c r="M679" s="7" t="n"/>
    </row>
    <row r="680" ht="12.75" customHeight="1">
      <c r="I680" s="7" t="n"/>
      <c r="J680" s="7" t="n"/>
      <c r="K680" s="7" t="n"/>
      <c r="L680" s="7" t="n"/>
      <c r="M680" s="7" t="n"/>
    </row>
    <row r="681" ht="12.75" customHeight="1">
      <c r="I681" s="7" t="n"/>
      <c r="J681" s="7" t="n"/>
      <c r="K681" s="7" t="n"/>
      <c r="L681" s="7" t="n"/>
      <c r="M681" s="7" t="n"/>
    </row>
    <row r="682" ht="12.75" customHeight="1">
      <c r="I682" s="7" t="n"/>
      <c r="J682" s="7" t="n"/>
      <c r="K682" s="7" t="n"/>
      <c r="L682" s="7" t="n"/>
      <c r="M682" s="7" t="n"/>
    </row>
    <row r="683" ht="12.75" customHeight="1">
      <c r="I683" s="7" t="n"/>
      <c r="J683" s="7" t="n"/>
      <c r="K683" s="7" t="n"/>
      <c r="L683" s="7" t="n"/>
      <c r="M683" s="7" t="n"/>
    </row>
    <row r="684" ht="12.75" customHeight="1">
      <c r="I684" s="7" t="n"/>
      <c r="J684" s="7" t="n"/>
      <c r="K684" s="7" t="n"/>
      <c r="L684" s="7" t="n"/>
      <c r="M684" s="7" t="n"/>
    </row>
    <row r="685" ht="12.75" customHeight="1">
      <c r="I685" s="7" t="n"/>
      <c r="J685" s="7" t="n"/>
      <c r="K685" s="7" t="n"/>
      <c r="L685" s="7" t="n"/>
      <c r="M685" s="7" t="n"/>
    </row>
    <row r="686" ht="12.75" customHeight="1">
      <c r="I686" s="7" t="n"/>
      <c r="J686" s="7" t="n"/>
      <c r="K686" s="7" t="n"/>
      <c r="L686" s="7" t="n"/>
      <c r="M686" s="7" t="n"/>
    </row>
    <row r="687" ht="12.75" customHeight="1">
      <c r="I687" s="7" t="n"/>
      <c r="J687" s="7" t="n"/>
      <c r="K687" s="7" t="n"/>
      <c r="L687" s="7" t="n"/>
      <c r="M687" s="7" t="n"/>
    </row>
    <row r="688" ht="12.75" customHeight="1">
      <c r="I688" s="7" t="n"/>
      <c r="J688" s="7" t="n"/>
      <c r="K688" s="7" t="n"/>
      <c r="L688" s="7" t="n"/>
      <c r="M688" s="7" t="n"/>
    </row>
    <row r="689" ht="12.75" customHeight="1">
      <c r="I689" s="7" t="n"/>
      <c r="J689" s="7" t="n"/>
      <c r="K689" s="7" t="n"/>
      <c r="L689" s="7" t="n"/>
      <c r="M689" s="7" t="n"/>
    </row>
    <row r="690" ht="12.75" customHeight="1">
      <c r="I690" s="7" t="n"/>
      <c r="J690" s="7" t="n"/>
      <c r="K690" s="7" t="n"/>
      <c r="L690" s="7" t="n"/>
      <c r="M690" s="7" t="n"/>
    </row>
    <row r="691" ht="12.75" customHeight="1">
      <c r="I691" s="7" t="n"/>
      <c r="J691" s="7" t="n"/>
      <c r="K691" s="7" t="n"/>
      <c r="L691" s="7" t="n"/>
      <c r="M691" s="7" t="n"/>
    </row>
    <row r="692" ht="12.75" customHeight="1">
      <c r="I692" s="7" t="n"/>
      <c r="J692" s="7" t="n"/>
      <c r="K692" s="7" t="n"/>
      <c r="L692" s="7" t="n"/>
      <c r="M692" s="7" t="n"/>
    </row>
    <row r="693" ht="12.75" customHeight="1">
      <c r="I693" s="7" t="n"/>
      <c r="J693" s="7" t="n"/>
      <c r="K693" s="7" t="n"/>
      <c r="L693" s="7" t="n"/>
      <c r="M693" s="7" t="n"/>
    </row>
    <row r="694" ht="12.75" customHeight="1">
      <c r="I694" s="7" t="n"/>
      <c r="J694" s="7" t="n"/>
      <c r="K694" s="7" t="n"/>
      <c r="L694" s="7" t="n"/>
      <c r="M694" s="7" t="n"/>
    </row>
    <row r="695" ht="12.75" customHeight="1">
      <c r="I695" s="7" t="n"/>
      <c r="J695" s="7" t="n"/>
      <c r="K695" s="7" t="n"/>
      <c r="L695" s="7" t="n"/>
      <c r="M695" s="7" t="n"/>
    </row>
    <row r="696" ht="12.75" customHeight="1">
      <c r="I696" s="7" t="n"/>
      <c r="J696" s="7" t="n"/>
      <c r="K696" s="7" t="n"/>
      <c r="L696" s="7" t="n"/>
      <c r="M696" s="7" t="n"/>
    </row>
    <row r="697" ht="12.75" customHeight="1">
      <c r="I697" s="7" t="n"/>
      <c r="J697" s="7" t="n"/>
      <c r="K697" s="7" t="n"/>
      <c r="L697" s="7" t="n"/>
      <c r="M697" s="7" t="n"/>
    </row>
    <row r="698" ht="12.75" customHeight="1">
      <c r="I698" s="7" t="n"/>
      <c r="J698" s="7" t="n"/>
      <c r="K698" s="7" t="n"/>
      <c r="L698" s="7" t="n"/>
      <c r="M698" s="7" t="n"/>
    </row>
    <row r="699" ht="12.75" customHeight="1">
      <c r="I699" s="7" t="n"/>
      <c r="J699" s="7" t="n"/>
      <c r="K699" s="7" t="n"/>
      <c r="L699" s="7" t="n"/>
      <c r="M699" s="7" t="n"/>
    </row>
    <row r="700" ht="12.75" customHeight="1">
      <c r="I700" s="7" t="n"/>
      <c r="J700" s="7" t="n"/>
      <c r="K700" s="7" t="n"/>
      <c r="L700" s="7" t="n"/>
      <c r="M700" s="7" t="n"/>
    </row>
    <row r="701" ht="12.75" customHeight="1">
      <c r="I701" s="7" t="n"/>
      <c r="J701" s="7" t="n"/>
      <c r="K701" s="7" t="n"/>
      <c r="L701" s="7" t="n"/>
      <c r="M701" s="7" t="n"/>
    </row>
    <row r="702" ht="12.75" customHeight="1">
      <c r="I702" s="7" t="n"/>
      <c r="J702" s="7" t="n"/>
      <c r="K702" s="7" t="n"/>
      <c r="L702" s="7" t="n"/>
      <c r="M702" s="7" t="n"/>
    </row>
    <row r="703" ht="12.75" customHeight="1">
      <c r="I703" s="7" t="n"/>
      <c r="J703" s="7" t="n"/>
      <c r="K703" s="7" t="n"/>
      <c r="L703" s="7" t="n"/>
      <c r="M703" s="7" t="n"/>
    </row>
    <row r="704" ht="12.75" customHeight="1">
      <c r="I704" s="7" t="n"/>
      <c r="J704" s="7" t="n"/>
      <c r="K704" s="7" t="n"/>
      <c r="L704" s="7" t="n"/>
      <c r="M704" s="7" t="n"/>
    </row>
    <row r="705" ht="12.75" customHeight="1">
      <c r="I705" s="7" t="n"/>
      <c r="J705" s="7" t="n"/>
      <c r="K705" s="7" t="n"/>
      <c r="L705" s="7" t="n"/>
      <c r="M705" s="7" t="n"/>
    </row>
    <row r="706" ht="12.75" customHeight="1">
      <c r="I706" s="7" t="n"/>
      <c r="J706" s="7" t="n"/>
      <c r="K706" s="7" t="n"/>
      <c r="L706" s="7" t="n"/>
      <c r="M706" s="7" t="n"/>
    </row>
    <row r="707" ht="12.75" customHeight="1">
      <c r="I707" s="7" t="n"/>
      <c r="J707" s="7" t="n"/>
      <c r="K707" s="7" t="n"/>
      <c r="L707" s="7" t="n"/>
      <c r="M707" s="7" t="n"/>
    </row>
    <row r="708" ht="12.75" customHeight="1">
      <c r="I708" s="7" t="n"/>
      <c r="J708" s="7" t="n"/>
      <c r="K708" s="7" t="n"/>
      <c r="L708" s="7" t="n"/>
      <c r="M708" s="7" t="n"/>
    </row>
    <row r="709" ht="12.75" customHeight="1">
      <c r="I709" s="7" t="n"/>
      <c r="J709" s="7" t="n"/>
      <c r="K709" s="7" t="n"/>
      <c r="L709" s="7" t="n"/>
      <c r="M709" s="7" t="n"/>
    </row>
    <row r="710" ht="12.75" customHeight="1">
      <c r="I710" s="7" t="n"/>
      <c r="J710" s="7" t="n"/>
      <c r="K710" s="7" t="n"/>
      <c r="L710" s="7" t="n"/>
      <c r="M710" s="7" t="n"/>
    </row>
    <row r="711" ht="12.75" customHeight="1">
      <c r="I711" s="7" t="n"/>
      <c r="J711" s="7" t="n"/>
      <c r="K711" s="7" t="n"/>
      <c r="L711" s="7" t="n"/>
      <c r="M711" s="7" t="n"/>
    </row>
    <row r="712" ht="12.75" customHeight="1">
      <c r="I712" s="7" t="n"/>
      <c r="J712" s="7" t="n"/>
      <c r="K712" s="7" t="n"/>
      <c r="L712" s="7" t="n"/>
      <c r="M712" s="7" t="n"/>
    </row>
    <row r="713" ht="12.75" customHeight="1">
      <c r="I713" s="7" t="n"/>
      <c r="J713" s="7" t="n"/>
      <c r="K713" s="7" t="n"/>
      <c r="L713" s="7" t="n"/>
      <c r="M713" s="7" t="n"/>
    </row>
    <row r="714" ht="12.75" customHeight="1">
      <c r="I714" s="7" t="n"/>
      <c r="J714" s="7" t="n"/>
      <c r="K714" s="7" t="n"/>
      <c r="L714" s="7" t="n"/>
      <c r="M714" s="7" t="n"/>
    </row>
    <row r="715" ht="12.75" customHeight="1">
      <c r="I715" s="7" t="n"/>
      <c r="J715" s="7" t="n"/>
      <c r="K715" s="7" t="n"/>
      <c r="L715" s="7" t="n"/>
      <c r="M715" s="7" t="n"/>
    </row>
    <row r="716" ht="12.75" customHeight="1">
      <c r="I716" s="7" t="n"/>
      <c r="J716" s="7" t="n"/>
      <c r="K716" s="7" t="n"/>
      <c r="L716" s="7" t="n"/>
      <c r="M716" s="7" t="n"/>
    </row>
    <row r="717" ht="12.75" customHeight="1">
      <c r="I717" s="7" t="n"/>
      <c r="J717" s="7" t="n"/>
      <c r="K717" s="7" t="n"/>
      <c r="L717" s="7" t="n"/>
      <c r="M717" s="7" t="n"/>
    </row>
    <row r="718" ht="12.75" customHeight="1">
      <c r="I718" s="7" t="n"/>
      <c r="J718" s="7" t="n"/>
      <c r="K718" s="7" t="n"/>
      <c r="L718" s="7" t="n"/>
      <c r="M718" s="7" t="n"/>
    </row>
    <row r="719" ht="12.75" customHeight="1">
      <c r="I719" s="7" t="n"/>
      <c r="J719" s="7" t="n"/>
      <c r="K719" s="7" t="n"/>
      <c r="L719" s="7" t="n"/>
      <c r="M719" s="7" t="n"/>
    </row>
    <row r="720" ht="12.75" customHeight="1">
      <c r="I720" s="7" t="n"/>
      <c r="J720" s="7" t="n"/>
      <c r="K720" s="7" t="n"/>
      <c r="L720" s="7" t="n"/>
      <c r="M720" s="7" t="n"/>
    </row>
    <row r="721" ht="12.75" customHeight="1">
      <c r="I721" s="7" t="n"/>
      <c r="J721" s="7" t="n"/>
      <c r="K721" s="7" t="n"/>
      <c r="L721" s="7" t="n"/>
      <c r="M721" s="7" t="n"/>
    </row>
    <row r="722" ht="12.75" customHeight="1">
      <c r="I722" s="7" t="n"/>
      <c r="J722" s="7" t="n"/>
      <c r="K722" s="7" t="n"/>
      <c r="L722" s="7" t="n"/>
      <c r="M722" s="7" t="n"/>
    </row>
    <row r="723" ht="12.75" customHeight="1">
      <c r="I723" s="7" t="n"/>
      <c r="J723" s="7" t="n"/>
      <c r="K723" s="7" t="n"/>
      <c r="L723" s="7" t="n"/>
      <c r="M723" s="7" t="n"/>
    </row>
    <row r="724" ht="12.75" customHeight="1">
      <c r="I724" s="7" t="n"/>
      <c r="J724" s="7" t="n"/>
      <c r="K724" s="7" t="n"/>
      <c r="L724" s="7" t="n"/>
      <c r="M724" s="7" t="n"/>
    </row>
    <row r="725" ht="12.75" customHeight="1">
      <c r="I725" s="7" t="n"/>
      <c r="J725" s="7" t="n"/>
      <c r="K725" s="7" t="n"/>
      <c r="L725" s="7" t="n"/>
      <c r="M725" s="7" t="n"/>
    </row>
    <row r="726" ht="12.75" customHeight="1">
      <c r="I726" s="7" t="n"/>
      <c r="J726" s="7" t="n"/>
      <c r="K726" s="7" t="n"/>
      <c r="L726" s="7" t="n"/>
      <c r="M726" s="7" t="n"/>
    </row>
    <row r="727" ht="12.75" customHeight="1">
      <c r="I727" s="7" t="n"/>
      <c r="J727" s="7" t="n"/>
      <c r="K727" s="7" t="n"/>
      <c r="L727" s="7" t="n"/>
      <c r="M727" s="7" t="n"/>
    </row>
    <row r="728" ht="12.75" customHeight="1">
      <c r="I728" s="7" t="n"/>
      <c r="J728" s="7" t="n"/>
      <c r="K728" s="7" t="n"/>
      <c r="L728" s="7" t="n"/>
      <c r="M728" s="7" t="n"/>
    </row>
    <row r="729" ht="12.75" customHeight="1">
      <c r="I729" s="7" t="n"/>
      <c r="J729" s="7" t="n"/>
      <c r="K729" s="7" t="n"/>
      <c r="L729" s="7" t="n"/>
      <c r="M729" s="7" t="n"/>
    </row>
    <row r="730" ht="12.75" customHeight="1">
      <c r="I730" s="7" t="n"/>
      <c r="J730" s="7" t="n"/>
      <c r="K730" s="7" t="n"/>
      <c r="L730" s="7" t="n"/>
      <c r="M730" s="7" t="n"/>
    </row>
    <row r="731" ht="12.75" customHeight="1">
      <c r="I731" s="7" t="n"/>
      <c r="J731" s="7" t="n"/>
      <c r="K731" s="7" t="n"/>
      <c r="L731" s="7" t="n"/>
      <c r="M731" s="7" t="n"/>
    </row>
    <row r="732" ht="12.75" customHeight="1">
      <c r="I732" s="7" t="n"/>
      <c r="J732" s="7" t="n"/>
      <c r="K732" s="7" t="n"/>
      <c r="L732" s="7" t="n"/>
      <c r="M732" s="7" t="n"/>
    </row>
    <row r="733" ht="12.75" customHeight="1">
      <c r="I733" s="7" t="n"/>
      <c r="J733" s="7" t="n"/>
      <c r="K733" s="7" t="n"/>
      <c r="L733" s="7" t="n"/>
      <c r="M733" s="7" t="n"/>
    </row>
    <row r="734" ht="12.75" customHeight="1">
      <c r="I734" s="7" t="n"/>
      <c r="J734" s="7" t="n"/>
      <c r="K734" s="7" t="n"/>
      <c r="L734" s="7" t="n"/>
      <c r="M734" s="7" t="n"/>
    </row>
    <row r="735" ht="12.75" customHeight="1">
      <c r="I735" s="7" t="n"/>
      <c r="J735" s="7" t="n"/>
      <c r="K735" s="7" t="n"/>
      <c r="L735" s="7" t="n"/>
      <c r="M735" s="7" t="n"/>
    </row>
    <row r="736" ht="12.75" customHeight="1">
      <c r="I736" s="7" t="n"/>
      <c r="J736" s="7" t="n"/>
      <c r="K736" s="7" t="n"/>
      <c r="L736" s="7" t="n"/>
      <c r="M736" s="7" t="n"/>
    </row>
    <row r="737" ht="12.75" customHeight="1">
      <c r="I737" s="7" t="n"/>
      <c r="J737" s="7" t="n"/>
      <c r="K737" s="7" t="n"/>
      <c r="L737" s="7" t="n"/>
      <c r="M737" s="7" t="n"/>
    </row>
    <row r="738" ht="12.75" customHeight="1">
      <c r="I738" s="7" t="n"/>
      <c r="J738" s="7" t="n"/>
      <c r="K738" s="7" t="n"/>
      <c r="L738" s="7" t="n"/>
      <c r="M738" s="7" t="n"/>
    </row>
    <row r="739" ht="12.75" customHeight="1">
      <c r="I739" s="7" t="n"/>
      <c r="J739" s="7" t="n"/>
      <c r="K739" s="7" t="n"/>
      <c r="L739" s="7" t="n"/>
      <c r="M739" s="7" t="n"/>
    </row>
    <row r="740" ht="12.75" customHeight="1">
      <c r="I740" s="7" t="n"/>
      <c r="J740" s="7" t="n"/>
      <c r="K740" s="7" t="n"/>
      <c r="L740" s="7" t="n"/>
      <c r="M740" s="7" t="n"/>
    </row>
    <row r="741" ht="12.75" customHeight="1">
      <c r="I741" s="7" t="n"/>
      <c r="J741" s="7" t="n"/>
      <c r="K741" s="7" t="n"/>
      <c r="L741" s="7" t="n"/>
      <c r="M741" s="7" t="n"/>
    </row>
    <row r="742" ht="12.75" customHeight="1">
      <c r="I742" s="7" t="n"/>
      <c r="J742" s="7" t="n"/>
      <c r="K742" s="7" t="n"/>
      <c r="L742" s="7" t="n"/>
      <c r="M742" s="7" t="n"/>
    </row>
    <row r="743" ht="12.75" customHeight="1">
      <c r="I743" s="7" t="n"/>
      <c r="J743" s="7" t="n"/>
      <c r="K743" s="7" t="n"/>
      <c r="L743" s="7" t="n"/>
      <c r="M743" s="7" t="n"/>
    </row>
    <row r="744" ht="12.75" customHeight="1">
      <c r="I744" s="7" t="n"/>
      <c r="J744" s="7" t="n"/>
      <c r="K744" s="7" t="n"/>
      <c r="L744" s="7" t="n"/>
      <c r="M744" s="7" t="n"/>
    </row>
    <row r="745" ht="12.75" customHeight="1">
      <c r="I745" s="7" t="n"/>
      <c r="J745" s="7" t="n"/>
      <c r="K745" s="7" t="n"/>
      <c r="L745" s="7" t="n"/>
      <c r="M745" s="7" t="n"/>
    </row>
    <row r="746" ht="12.75" customHeight="1">
      <c r="I746" s="7" t="n"/>
      <c r="J746" s="7" t="n"/>
      <c r="K746" s="7" t="n"/>
      <c r="L746" s="7" t="n"/>
      <c r="M746" s="7" t="n"/>
    </row>
    <row r="747" ht="12.75" customHeight="1">
      <c r="I747" s="7" t="n"/>
      <c r="J747" s="7" t="n"/>
      <c r="K747" s="7" t="n"/>
      <c r="L747" s="7" t="n"/>
      <c r="M747" s="7" t="n"/>
    </row>
    <row r="748" ht="12.75" customHeight="1">
      <c r="I748" s="7" t="n"/>
      <c r="J748" s="7" t="n"/>
      <c r="K748" s="7" t="n"/>
      <c r="L748" s="7" t="n"/>
      <c r="M748" s="7" t="n"/>
    </row>
    <row r="749" ht="12.75" customHeight="1">
      <c r="I749" s="7" t="n"/>
      <c r="J749" s="7" t="n"/>
      <c r="K749" s="7" t="n"/>
      <c r="L749" s="7" t="n"/>
      <c r="M749" s="7" t="n"/>
    </row>
    <row r="750" ht="12.75" customHeight="1">
      <c r="I750" s="7" t="n"/>
      <c r="J750" s="7" t="n"/>
      <c r="K750" s="7" t="n"/>
      <c r="L750" s="7" t="n"/>
      <c r="M750" s="7" t="n"/>
    </row>
    <row r="751" ht="12.75" customHeight="1">
      <c r="I751" s="7" t="n"/>
      <c r="J751" s="7" t="n"/>
      <c r="K751" s="7" t="n"/>
      <c r="L751" s="7" t="n"/>
      <c r="M751" s="7" t="n"/>
    </row>
    <row r="752" ht="12.75" customHeight="1">
      <c r="I752" s="7" t="n"/>
      <c r="J752" s="7" t="n"/>
      <c r="K752" s="7" t="n"/>
      <c r="L752" s="7" t="n"/>
      <c r="M752" s="7" t="n"/>
    </row>
    <row r="753" ht="12.75" customHeight="1">
      <c r="I753" s="7" t="n"/>
      <c r="J753" s="7" t="n"/>
      <c r="K753" s="7" t="n"/>
      <c r="L753" s="7" t="n"/>
      <c r="M753" s="7" t="n"/>
    </row>
    <row r="754" ht="12.75" customHeight="1">
      <c r="I754" s="7" t="n"/>
      <c r="J754" s="7" t="n"/>
      <c r="K754" s="7" t="n"/>
      <c r="L754" s="7" t="n"/>
      <c r="M754" s="7" t="n"/>
    </row>
    <row r="755" ht="12.75" customHeight="1">
      <c r="I755" s="7" t="n"/>
      <c r="J755" s="7" t="n"/>
      <c r="K755" s="7" t="n"/>
      <c r="L755" s="7" t="n"/>
      <c r="M755" s="7" t="n"/>
    </row>
    <row r="756" ht="12.75" customHeight="1">
      <c r="I756" s="7" t="n"/>
      <c r="J756" s="7" t="n"/>
      <c r="K756" s="7" t="n"/>
      <c r="L756" s="7" t="n"/>
      <c r="M756" s="7" t="n"/>
    </row>
    <row r="757" ht="12.75" customHeight="1">
      <c r="I757" s="7" t="n"/>
      <c r="J757" s="7" t="n"/>
      <c r="K757" s="7" t="n"/>
      <c r="L757" s="7" t="n"/>
      <c r="M757" s="7" t="n"/>
    </row>
    <row r="758" ht="12.75" customHeight="1">
      <c r="I758" s="7" t="n"/>
      <c r="J758" s="7" t="n"/>
      <c r="K758" s="7" t="n"/>
      <c r="L758" s="7" t="n"/>
      <c r="M758" s="7" t="n"/>
    </row>
    <row r="759" ht="12.75" customHeight="1">
      <c r="H759" s="5" t="n"/>
      <c r="I759" s="7" t="n"/>
      <c r="J759" s="7" t="n"/>
      <c r="K759" s="7" t="n"/>
      <c r="L759" s="7" t="n"/>
      <c r="M759" s="7" t="n"/>
    </row>
    <row r="760" ht="12.75" customHeight="1">
      <c r="H760" s="5" t="n"/>
      <c r="I760" s="7" t="n"/>
      <c r="J760" s="7" t="n"/>
      <c r="K760" s="7" t="n"/>
      <c r="L760" s="7" t="n"/>
      <c r="M760" s="7" t="n"/>
    </row>
    <row r="761" ht="12.75" customHeight="1">
      <c r="H761" s="5" t="n"/>
      <c r="I761" s="7" t="n"/>
      <c r="J761" s="7" t="n"/>
      <c r="K761" s="7" t="n"/>
      <c r="L761" s="7" t="n"/>
      <c r="M761" s="7" t="n"/>
    </row>
    <row r="762" ht="12.75" customHeight="1">
      <c r="H762" s="5" t="n"/>
      <c r="I762" s="7" t="n"/>
      <c r="J762" s="7" t="n"/>
      <c r="K762" s="7" t="n"/>
      <c r="L762" s="7" t="n"/>
      <c r="M762" s="7" t="n"/>
    </row>
    <row r="763" ht="12.75" customHeight="1">
      <c r="H763" s="5" t="n"/>
      <c r="I763" s="7" t="n"/>
      <c r="J763" s="7" t="n"/>
      <c r="K763" s="7" t="n"/>
      <c r="L763" s="7" t="n"/>
      <c r="M763" s="7" t="n"/>
    </row>
    <row r="764" ht="12.75" customHeight="1">
      <c r="H764" s="5" t="n"/>
      <c r="I764" s="7" t="n"/>
      <c r="J764" s="7" t="n"/>
      <c r="K764" s="7" t="n"/>
      <c r="L764" s="7" t="n"/>
      <c r="M764" s="7" t="n"/>
    </row>
    <row r="765" ht="12.75" customHeight="1">
      <c r="H765" s="5" t="n"/>
      <c r="I765" s="7" t="n"/>
      <c r="J765" s="7" t="n"/>
      <c r="K765" s="7" t="n"/>
      <c r="L765" s="7" t="n"/>
      <c r="M765" s="7" t="n"/>
    </row>
    <row r="766" ht="12.75" customHeight="1">
      <c r="H766" s="5" t="n"/>
      <c r="I766" s="7" t="n"/>
      <c r="J766" s="7" t="n"/>
      <c r="K766" s="7" t="n"/>
      <c r="L766" s="7" t="n"/>
      <c r="M766" s="7" t="n"/>
    </row>
    <row r="767" ht="12.75" customHeight="1">
      <c r="H767" s="5" t="n"/>
      <c r="I767" s="7" t="n"/>
      <c r="J767" s="7" t="n"/>
      <c r="K767" s="7" t="n"/>
      <c r="L767" s="7" t="n"/>
      <c r="M767" s="7" t="n"/>
    </row>
    <row r="768" ht="12.75" customHeight="1">
      <c r="H768" s="5" t="n"/>
      <c r="I768" s="7" t="n"/>
      <c r="J768" s="7" t="n"/>
      <c r="K768" s="7" t="n"/>
      <c r="L768" s="7" t="n"/>
      <c r="M768" s="7" t="n"/>
    </row>
    <row r="769" ht="12.75" customHeight="1">
      <c r="H769" s="5" t="n"/>
      <c r="I769" s="7" t="n"/>
      <c r="J769" s="7" t="n"/>
      <c r="K769" s="7" t="n"/>
      <c r="L769" s="7" t="n"/>
      <c r="M769" s="7" t="n"/>
    </row>
    <row r="770" ht="12.75" customHeight="1">
      <c r="H770" s="5" t="n"/>
      <c r="I770" s="7" t="n"/>
      <c r="J770" s="7" t="n"/>
      <c r="K770" s="7" t="n"/>
      <c r="L770" s="7" t="n"/>
      <c r="M770" s="7" t="n"/>
    </row>
    <row r="771" ht="12.75" customHeight="1">
      <c r="H771" s="5" t="n"/>
      <c r="I771" s="7" t="n"/>
      <c r="J771" s="7" t="n"/>
      <c r="K771" s="7" t="n"/>
      <c r="L771" s="7" t="n"/>
      <c r="M771" s="7" t="n"/>
    </row>
    <row r="772" ht="12.75" customHeight="1">
      <c r="H772" s="5" t="n"/>
      <c r="I772" s="7" t="n"/>
      <c r="J772" s="7" t="n"/>
      <c r="K772" s="7" t="n"/>
      <c r="L772" s="7" t="n"/>
      <c r="M772" s="7" t="n"/>
    </row>
    <row r="773" ht="12.75" customHeight="1">
      <c r="H773" s="5" t="n"/>
      <c r="I773" s="7" t="n"/>
      <c r="J773" s="7" t="n"/>
      <c r="K773" s="7" t="n"/>
      <c r="L773" s="7" t="n"/>
      <c r="M773" s="7" t="n"/>
    </row>
    <row r="774" ht="12.75" customHeight="1">
      <c r="H774" s="5" t="n"/>
      <c r="I774" s="7" t="n"/>
      <c r="J774" s="7" t="n"/>
      <c r="K774" s="7" t="n"/>
      <c r="L774" s="7" t="n"/>
      <c r="M774" s="7" t="n"/>
    </row>
    <row r="775" ht="12.75" customHeight="1">
      <c r="H775" s="5" t="n"/>
      <c r="I775" s="7" t="n"/>
      <c r="J775" s="7" t="n"/>
      <c r="K775" s="7" t="n"/>
      <c r="L775" s="7" t="n"/>
      <c r="M775" s="7" t="n"/>
    </row>
    <row r="776" ht="12.75" customHeight="1">
      <c r="H776" s="5" t="n"/>
      <c r="I776" s="7" t="n"/>
      <c r="J776" s="7" t="n"/>
      <c r="K776" s="7" t="n"/>
      <c r="L776" s="7" t="n"/>
      <c r="M776" s="7" t="n"/>
    </row>
    <row r="777" ht="12.75" customHeight="1">
      <c r="H777" s="5" t="n"/>
      <c r="I777" s="7" t="n"/>
      <c r="J777" s="7" t="n"/>
      <c r="K777" s="7" t="n"/>
      <c r="L777" s="7" t="n"/>
      <c r="M777" s="7" t="n"/>
    </row>
    <row r="778" ht="12.75" customHeight="1">
      <c r="H778" s="5" t="n"/>
      <c r="I778" s="7" t="n"/>
      <c r="J778" s="7" t="n"/>
      <c r="K778" s="7" t="n"/>
      <c r="L778" s="7" t="n"/>
      <c r="M778" s="7" t="n"/>
    </row>
    <row r="779" ht="12.75" customHeight="1">
      <c r="H779" s="5" t="n"/>
      <c r="I779" s="7" t="n"/>
      <c r="J779" s="7" t="n"/>
      <c r="K779" s="7" t="n"/>
      <c r="L779" s="7" t="n"/>
      <c r="M779" s="7" t="n"/>
    </row>
    <row r="780" ht="12.75" customHeight="1">
      <c r="H780" s="5" t="n"/>
      <c r="I780" s="7" t="n"/>
      <c r="J780" s="7" t="n"/>
      <c r="K780" s="7" t="n"/>
      <c r="L780" s="7" t="n"/>
      <c r="M780" s="7" t="n"/>
    </row>
    <row r="781" ht="12.75" customHeight="1">
      <c r="H781" s="5" t="n"/>
      <c r="I781" s="7" t="n"/>
      <c r="J781" s="7" t="n"/>
      <c r="K781" s="7" t="n"/>
      <c r="L781" s="7" t="n"/>
      <c r="M781" s="7" t="n"/>
    </row>
    <row r="782" ht="12.75" customHeight="1">
      <c r="H782" s="5" t="n"/>
      <c r="I782" s="7" t="n"/>
      <c r="J782" s="7" t="n"/>
      <c r="K782" s="7" t="n"/>
      <c r="L782" s="7" t="n"/>
      <c r="M782" s="7" t="n"/>
    </row>
    <row r="783" ht="12.75" customHeight="1">
      <c r="H783" s="5" t="n"/>
      <c r="I783" s="7" t="n"/>
      <c r="J783" s="7" t="n"/>
      <c r="K783" s="7" t="n"/>
      <c r="L783" s="7" t="n"/>
      <c r="M783" s="7" t="n"/>
    </row>
    <row r="784" ht="12.75" customHeight="1">
      <c r="H784" s="5" t="n"/>
      <c r="I784" s="7" t="n"/>
      <c r="J784" s="7" t="n"/>
      <c r="K784" s="7" t="n"/>
      <c r="L784" s="7" t="n"/>
      <c r="M784" s="7" t="n"/>
    </row>
    <row r="785" ht="12.75" customHeight="1">
      <c r="H785" s="5" t="n"/>
      <c r="I785" s="7" t="n"/>
      <c r="J785" s="7" t="n"/>
      <c r="K785" s="7" t="n"/>
      <c r="L785" s="7" t="n"/>
      <c r="M785" s="7" t="n"/>
    </row>
    <row r="786" ht="12.75" customHeight="1">
      <c r="H786" s="5" t="n"/>
      <c r="I786" s="7" t="n"/>
      <c r="J786" s="7" t="n"/>
      <c r="K786" s="7" t="n"/>
      <c r="L786" s="7" t="n"/>
      <c r="M786" s="7" t="n"/>
    </row>
    <row r="787" ht="12.75" customHeight="1">
      <c r="H787" s="5" t="n"/>
      <c r="I787" s="7" t="n"/>
      <c r="J787" s="7" t="n"/>
      <c r="K787" s="7" t="n"/>
      <c r="L787" s="7" t="n"/>
      <c r="M787" s="7" t="n"/>
    </row>
    <row r="788" ht="12.75" customHeight="1">
      <c r="H788" s="5" t="n"/>
      <c r="I788" s="7" t="n"/>
      <c r="J788" s="7" t="n"/>
      <c r="K788" s="7" t="n"/>
      <c r="L788" s="7" t="n"/>
      <c r="M788" s="7" t="n"/>
    </row>
    <row r="789" ht="12.75" customHeight="1">
      <c r="H789" s="5" t="n"/>
      <c r="I789" s="7" t="n"/>
      <c r="J789" s="7" t="n"/>
      <c r="K789" s="7" t="n"/>
      <c r="L789" s="7" t="n"/>
      <c r="M789" s="7" t="n"/>
    </row>
    <row r="790" ht="12.75" customHeight="1">
      <c r="H790" s="5" t="n"/>
      <c r="I790" s="7" t="n"/>
      <c r="J790" s="7" t="n"/>
      <c r="K790" s="7" t="n"/>
      <c r="L790" s="7" t="n"/>
      <c r="M790" s="7" t="n"/>
    </row>
    <row r="791" ht="12.75" customHeight="1">
      <c r="H791" s="5" t="n"/>
      <c r="I791" s="7" t="n"/>
      <c r="J791" s="7" t="n"/>
      <c r="K791" s="7" t="n"/>
      <c r="L791" s="7" t="n"/>
      <c r="M791" s="7" t="n"/>
    </row>
    <row r="792" ht="12.75" customHeight="1">
      <c r="H792" s="5" t="n"/>
      <c r="I792" s="7" t="n"/>
      <c r="J792" s="7" t="n"/>
      <c r="K792" s="7" t="n"/>
      <c r="L792" s="7" t="n"/>
      <c r="M792" s="7" t="n"/>
    </row>
    <row r="793" ht="12.75" customHeight="1">
      <c r="H793" s="5" t="n"/>
      <c r="I793" s="7" t="n"/>
      <c r="J793" s="7" t="n"/>
      <c r="K793" s="7" t="n"/>
      <c r="L793" s="7" t="n"/>
      <c r="M793" s="7" t="n"/>
    </row>
    <row r="794" ht="12.75" customHeight="1">
      <c r="H794" s="5" t="n"/>
      <c r="I794" s="7" t="n"/>
      <c r="J794" s="7" t="n"/>
      <c r="K794" s="7" t="n"/>
      <c r="L794" s="7" t="n"/>
      <c r="M794" s="7" t="n"/>
    </row>
    <row r="795" ht="12.75" customHeight="1">
      <c r="H795" s="5" t="n"/>
      <c r="I795" s="7" t="n"/>
      <c r="J795" s="7" t="n"/>
      <c r="K795" s="7" t="n"/>
      <c r="L795" s="7" t="n"/>
      <c r="M795" s="7" t="n"/>
    </row>
    <row r="796" ht="12.75" customHeight="1">
      <c r="H796" s="5" t="n"/>
      <c r="I796" s="1" t="n"/>
      <c r="J796" s="7" t="n"/>
      <c r="K796" s="7" t="n"/>
      <c r="L796" s="7" t="n"/>
      <c r="M796" s="7" t="n"/>
    </row>
    <row r="797" ht="12.75" customHeight="1">
      <c r="H797" s="5" t="n"/>
      <c r="I797" s="1" t="n"/>
      <c r="J797" s="7" t="n"/>
      <c r="K797" s="7" t="n"/>
      <c r="L797" s="7" t="n"/>
      <c r="M797" s="7" t="n"/>
    </row>
    <row r="798" ht="12.75" customHeight="1">
      <c r="H798" s="5" t="n"/>
      <c r="I798" s="1" t="n"/>
      <c r="J798" s="7" t="n"/>
      <c r="K798" s="7" t="n"/>
      <c r="L798" s="7" t="n"/>
      <c r="M798" s="7" t="n"/>
    </row>
    <row r="799" ht="12.75" customHeight="1">
      <c r="H799" s="5" t="n"/>
      <c r="I799" s="1" t="n"/>
      <c r="J799" s="7" t="n"/>
      <c r="K799" s="7" t="n"/>
      <c r="L799" s="7" t="n"/>
      <c r="M799" s="7" t="n"/>
    </row>
    <row r="800" ht="12.75" customHeight="1">
      <c r="H800" s="5" t="n"/>
      <c r="I800" s="6" t="n"/>
      <c r="J800" s="1" t="n"/>
      <c r="K800" s="7" t="n"/>
      <c r="L800" s="7" t="n"/>
      <c r="M800" s="7" t="n"/>
    </row>
    <row r="801" ht="12.75" customHeight="1">
      <c r="H801" s="5" t="n"/>
      <c r="I801" s="6" t="n"/>
      <c r="J801" s="1" t="n"/>
      <c r="K801" s="7" t="n"/>
      <c r="L801" s="7" t="n"/>
      <c r="M801" s="7" t="n"/>
    </row>
    <row r="802" ht="12.75" customHeight="1">
      <c r="H802" s="5" t="n"/>
      <c r="I802" s="6" t="n"/>
      <c r="J802" s="1" t="n"/>
      <c r="K802" s="7" t="n"/>
      <c r="L802" s="7" t="n"/>
      <c r="M802" s="7" t="n"/>
    </row>
    <row r="803" ht="12.75" customHeight="1">
      <c r="H803" s="5" t="n"/>
      <c r="I803" s="6" t="n"/>
      <c r="J803" s="1" t="n"/>
      <c r="K803" s="7" t="n"/>
      <c r="L803" s="7" t="n"/>
      <c r="M803" s="7" t="n"/>
    </row>
    <row r="804" ht="12.75" customHeight="1">
      <c r="H804" s="5" t="n"/>
      <c r="I804" s="6" t="n"/>
      <c r="J804" s="1" t="n"/>
      <c r="K804" s="7" t="n"/>
      <c r="L804" s="7" t="n"/>
      <c r="M804" s="7" t="n"/>
    </row>
    <row r="805" ht="12.75" customHeight="1">
      <c r="H805" s="5" t="n"/>
      <c r="I805" s="6" t="n"/>
      <c r="J805" s="1" t="n"/>
      <c r="K805" s="7" t="n"/>
      <c r="L805" s="7" t="n"/>
      <c r="M805" s="7" t="n"/>
    </row>
    <row r="806" ht="12.75" customHeight="1">
      <c r="H806" s="5" t="n"/>
      <c r="I806" s="6" t="n"/>
      <c r="J806" s="1" t="n"/>
      <c r="K806" s="7" t="n"/>
      <c r="L806" s="7" t="n"/>
      <c r="M806" s="7" t="n"/>
    </row>
    <row r="807" ht="12.75" customHeight="1">
      <c r="H807" s="5" t="n"/>
      <c r="I807" s="6" t="n"/>
      <c r="J807" s="1" t="n"/>
      <c r="K807" s="7" t="n"/>
      <c r="L807" s="7" t="n"/>
      <c r="M807" s="7" t="n"/>
    </row>
    <row r="808" ht="12.75" customHeight="1">
      <c r="H808" s="5" t="n"/>
      <c r="I808" s="6" t="n"/>
      <c r="J808" s="1" t="n"/>
      <c r="K808" s="7" t="n"/>
      <c r="L808" s="7" t="n"/>
      <c r="M808" s="7" t="n"/>
    </row>
    <row r="809" ht="12.75" customHeight="1">
      <c r="H809" s="5" t="n"/>
      <c r="I809" s="6" t="n"/>
      <c r="J809" s="1" t="n"/>
      <c r="K809" s="7" t="n"/>
      <c r="L809" s="7" t="n"/>
      <c r="M809" s="7" t="n"/>
    </row>
    <row r="810" ht="12.75" customHeight="1">
      <c r="H810" s="5" t="n"/>
      <c r="I810" s="6" t="n"/>
      <c r="J810" s="1" t="n"/>
      <c r="K810" s="7" t="n"/>
      <c r="L810" s="7" t="n"/>
      <c r="M810" s="7" t="n"/>
    </row>
    <row r="811" ht="12.75" customHeight="1">
      <c r="H811" s="5" t="n"/>
      <c r="I811" s="6" t="n"/>
      <c r="J811" s="1" t="n"/>
      <c r="K811" s="7" t="n"/>
      <c r="L811" s="7" t="n"/>
      <c r="M811" s="7" t="n"/>
    </row>
    <row r="812" ht="12.75" customHeight="1">
      <c r="H812" s="5" t="n"/>
      <c r="I812" s="6" t="n"/>
      <c r="J812" s="1" t="n"/>
      <c r="K812" s="7" t="n"/>
      <c r="L812" s="7" t="n"/>
      <c r="M812" s="7" t="n"/>
    </row>
    <row r="813" ht="12.75" customHeight="1">
      <c r="H813" s="5" t="n"/>
      <c r="I813" s="6" t="n"/>
      <c r="J813" s="1" t="n"/>
      <c r="K813" s="7" t="n"/>
      <c r="L813" s="7" t="n"/>
      <c r="M813" s="7" t="n"/>
    </row>
    <row r="814" ht="12.75" customHeight="1">
      <c r="H814" s="5" t="n"/>
      <c r="I814" s="6" t="n"/>
      <c r="J814" s="1" t="n"/>
      <c r="K814" s="7" t="n"/>
      <c r="L814" s="7" t="n"/>
      <c r="M814" s="7" t="n"/>
    </row>
    <row r="815" ht="12.75" customHeight="1">
      <c r="H815" s="5" t="n"/>
      <c r="I815" s="6" t="n"/>
      <c r="J815" s="1" t="n"/>
      <c r="K815" s="7" t="n"/>
      <c r="L815" s="7" t="n"/>
      <c r="M815" s="7" t="n"/>
    </row>
    <row r="816" ht="12.75" customHeight="1">
      <c r="H816" s="5" t="n"/>
      <c r="I816" s="6" t="n"/>
      <c r="J816" s="1" t="n"/>
      <c r="K816" s="7" t="n"/>
      <c r="L816" s="7" t="n"/>
      <c r="M816" s="7" t="n"/>
    </row>
    <row r="817" ht="12.75" customHeight="1">
      <c r="H817" s="5" t="n"/>
      <c r="I817" s="6" t="n"/>
      <c r="J817" s="1" t="n"/>
      <c r="K817" s="7" t="n"/>
      <c r="L817" s="7" t="n"/>
      <c r="M817" s="7" t="n"/>
    </row>
    <row r="818" ht="12.75" customHeight="1">
      <c r="H818" s="5" t="n"/>
      <c r="I818" s="6" t="n"/>
      <c r="J818" s="1" t="n"/>
      <c r="K818" s="7" t="n"/>
      <c r="L818" s="7" t="n"/>
      <c r="M818" s="7" t="n"/>
    </row>
    <row r="819" ht="12.75" customHeight="1">
      <c r="H819" s="5" t="n"/>
      <c r="I819" s="6" t="n"/>
      <c r="J819" s="1" t="n"/>
      <c r="K819" s="7" t="n"/>
      <c r="L819" s="7" t="n"/>
      <c r="M819" s="7" t="n"/>
    </row>
    <row r="820" ht="12.75" customHeight="1">
      <c r="H820" s="5" t="n"/>
      <c r="I820" s="6" t="n"/>
      <c r="J820" s="1" t="n"/>
      <c r="K820" s="7" t="n"/>
      <c r="L820" s="7" t="n"/>
      <c r="M820" s="7" t="n"/>
    </row>
    <row r="821" ht="12.75" customHeight="1">
      <c r="H821" s="5" t="n"/>
      <c r="I821" s="6" t="n"/>
      <c r="J821" s="1" t="n"/>
      <c r="K821" s="7" t="n"/>
      <c r="L821" s="7" t="n"/>
      <c r="M821" s="7" t="n"/>
    </row>
    <row r="822" ht="12.75" customHeight="1">
      <c r="H822" s="5" t="n"/>
      <c r="I822" s="6" t="n"/>
      <c r="J822" s="1" t="n"/>
      <c r="K822" s="7" t="n"/>
      <c r="L822" s="7" t="n"/>
      <c r="M822" s="7" t="n"/>
    </row>
    <row r="823" ht="12.75" customHeight="1">
      <c r="H823" s="5" t="n"/>
      <c r="I823" s="6" t="n"/>
      <c r="J823" s="1" t="n"/>
      <c r="K823" s="7" t="n"/>
      <c r="L823" s="7" t="n"/>
      <c r="M823" s="7" t="n"/>
    </row>
    <row r="824" ht="12.75" customHeight="1">
      <c r="H824" s="5" t="n"/>
      <c r="I824" s="6" t="n"/>
      <c r="J824" s="1" t="n"/>
      <c r="K824" s="7" t="n"/>
      <c r="L824" s="7" t="n"/>
      <c r="M824" s="7" t="n"/>
    </row>
    <row r="825" ht="12.75" customHeight="1">
      <c r="H825" s="5" t="n"/>
      <c r="I825" s="6" t="n"/>
      <c r="J825" s="1" t="n"/>
      <c r="K825" s="7" t="n"/>
      <c r="L825" s="7" t="n"/>
      <c r="M825" s="7" t="n"/>
    </row>
    <row r="826" ht="12.75" customHeight="1">
      <c r="H826" s="5" t="n"/>
      <c r="I826" s="6" t="n"/>
      <c r="J826" s="1" t="n"/>
      <c r="K826" s="7" t="n"/>
      <c r="L826" s="7" t="n"/>
      <c r="M826" s="7" t="n"/>
    </row>
    <row r="827" ht="12.75" customHeight="1">
      <c r="H827" s="5" t="n"/>
      <c r="I827" s="6" t="n"/>
      <c r="J827" s="1" t="n"/>
      <c r="K827" s="7" t="n"/>
      <c r="L827" s="7" t="n"/>
      <c r="M827" s="7" t="n"/>
    </row>
    <row r="828" ht="12.75" customHeight="1">
      <c r="H828" s="5" t="n"/>
      <c r="I828" s="6" t="n"/>
      <c r="J828" s="1" t="n"/>
      <c r="K828" s="7" t="n"/>
      <c r="L828" s="7" t="n"/>
      <c r="M828" s="7" t="n"/>
    </row>
    <row r="829" ht="12.75" customHeight="1">
      <c r="H829" s="5" t="n"/>
      <c r="I829" s="6" t="n"/>
      <c r="J829" s="1" t="n"/>
      <c r="K829" s="7" t="n"/>
      <c r="L829" s="7" t="n"/>
      <c r="M829" s="7" t="n"/>
    </row>
    <row r="830" ht="12.75" customHeight="1">
      <c r="H830" s="5" t="n"/>
      <c r="I830" s="6" t="n"/>
      <c r="J830" s="1" t="n"/>
      <c r="K830" s="7" t="n"/>
      <c r="L830" s="7" t="n"/>
      <c r="M830" s="7" t="n"/>
    </row>
    <row r="831" ht="12.75" customHeight="1">
      <c r="H831" s="5" t="n"/>
      <c r="I831" s="6" t="n"/>
      <c r="J831" s="1" t="n"/>
      <c r="K831" s="7" t="n"/>
      <c r="L831" s="7" t="n"/>
      <c r="M831" s="7" t="n"/>
    </row>
    <row r="832" ht="12.75" customHeight="1">
      <c r="H832" s="5" t="n"/>
      <c r="I832" s="6" t="n"/>
      <c r="J832" s="1" t="n"/>
      <c r="K832" s="7" t="n"/>
      <c r="L832" s="7" t="n"/>
      <c r="M832" s="7" t="n"/>
    </row>
    <row r="833" ht="12.75" customHeight="1">
      <c r="H833" s="5" t="n"/>
      <c r="I833" s="6" t="n"/>
      <c r="J833" s="1" t="n"/>
      <c r="K833" s="7" t="n"/>
      <c r="L833" s="7" t="n"/>
      <c r="M833" s="7" t="n"/>
    </row>
    <row r="834" ht="12.75" customHeight="1">
      <c r="H834" s="5" t="n"/>
      <c r="I834" s="6" t="n"/>
      <c r="J834" s="1" t="n"/>
      <c r="K834" s="7" t="n"/>
      <c r="L834" s="7" t="n"/>
      <c r="M834" s="7" t="n"/>
    </row>
    <row r="835" ht="12.75" customHeight="1">
      <c r="H835" s="5" t="n"/>
      <c r="I835" s="6" t="n"/>
      <c r="J835" s="1" t="n"/>
      <c r="K835" s="7" t="n"/>
      <c r="L835" s="7" t="n"/>
      <c r="M835" s="7" t="n"/>
    </row>
    <row r="836" ht="12.75" customHeight="1">
      <c r="H836" s="5" t="n"/>
      <c r="I836" s="6" t="n"/>
      <c r="J836" s="1" t="n"/>
      <c r="K836" s="7" t="n"/>
      <c r="L836" s="7" t="n"/>
      <c r="M836" s="7" t="n"/>
    </row>
    <row r="837" ht="12.75" customHeight="1">
      <c r="H837" s="5" t="n"/>
      <c r="I837" s="6" t="n"/>
      <c r="J837" s="1" t="n"/>
      <c r="K837" s="7" t="n"/>
      <c r="L837" s="7" t="n"/>
      <c r="M837" s="7" t="n"/>
    </row>
    <row r="838" ht="12.75" customHeight="1">
      <c r="H838" s="5" t="n"/>
      <c r="I838" s="6" t="n"/>
      <c r="J838" s="1" t="n"/>
      <c r="K838" s="7" t="n"/>
      <c r="L838" s="7" t="n"/>
      <c r="M838" s="7" t="n"/>
    </row>
    <row r="839" ht="12.75" customHeight="1">
      <c r="H839" s="5" t="n"/>
      <c r="I839" s="6" t="n"/>
      <c r="J839" s="1" t="n"/>
      <c r="K839" s="7" t="n"/>
      <c r="L839" s="7" t="n"/>
      <c r="M839" s="7" t="n"/>
    </row>
    <row r="840" ht="12.75" customHeight="1">
      <c r="H840" s="5" t="n"/>
      <c r="I840" s="6" t="n"/>
      <c r="J840" s="1" t="n"/>
      <c r="K840" s="7" t="n"/>
      <c r="L840" s="7" t="n"/>
      <c r="M840" s="7" t="n"/>
    </row>
    <row r="841" ht="12.75" customHeight="1">
      <c r="H841" s="5" t="n"/>
      <c r="I841" s="6" t="n"/>
      <c r="J841" s="1" t="n"/>
      <c r="K841" s="7" t="n"/>
      <c r="L841" s="7" t="n"/>
      <c r="M841" s="7" t="n"/>
    </row>
    <row r="842" ht="12.75" customHeight="1">
      <c r="H842" s="5" t="n"/>
      <c r="I842" s="6" t="n"/>
      <c r="J842" s="1" t="n"/>
      <c r="K842" s="7" t="n"/>
      <c r="L842" s="7" t="n"/>
      <c r="M842" s="7" t="n"/>
    </row>
    <row r="843" ht="12.75" customHeight="1">
      <c r="H843" s="5" t="n"/>
      <c r="I843" s="6" t="n"/>
      <c r="J843" s="1" t="n"/>
      <c r="K843" s="7" t="n"/>
      <c r="L843" s="7" t="n"/>
      <c r="M843" s="7" t="n"/>
    </row>
    <row r="844" ht="12.75" customHeight="1">
      <c r="H844" s="5" t="n"/>
      <c r="I844" s="6" t="n"/>
      <c r="J844" s="1" t="n"/>
      <c r="K844" s="7" t="n"/>
      <c r="L844" s="7" t="n"/>
      <c r="M844" s="7" t="n"/>
    </row>
    <row r="845" ht="12.75" customHeight="1">
      <c r="H845" s="5" t="n"/>
      <c r="I845" s="6" t="n"/>
      <c r="J845" s="1" t="n"/>
      <c r="K845" s="7" t="n"/>
      <c r="L845" s="7" t="n"/>
      <c r="M845" s="7" t="n"/>
    </row>
    <row r="846" ht="12.75" customHeight="1">
      <c r="H846" s="5" t="n"/>
      <c r="I846" s="6" t="n"/>
      <c r="J846" s="1" t="n"/>
      <c r="K846" s="7" t="n"/>
      <c r="L846" s="7" t="n"/>
      <c r="M846" s="7" t="n"/>
    </row>
    <row r="847" ht="12.75" customHeight="1">
      <c r="H847" s="5" t="n"/>
      <c r="I847" s="6" t="n"/>
      <c r="J847" s="1" t="n"/>
      <c r="K847" s="7" t="n"/>
      <c r="L847" s="7" t="n"/>
      <c r="M847" s="7" t="n"/>
    </row>
    <row r="848" ht="12.75" customHeight="1">
      <c r="H848" s="5" t="n"/>
      <c r="I848" s="6" t="n"/>
      <c r="J848" s="1" t="n"/>
      <c r="K848" s="7" t="n"/>
      <c r="L848" s="7" t="n"/>
      <c r="M848" s="7" t="n"/>
    </row>
    <row r="849" ht="12.75" customHeight="1">
      <c r="H849" s="5" t="n"/>
      <c r="I849" s="6" t="n"/>
      <c r="J849" s="1" t="n"/>
      <c r="K849" s="7" t="n"/>
      <c r="L849" s="7" t="n"/>
      <c r="M849" s="7" t="n"/>
    </row>
    <row r="850" ht="12.75" customHeight="1">
      <c r="H850" s="5" t="n"/>
      <c r="I850" s="6" t="n"/>
      <c r="J850" s="1" t="n"/>
      <c r="K850" s="7" t="n"/>
      <c r="L850" s="7" t="n"/>
      <c r="M850" s="7" t="n"/>
    </row>
    <row r="851" ht="12.75" customHeight="1">
      <c r="H851" s="5" t="n"/>
      <c r="I851" s="6" t="n"/>
      <c r="J851" s="1" t="n"/>
      <c r="K851" s="7" t="n"/>
      <c r="L851" s="7" t="n"/>
      <c r="M851" s="7" t="n"/>
    </row>
    <row r="852" ht="12.75" customHeight="1">
      <c r="H852" s="5" t="n"/>
      <c r="I852" s="6" t="n"/>
      <c r="J852" s="1" t="n"/>
      <c r="K852" s="7" t="n"/>
      <c r="L852" s="7" t="n"/>
      <c r="M852" s="7" t="n"/>
    </row>
    <row r="853" ht="12.75" customHeight="1">
      <c r="H853" s="5" t="n"/>
      <c r="I853" s="6" t="n"/>
      <c r="J853" s="1" t="n"/>
      <c r="K853" s="7" t="n"/>
      <c r="L853" s="7" t="n"/>
      <c r="M853" s="7" t="n"/>
    </row>
    <row r="854" ht="12.75" customHeight="1">
      <c r="H854" s="5" t="n"/>
      <c r="I854" s="6" t="n"/>
      <c r="J854" s="1" t="n"/>
      <c r="K854" s="7" t="n"/>
      <c r="L854" s="7" t="n"/>
      <c r="M854" s="7" t="n"/>
    </row>
    <row r="855" ht="12.75" customHeight="1">
      <c r="H855" s="5" t="n"/>
      <c r="I855" s="6" t="n"/>
      <c r="J855" s="1" t="n"/>
      <c r="K855" s="7" t="n"/>
      <c r="L855" s="7" t="n"/>
      <c r="M855" s="7" t="n"/>
    </row>
    <row r="856" ht="12.75" customHeight="1">
      <c r="H856" s="5" t="n"/>
      <c r="I856" s="6" t="n"/>
      <c r="J856" s="1" t="n"/>
      <c r="K856" s="7" t="n"/>
      <c r="L856" s="7" t="n"/>
      <c r="M856" s="7" t="n"/>
    </row>
    <row r="857" ht="12.75" customHeight="1">
      <c r="H857" s="5" t="n"/>
      <c r="I857" s="6" t="n"/>
      <c r="J857" s="1" t="n"/>
      <c r="K857" s="7" t="n"/>
      <c r="L857" s="7" t="n"/>
      <c r="M857" s="7" t="n"/>
    </row>
    <row r="858" ht="12.75" customHeight="1">
      <c r="H858" s="5" t="n"/>
      <c r="I858" s="6" t="n"/>
      <c r="J858" s="1" t="n"/>
      <c r="K858" s="7" t="n"/>
      <c r="L858" s="7" t="n"/>
      <c r="M858" s="7" t="n"/>
    </row>
    <row r="859" ht="12.75" customHeight="1">
      <c r="H859" s="5" t="n"/>
      <c r="I859" s="6" t="n"/>
      <c r="J859" s="1" t="n"/>
      <c r="K859" s="7" t="n"/>
      <c r="L859" s="7" t="n"/>
      <c r="M859" s="7" t="n"/>
    </row>
    <row r="860" ht="12.75" customHeight="1">
      <c r="H860" s="5" t="n"/>
      <c r="I860" s="6" t="n"/>
      <c r="J860" s="1" t="n"/>
      <c r="K860" s="7" t="n"/>
      <c r="L860" s="7" t="n"/>
      <c r="M860" s="7" t="n"/>
    </row>
    <row r="861" ht="12.75" customHeight="1">
      <c r="H861" s="5" t="n"/>
      <c r="I861" s="6" t="n"/>
      <c r="J861" s="1" t="n"/>
      <c r="K861" s="7" t="n"/>
      <c r="L861" s="7" t="n"/>
      <c r="M861" s="7" t="n"/>
    </row>
    <row r="862" ht="12.75" customHeight="1">
      <c r="H862" s="5" t="n"/>
      <c r="I862" s="6" t="n"/>
      <c r="J862" s="1" t="n"/>
      <c r="K862" s="7" t="n"/>
      <c r="L862" s="7" t="n"/>
      <c r="M862" s="7" t="n"/>
    </row>
    <row r="863" ht="12.75" customHeight="1">
      <c r="H863" s="5" t="n"/>
      <c r="I863" s="6" t="n"/>
      <c r="J863" s="1" t="n"/>
      <c r="K863" s="7" t="n"/>
      <c r="L863" s="7" t="n"/>
      <c r="M863" s="7" t="n"/>
    </row>
    <row r="864" ht="12.75" customHeight="1">
      <c r="H864" s="5" t="n"/>
      <c r="I864" s="6" t="n"/>
      <c r="J864" s="1" t="n"/>
      <c r="K864" s="7" t="n"/>
      <c r="L864" s="7" t="n"/>
      <c r="M864" s="7" t="n"/>
    </row>
    <row r="865" ht="12.75" customHeight="1">
      <c r="H865" s="5" t="n"/>
      <c r="I865" s="6" t="n"/>
      <c r="J865" s="1" t="n"/>
      <c r="K865" s="7" t="n"/>
      <c r="L865" s="7" t="n"/>
      <c r="M865" s="7" t="n"/>
    </row>
    <row r="866" ht="12.75" customHeight="1">
      <c r="H866" s="5" t="n"/>
      <c r="I866" s="6" t="n"/>
      <c r="J866" s="1" t="n"/>
      <c r="K866" s="7" t="n"/>
      <c r="L866" s="7" t="n"/>
      <c r="M866" s="7" t="n"/>
    </row>
    <row r="867" ht="12.75" customHeight="1">
      <c r="H867" s="5" t="n"/>
      <c r="I867" s="6" t="n"/>
      <c r="J867" s="1" t="n"/>
      <c r="K867" s="7" t="n"/>
      <c r="L867" s="7" t="n"/>
      <c r="M867" s="7" t="n"/>
    </row>
    <row r="868" ht="12.75" customHeight="1">
      <c r="H868" s="5" t="n"/>
      <c r="I868" s="6" t="n"/>
      <c r="J868" s="1" t="n"/>
      <c r="K868" s="7" t="n"/>
      <c r="L868" s="7" t="n"/>
      <c r="M868" s="7" t="n"/>
    </row>
    <row r="869" ht="12.75" customHeight="1">
      <c r="H869" s="5" t="n"/>
      <c r="I869" s="6" t="n"/>
      <c r="J869" s="1" t="n"/>
      <c r="K869" s="7" t="n"/>
      <c r="L869" s="7" t="n"/>
      <c r="M869" s="7" t="n"/>
    </row>
    <row r="870" ht="12.75" customHeight="1">
      <c r="H870" s="5" t="n"/>
      <c r="I870" s="6" t="n"/>
      <c r="J870" s="1" t="n"/>
      <c r="K870" s="7" t="n"/>
      <c r="L870" s="7" t="n"/>
      <c r="M870" s="7" t="n"/>
    </row>
    <row r="871" ht="12.75" customHeight="1">
      <c r="H871" s="5" t="n"/>
      <c r="I871" s="6" t="n"/>
      <c r="J871" s="1" t="n"/>
      <c r="K871" s="7" t="n"/>
      <c r="L871" s="7" t="n"/>
      <c r="M871" s="7" t="n"/>
    </row>
    <row r="872" ht="12.75" customHeight="1">
      <c r="H872" s="5" t="n"/>
      <c r="I872" s="6" t="n"/>
      <c r="J872" s="1" t="n"/>
      <c r="K872" s="7" t="n"/>
      <c r="L872" s="7" t="n"/>
      <c r="M872" s="7" t="n"/>
    </row>
    <row r="873" ht="12.75" customHeight="1">
      <c r="H873" s="5" t="n"/>
      <c r="I873" s="6" t="n"/>
      <c r="J873" s="1" t="n"/>
      <c r="K873" s="7" t="n"/>
      <c r="L873" s="7" t="n"/>
      <c r="M873" s="7" t="n"/>
    </row>
    <row r="874" ht="12.75" customHeight="1">
      <c r="H874" s="5" t="n"/>
      <c r="I874" s="6" t="n"/>
      <c r="J874" s="1" t="n"/>
      <c r="K874" s="7" t="n"/>
      <c r="L874" s="7" t="n"/>
      <c r="M874" s="7" t="n"/>
    </row>
    <row r="875" ht="12.75" customHeight="1">
      <c r="H875" s="5" t="n"/>
      <c r="I875" s="6" t="n"/>
      <c r="J875" s="1" t="n"/>
      <c r="K875" s="7" t="n"/>
      <c r="L875" s="7" t="n"/>
      <c r="M875" s="7" t="n"/>
    </row>
    <row r="876" ht="12.75" customHeight="1">
      <c r="H876" s="5" t="n"/>
      <c r="I876" s="6" t="n"/>
      <c r="J876" s="1" t="n"/>
      <c r="K876" s="7" t="n"/>
      <c r="L876" s="7" t="n"/>
      <c r="M876" s="7" t="n"/>
    </row>
    <row r="877" ht="12.75" customHeight="1">
      <c r="H877" s="5" t="n"/>
      <c r="I877" s="6" t="n"/>
      <c r="J877" s="1" t="n"/>
      <c r="K877" s="7" t="n"/>
      <c r="L877" s="7" t="n"/>
      <c r="M877" s="7" t="n"/>
    </row>
    <row r="878" ht="12.75" customHeight="1">
      <c r="H878" s="5" t="n"/>
      <c r="I878" s="6" t="n"/>
      <c r="J878" s="1" t="n"/>
      <c r="K878" s="7" t="n"/>
      <c r="L878" s="7" t="n"/>
      <c r="M878" s="7" t="n"/>
    </row>
    <row r="879" ht="12.75" customHeight="1">
      <c r="H879" s="5" t="n"/>
      <c r="I879" s="6" t="n"/>
      <c r="J879" s="1" t="n"/>
      <c r="K879" s="7" t="n"/>
      <c r="L879" s="7" t="n"/>
      <c r="M879" s="7" t="n"/>
    </row>
    <row r="880" ht="12.75" customHeight="1">
      <c r="H880" s="5" t="n"/>
      <c r="I880" s="6" t="n"/>
      <c r="J880" s="1" t="n"/>
      <c r="K880" s="7" t="n"/>
      <c r="L880" s="7" t="n"/>
      <c r="M880" s="7" t="n"/>
    </row>
    <row r="881" ht="12.75" customHeight="1">
      <c r="H881" s="5" t="n"/>
      <c r="I881" s="6" t="n"/>
      <c r="J881" s="1" t="n"/>
      <c r="K881" s="7" t="n"/>
      <c r="L881" s="7" t="n"/>
      <c r="M881" s="7" t="n"/>
    </row>
    <row r="882" ht="12.75" customHeight="1">
      <c r="H882" s="5" t="n"/>
      <c r="I882" s="6" t="n"/>
      <c r="J882" s="1" t="n"/>
      <c r="K882" s="7" t="n"/>
      <c r="L882" s="7" t="n"/>
      <c r="M882" s="7" t="n"/>
    </row>
    <row r="883" ht="12.75" customHeight="1">
      <c r="H883" s="5" t="n"/>
      <c r="I883" s="6" t="n"/>
      <c r="J883" s="1" t="n"/>
      <c r="K883" s="7" t="n"/>
      <c r="L883" s="7" t="n"/>
      <c r="M883" s="7" t="n"/>
    </row>
    <row r="884" ht="12.75" customHeight="1">
      <c r="H884" s="5" t="n"/>
      <c r="I884" s="6" t="n"/>
      <c r="J884" s="1" t="n"/>
      <c r="K884" s="7" t="n"/>
      <c r="L884" s="7" t="n"/>
      <c r="M884" s="7" t="n"/>
    </row>
    <row r="885" ht="12.75" customHeight="1">
      <c r="H885" s="5" t="n"/>
      <c r="I885" s="6" t="n"/>
      <c r="J885" s="1" t="n"/>
      <c r="K885" s="7" t="n"/>
      <c r="L885" s="7" t="n"/>
      <c r="M885" s="7" t="n"/>
    </row>
    <row r="886" ht="12.75" customHeight="1">
      <c r="H886" s="5" t="n"/>
      <c r="I886" s="6" t="n"/>
      <c r="J886" s="1" t="n"/>
      <c r="K886" s="7" t="n"/>
      <c r="L886" s="7" t="n"/>
      <c r="M886" s="7" t="n"/>
    </row>
    <row r="887" ht="12.75" customHeight="1">
      <c r="H887" s="5" t="n"/>
      <c r="I887" s="6" t="n"/>
      <c r="J887" s="1" t="n"/>
      <c r="K887" s="7" t="n"/>
      <c r="L887" s="7" t="n"/>
      <c r="M887" s="7" t="n"/>
    </row>
    <row r="888" ht="12.75" customHeight="1">
      <c r="H888" s="5" t="n"/>
      <c r="I888" s="6" t="n"/>
      <c r="J888" s="1" t="n"/>
      <c r="K888" s="7" t="n"/>
      <c r="L888" s="7" t="n"/>
      <c r="M888" s="7" t="n"/>
    </row>
    <row r="889" ht="12.75" customHeight="1">
      <c r="H889" s="5" t="n"/>
      <c r="I889" s="6" t="n"/>
      <c r="J889" s="1" t="n"/>
      <c r="K889" s="7" t="n"/>
      <c r="L889" s="7" t="n"/>
      <c r="M889" s="7" t="n"/>
    </row>
    <row r="890" ht="12.75" customHeight="1">
      <c r="H890" s="5" t="n"/>
      <c r="I890" s="6" t="n"/>
      <c r="J890" s="1" t="n"/>
      <c r="K890" s="7" t="n"/>
      <c r="L890" s="7" t="n"/>
      <c r="M890" s="7" t="n"/>
    </row>
    <row r="891" ht="12.75" customHeight="1">
      <c r="H891" s="5" t="n"/>
      <c r="I891" s="6" t="n"/>
      <c r="J891" s="1" t="n"/>
      <c r="K891" s="7" t="n"/>
      <c r="L891" s="7" t="n"/>
      <c r="M891" s="7" t="n"/>
    </row>
    <row r="892" ht="12.75" customHeight="1">
      <c r="H892" s="5" t="n"/>
      <c r="I892" s="6" t="n"/>
      <c r="J892" s="1" t="n"/>
      <c r="K892" s="7" t="n"/>
      <c r="L892" s="7" t="n"/>
      <c r="M892" s="7" t="n"/>
    </row>
    <row r="893" ht="12.75" customHeight="1">
      <c r="H893" s="5" t="n"/>
      <c r="I893" s="6" t="n"/>
      <c r="J893" s="1" t="n"/>
      <c r="K893" s="7" t="n"/>
      <c r="L893" s="7" t="n"/>
      <c r="M893" s="7" t="n"/>
    </row>
    <row r="894" ht="12.75" customHeight="1">
      <c r="H894" s="5" t="n"/>
      <c r="I894" s="6" t="n"/>
      <c r="J894" s="1" t="n"/>
      <c r="K894" s="7" t="n"/>
      <c r="L894" s="7" t="n"/>
      <c r="M894" s="7" t="n"/>
    </row>
    <row r="895" ht="12.75" customHeight="1">
      <c r="H895" s="5" t="n"/>
      <c r="I895" s="6" t="n"/>
      <c r="J895" s="1" t="n"/>
      <c r="K895" s="7" t="n"/>
      <c r="L895" s="7" t="n"/>
      <c r="M895" s="7" t="n"/>
    </row>
    <row r="896" ht="12.75" customHeight="1">
      <c r="H896" s="5" t="n"/>
      <c r="I896" s="6" t="n"/>
      <c r="J896" s="1" t="n"/>
      <c r="K896" s="7" t="n"/>
      <c r="L896" s="7" t="n"/>
      <c r="M896" s="7" t="n"/>
    </row>
    <row r="897" ht="12.75" customHeight="1">
      <c r="H897" s="5" t="n"/>
      <c r="I897" s="6" t="n"/>
      <c r="J897" s="1" t="n"/>
      <c r="K897" s="7" t="n"/>
      <c r="L897" s="7" t="n"/>
      <c r="M897" s="7" t="n"/>
    </row>
    <row r="898" ht="12.75" customHeight="1">
      <c r="H898" s="5" t="n"/>
      <c r="I898" s="6" t="n"/>
      <c r="J898" s="1" t="n"/>
      <c r="K898" s="7" t="n"/>
      <c r="L898" s="7" t="n"/>
      <c r="M898" s="7" t="n"/>
    </row>
    <row r="899" ht="12.75" customHeight="1">
      <c r="H899" s="5" t="n"/>
      <c r="I899" s="6" t="n"/>
      <c r="J899" s="1" t="n"/>
      <c r="K899" s="7" t="n"/>
      <c r="L899" s="7" t="n"/>
      <c r="M899" s="7" t="n"/>
    </row>
    <row r="900" ht="12.75" customHeight="1">
      <c r="H900" s="5" t="n"/>
      <c r="I900" s="6" t="n"/>
      <c r="J900" s="1" t="n"/>
      <c r="K900" s="7" t="n"/>
      <c r="L900" s="7" t="n"/>
      <c r="M900" s="7" t="n"/>
    </row>
    <row r="901" ht="12.75" customHeight="1">
      <c r="H901" s="5" t="n"/>
      <c r="I901" s="6" t="n"/>
      <c r="J901" s="1" t="n"/>
      <c r="K901" s="7" t="n"/>
      <c r="L901" s="7" t="n"/>
      <c r="M901" s="7" t="n"/>
    </row>
    <row r="902" ht="12.75" customHeight="1">
      <c r="H902" s="5" t="n"/>
      <c r="I902" s="6" t="n"/>
      <c r="J902" s="1" t="n"/>
      <c r="K902" s="7" t="n"/>
      <c r="L902" s="7" t="n"/>
      <c r="M902" s="7" t="n"/>
    </row>
    <row r="903" ht="12.75" customHeight="1">
      <c r="H903" s="5" t="n"/>
      <c r="I903" s="6" t="n"/>
      <c r="J903" s="1" t="n"/>
      <c r="K903" s="7" t="n"/>
      <c r="L903" s="7" t="n"/>
      <c r="M903" s="7" t="n"/>
    </row>
    <row r="904" ht="12.75" customHeight="1">
      <c r="H904" s="5" t="n"/>
      <c r="I904" s="6" t="n"/>
      <c r="J904" s="1" t="n"/>
      <c r="K904" s="7" t="n"/>
      <c r="L904" s="7" t="n"/>
      <c r="M904" s="7" t="n"/>
    </row>
    <row r="905" ht="12.75" customHeight="1">
      <c r="H905" s="5" t="n"/>
      <c r="I905" s="6" t="n"/>
      <c r="J905" s="1" t="n"/>
      <c r="K905" s="7" t="n"/>
      <c r="L905" s="7" t="n"/>
      <c r="M905" s="7" t="n"/>
    </row>
    <row r="906" ht="12.75" customHeight="1">
      <c r="H906" s="5" t="n"/>
      <c r="I906" s="6" t="n"/>
      <c r="J906" s="1" t="n"/>
      <c r="K906" s="7" t="n"/>
      <c r="L906" s="7" t="n"/>
      <c r="M906" s="7" t="n"/>
    </row>
    <row r="907" ht="12.75" customHeight="1">
      <c r="H907" s="5" t="n"/>
      <c r="I907" s="6" t="n"/>
      <c r="J907" s="1" t="n"/>
      <c r="K907" s="7" t="n"/>
      <c r="L907" s="7" t="n"/>
      <c r="M907" s="7" t="n"/>
    </row>
    <row r="908" ht="12.75" customHeight="1">
      <c r="H908" s="5" t="n"/>
      <c r="I908" s="6" t="n"/>
      <c r="J908" s="1" t="n"/>
      <c r="K908" s="7" t="n"/>
      <c r="L908" s="7" t="n"/>
      <c r="M908" s="7" t="n"/>
    </row>
    <row r="909" ht="12.75" customHeight="1">
      <c r="H909" s="5" t="n"/>
      <c r="I909" s="6" t="n"/>
      <c r="J909" s="1" t="n"/>
      <c r="K909" s="7" t="n"/>
      <c r="L909" s="7" t="n"/>
      <c r="M909" s="7" t="n"/>
    </row>
    <row r="910" ht="12.75" customHeight="1">
      <c r="H910" s="5" t="n"/>
      <c r="I910" s="6" t="n"/>
      <c r="J910" s="1" t="n"/>
      <c r="K910" s="7" t="n"/>
      <c r="L910" s="7" t="n"/>
      <c r="M910" s="7" t="n"/>
    </row>
    <row r="911" ht="12.75" customHeight="1">
      <c r="H911" s="5" t="n"/>
      <c r="I911" s="6" t="n"/>
      <c r="J911" s="1" t="n"/>
      <c r="K911" s="7" t="n"/>
      <c r="L911" s="7" t="n"/>
      <c r="M911" s="7" t="n"/>
    </row>
    <row r="912" ht="12.75" customHeight="1">
      <c r="H912" s="5" t="n"/>
      <c r="I912" s="6" t="n"/>
      <c r="J912" s="1" t="n"/>
      <c r="K912" s="7" t="n"/>
      <c r="L912" s="7" t="n"/>
      <c r="M912" s="7" t="n"/>
    </row>
    <row r="913" ht="12.75" customHeight="1">
      <c r="H913" s="5" t="n"/>
      <c r="I913" s="6" t="n"/>
      <c r="J913" s="1" t="n"/>
      <c r="K913" s="7" t="n"/>
      <c r="L913" s="7" t="n"/>
      <c r="M913" s="7" t="n"/>
    </row>
    <row r="914" ht="12.75" customHeight="1">
      <c r="H914" s="5" t="n"/>
      <c r="I914" s="6" t="n"/>
      <c r="J914" s="1" t="n"/>
      <c r="K914" s="7" t="n"/>
      <c r="L914" s="7" t="n"/>
      <c r="M914" s="7" t="n"/>
    </row>
    <row r="915" ht="12.75" customHeight="1">
      <c r="H915" s="5" t="n"/>
      <c r="I915" s="6" t="n"/>
      <c r="J915" s="1" t="n"/>
      <c r="K915" s="7" t="n"/>
      <c r="L915" s="7" t="n"/>
      <c r="M915" s="7" t="n"/>
    </row>
    <row r="916" ht="12.75" customHeight="1">
      <c r="H916" s="5" t="n"/>
      <c r="I916" s="6" t="n"/>
      <c r="J916" s="1" t="n"/>
      <c r="K916" s="7" t="n"/>
      <c r="L916" s="7" t="n"/>
      <c r="M916" s="7" t="n"/>
    </row>
    <row r="917" ht="12.75" customHeight="1">
      <c r="H917" s="5" t="n"/>
      <c r="I917" s="6" t="n"/>
      <c r="J917" s="1" t="n"/>
      <c r="K917" s="7" t="n"/>
      <c r="L917" s="7" t="n"/>
      <c r="M917" s="7" t="n"/>
    </row>
    <row r="918" ht="12.75" customHeight="1">
      <c r="H918" s="5" t="n"/>
      <c r="I918" s="6" t="n"/>
      <c r="J918" s="1" t="n"/>
      <c r="K918" s="7" t="n"/>
      <c r="L918" s="7" t="n"/>
      <c r="M918" s="7" t="n"/>
    </row>
    <row r="919" ht="12.75" customHeight="1">
      <c r="H919" s="5" t="n"/>
      <c r="I919" s="6" t="n"/>
      <c r="J919" s="1" t="n"/>
      <c r="K919" s="7" t="n"/>
      <c r="L919" s="7" t="n"/>
      <c r="M919" s="7" t="n"/>
    </row>
    <row r="920" ht="12.75" customHeight="1">
      <c r="H920" s="5" t="n"/>
      <c r="I920" s="6" t="n"/>
      <c r="J920" s="1" t="n"/>
      <c r="K920" s="7" t="n"/>
      <c r="L920" s="7" t="n"/>
      <c r="M920" s="7" t="n"/>
    </row>
    <row r="921" ht="12.75" customHeight="1">
      <c r="H921" s="5" t="n"/>
      <c r="I921" s="6" t="n"/>
      <c r="J921" s="1" t="n"/>
      <c r="K921" s="7" t="n"/>
      <c r="L921" s="7" t="n"/>
      <c r="M921" s="7" t="n"/>
    </row>
    <row r="922" ht="12.75" customHeight="1">
      <c r="H922" s="5" t="n"/>
      <c r="I922" s="6" t="n"/>
      <c r="J922" s="1" t="n"/>
      <c r="K922" s="7" t="n"/>
      <c r="L922" s="7" t="n"/>
      <c r="M922" s="7" t="n"/>
    </row>
    <row r="923" ht="12.75" customHeight="1">
      <c r="H923" s="5" t="n"/>
      <c r="I923" s="6" t="n"/>
      <c r="J923" s="1" t="n"/>
      <c r="K923" s="7" t="n"/>
      <c r="L923" s="7" t="n"/>
      <c r="M923" s="7" t="n"/>
    </row>
    <row r="924" ht="12.75" customHeight="1">
      <c r="H924" s="5" t="n"/>
      <c r="I924" s="6" t="n"/>
      <c r="J924" s="1" t="n"/>
      <c r="K924" s="7" t="n"/>
      <c r="L924" s="7" t="n"/>
      <c r="M924" s="7" t="n"/>
    </row>
    <row r="925" ht="12.75" customHeight="1">
      <c r="H925" s="5" t="n"/>
      <c r="I925" s="6" t="n"/>
      <c r="J925" s="1" t="n"/>
      <c r="K925" s="7" t="n"/>
      <c r="L925" s="7" t="n"/>
      <c r="M925" s="7" t="n"/>
    </row>
    <row r="926" ht="12.75" customHeight="1">
      <c r="H926" s="5" t="n"/>
      <c r="I926" s="6" t="n"/>
      <c r="J926" s="1" t="n"/>
      <c r="K926" s="7" t="n"/>
      <c r="L926" s="7" t="n"/>
      <c r="M926" s="7" t="n"/>
    </row>
    <row r="927" ht="12.75" customHeight="1">
      <c r="H927" s="5" t="n"/>
      <c r="I927" s="6" t="n"/>
      <c r="J927" s="1" t="n"/>
      <c r="K927" s="7" t="n"/>
      <c r="L927" s="7" t="n"/>
      <c r="M927" s="7" t="n"/>
    </row>
    <row r="928" ht="12.75" customHeight="1">
      <c r="H928" s="5" t="n"/>
      <c r="I928" s="6" t="n"/>
      <c r="J928" s="1" t="n"/>
      <c r="K928" s="7" t="n"/>
      <c r="L928" s="7" t="n"/>
      <c r="M928" s="7" t="n"/>
    </row>
    <row r="929" ht="12.75" customHeight="1">
      <c r="H929" s="5" t="n"/>
      <c r="I929" s="6" t="n"/>
      <c r="J929" s="1" t="n"/>
      <c r="K929" s="7" t="n"/>
      <c r="L929" s="7" t="n"/>
      <c r="M929" s="7" t="n"/>
    </row>
    <row r="930" ht="12.75" customHeight="1">
      <c r="H930" s="5" t="n"/>
      <c r="I930" s="6" t="n"/>
      <c r="J930" s="1" t="n"/>
      <c r="K930" s="7" t="n"/>
      <c r="L930" s="7" t="n"/>
      <c r="M930" s="7" t="n"/>
    </row>
    <row r="931" ht="12.75" customHeight="1">
      <c r="H931" s="5" t="n"/>
      <c r="I931" s="6" t="n"/>
      <c r="J931" s="1" t="n"/>
      <c r="K931" s="7" t="n"/>
      <c r="L931" s="7" t="n"/>
      <c r="M931" s="7" t="n"/>
    </row>
    <row r="932" ht="12.75" customHeight="1">
      <c r="H932" s="5" t="n"/>
      <c r="I932" s="6" t="n"/>
      <c r="J932" s="1" t="n"/>
      <c r="K932" s="7" t="n"/>
      <c r="L932" s="7" t="n"/>
      <c r="M932" s="7" t="n"/>
    </row>
    <row r="933" ht="12.75" customHeight="1">
      <c r="H933" s="5" t="n"/>
      <c r="I933" s="6" t="n"/>
      <c r="J933" s="1" t="n"/>
      <c r="K933" s="7" t="n"/>
      <c r="L933" s="7" t="n"/>
      <c r="M933" s="7" t="n"/>
    </row>
    <row r="934" ht="12.75" customHeight="1">
      <c r="H934" s="5" t="n"/>
      <c r="I934" s="6" t="n"/>
      <c r="J934" s="1" t="n"/>
      <c r="K934" s="7" t="n"/>
      <c r="L934" s="7" t="n"/>
      <c r="M934" s="7" t="n"/>
    </row>
    <row r="935" ht="12.75" customHeight="1">
      <c r="H935" s="5" t="n"/>
      <c r="I935" s="6" t="n"/>
      <c r="J935" s="1" t="n"/>
      <c r="K935" s="7" t="n"/>
      <c r="L935" s="7" t="n"/>
      <c r="M935" s="7" t="n"/>
    </row>
    <row r="936" ht="12.75" customHeight="1">
      <c r="H936" s="5" t="n"/>
      <c r="I936" s="6" t="n"/>
      <c r="J936" s="1" t="n"/>
      <c r="K936" s="7" t="n"/>
      <c r="L936" s="7" t="n"/>
      <c r="M936" s="7" t="n"/>
    </row>
    <row r="937" ht="12.75" customHeight="1">
      <c r="H937" s="5" t="n"/>
      <c r="I937" s="6" t="n"/>
      <c r="J937" s="1" t="n"/>
      <c r="K937" s="7" t="n"/>
      <c r="L937" s="7" t="n"/>
      <c r="M937" s="7" t="n"/>
    </row>
    <row r="938" ht="12.75" customHeight="1">
      <c r="H938" s="5" t="n"/>
      <c r="I938" s="6" t="n"/>
      <c r="J938" s="1" t="n"/>
      <c r="K938" s="7" t="n"/>
      <c r="L938" s="7" t="n"/>
      <c r="M938" s="7" t="n"/>
    </row>
    <row r="939" ht="12.75" customHeight="1">
      <c r="H939" s="5" t="n"/>
      <c r="I939" s="6" t="n"/>
      <c r="J939" s="1" t="n"/>
      <c r="K939" s="7" t="n"/>
      <c r="L939" s="7" t="n"/>
      <c r="M939" s="7" t="n"/>
    </row>
    <row r="940" ht="12.75" customHeight="1">
      <c r="H940" s="5" t="n"/>
      <c r="I940" s="6" t="n"/>
      <c r="J940" s="1" t="n"/>
      <c r="K940" s="7" t="n"/>
      <c r="L940" s="7" t="n"/>
      <c r="M940" s="7" t="n"/>
    </row>
    <row r="941" ht="12.75" customHeight="1">
      <c r="H941" s="5" t="n"/>
      <c r="I941" s="6" t="n"/>
      <c r="J941" s="1" t="n"/>
      <c r="K941" s="7" t="n"/>
      <c r="L941" s="7" t="n"/>
      <c r="M941" s="7" t="n"/>
    </row>
    <row r="942" ht="12.75" customHeight="1">
      <c r="H942" s="5" t="n"/>
      <c r="I942" s="6" t="n"/>
      <c r="J942" s="1" t="n"/>
      <c r="K942" s="7" t="n"/>
      <c r="L942" s="7" t="n"/>
      <c r="M942" s="7" t="n"/>
    </row>
    <row r="943" ht="12.75" customHeight="1">
      <c r="H943" s="5" t="n"/>
      <c r="I943" s="6" t="n"/>
      <c r="J943" s="1" t="n"/>
      <c r="K943" s="7" t="n"/>
      <c r="L943" s="7" t="n"/>
      <c r="M943" s="7" t="n"/>
    </row>
    <row r="944" ht="12.75" customHeight="1">
      <c r="H944" s="5" t="n"/>
      <c r="I944" s="6" t="n"/>
      <c r="J944" s="1" t="n"/>
      <c r="K944" s="7" t="n"/>
      <c r="L944" s="7" t="n"/>
      <c r="M944" s="7" t="n"/>
    </row>
    <row r="945" ht="12.75" customHeight="1">
      <c r="H945" s="5" t="n"/>
      <c r="I945" s="6" t="n"/>
      <c r="J945" s="1" t="n"/>
      <c r="K945" s="7" t="n"/>
      <c r="L945" s="7" t="n"/>
      <c r="M945" s="7" t="n"/>
    </row>
    <row r="946" ht="12.75" customHeight="1">
      <c r="H946" s="5" t="n"/>
      <c r="I946" s="6" t="n"/>
      <c r="J946" s="1" t="n"/>
      <c r="K946" s="7" t="n"/>
      <c r="L946" s="7" t="n"/>
      <c r="M946" s="7" t="n"/>
    </row>
    <row r="947" ht="12.75" customHeight="1">
      <c r="H947" s="5" t="n"/>
      <c r="I947" s="6" t="n"/>
      <c r="J947" s="1" t="n"/>
      <c r="K947" s="7" t="n"/>
      <c r="L947" s="7" t="n"/>
      <c r="M947" s="7" t="n"/>
    </row>
    <row r="948" ht="12.75" customHeight="1">
      <c r="H948" s="5" t="n"/>
      <c r="I948" s="6" t="n"/>
      <c r="J948" s="1" t="n"/>
      <c r="K948" s="7" t="n"/>
      <c r="L948" s="7" t="n"/>
      <c r="M948" s="7" t="n"/>
    </row>
    <row r="949" ht="12.75" customHeight="1">
      <c r="H949" s="5" t="n"/>
      <c r="I949" s="6" t="n"/>
      <c r="J949" s="1" t="n"/>
      <c r="K949" s="7" t="n"/>
      <c r="L949" s="7" t="n"/>
      <c r="M949" s="7" t="n"/>
    </row>
    <row r="950" ht="12.75" customHeight="1">
      <c r="H950" s="5" t="n"/>
      <c r="I950" s="6" t="n"/>
      <c r="J950" s="1" t="n"/>
      <c r="K950" s="7" t="n"/>
      <c r="L950" s="7" t="n"/>
      <c r="M950" s="7" t="n"/>
    </row>
    <row r="951" ht="12.75" customHeight="1">
      <c r="H951" s="5" t="n"/>
      <c r="I951" s="6" t="n"/>
      <c r="J951" s="1" t="n"/>
      <c r="K951" s="7" t="n"/>
      <c r="L951" s="7" t="n"/>
      <c r="M951" s="7" t="n"/>
    </row>
    <row r="952" ht="12.75" customHeight="1">
      <c r="H952" s="5" t="n"/>
      <c r="I952" s="6" t="n"/>
      <c r="J952" s="1" t="n"/>
      <c r="K952" s="7" t="n"/>
      <c r="L952" s="7" t="n"/>
      <c r="M952" s="7" t="n"/>
    </row>
    <row r="953" ht="12.75" customHeight="1">
      <c r="H953" s="5" t="n"/>
      <c r="I953" s="6" t="n"/>
      <c r="J953" s="1" t="n"/>
      <c r="K953" s="7" t="n"/>
      <c r="L953" s="7" t="n"/>
      <c r="M953" s="7" t="n"/>
    </row>
    <row r="954" ht="12.75" customHeight="1">
      <c r="H954" s="5" t="n"/>
      <c r="I954" s="6" t="n"/>
      <c r="J954" s="1" t="n"/>
      <c r="K954" s="7" t="n"/>
      <c r="L954" s="7" t="n"/>
      <c r="M954" s="7" t="n"/>
    </row>
    <row r="955" ht="12.75" customHeight="1">
      <c r="H955" s="5" t="n"/>
      <c r="I955" s="6" t="n"/>
      <c r="J955" s="1" t="n"/>
      <c r="K955" s="7" t="n"/>
      <c r="L955" s="7" t="n"/>
      <c r="M955" s="7" t="n"/>
    </row>
    <row r="956" ht="12.75" customHeight="1">
      <c r="H956" s="5" t="n"/>
      <c r="I956" s="6" t="n"/>
      <c r="J956" s="1" t="n"/>
      <c r="K956" s="7" t="n"/>
      <c r="L956" s="7" t="n"/>
      <c r="M956" s="7" t="n"/>
    </row>
    <row r="957" ht="12.75" customHeight="1">
      <c r="H957" s="5" t="n"/>
      <c r="I957" s="6" t="n"/>
      <c r="J957" s="1" t="n"/>
      <c r="K957" s="7" t="n"/>
      <c r="L957" s="7" t="n"/>
      <c r="M957" s="7" t="n"/>
    </row>
    <row r="958" ht="12.75" customHeight="1">
      <c r="H958" s="5" t="n"/>
      <c r="I958" s="6" t="n"/>
      <c r="J958" s="1" t="n"/>
      <c r="K958" s="7" t="n"/>
      <c r="L958" s="7" t="n"/>
      <c r="M958" s="7" t="n"/>
    </row>
    <row r="959" ht="12.75" customHeight="1">
      <c r="H959" s="5" t="n"/>
      <c r="I959" s="6" t="n"/>
      <c r="J959" s="1" t="n"/>
      <c r="K959" s="7" t="n"/>
      <c r="L959" s="7" t="n"/>
      <c r="M959" s="7" t="n"/>
    </row>
    <row r="960" ht="12.75" customHeight="1">
      <c r="H960" s="5" t="n"/>
      <c r="I960" s="6" t="n"/>
      <c r="J960" s="1" t="n"/>
      <c r="K960" s="7" t="n"/>
      <c r="L960" s="7" t="n"/>
      <c r="M960" s="7" t="n"/>
    </row>
    <row r="961" ht="12.75" customHeight="1">
      <c r="H961" s="5" t="n"/>
      <c r="I961" s="6" t="n"/>
      <c r="J961" s="1" t="n"/>
      <c r="K961" s="7" t="n"/>
      <c r="L961" s="7" t="n"/>
      <c r="M961" s="7" t="n"/>
    </row>
    <row r="962" ht="12.75" customHeight="1">
      <c r="H962" s="5" t="n"/>
      <c r="I962" s="6" t="n"/>
      <c r="J962" s="1" t="n"/>
      <c r="K962" s="7" t="n"/>
      <c r="L962" s="7" t="n"/>
      <c r="M962" s="7" t="n"/>
    </row>
    <row r="963" ht="12.75" customHeight="1">
      <c r="H963" s="5" t="n"/>
      <c r="I963" s="6" t="n"/>
      <c r="J963" s="1" t="n"/>
      <c r="K963" s="7" t="n"/>
      <c r="L963" s="7" t="n"/>
      <c r="M963" s="7" t="n"/>
    </row>
    <row r="964" ht="12.75" customHeight="1">
      <c r="H964" s="5" t="n"/>
      <c r="I964" s="6" t="n"/>
      <c r="J964" s="1" t="n"/>
      <c r="K964" s="7" t="n"/>
      <c r="L964" s="7" t="n"/>
      <c r="M964" s="7" t="n"/>
    </row>
    <row r="965" ht="12.75" customHeight="1">
      <c r="H965" s="5" t="n"/>
      <c r="I965" s="6" t="n"/>
      <c r="J965" s="1" t="n"/>
      <c r="K965" s="7" t="n"/>
      <c r="L965" s="7" t="n"/>
      <c r="M965" s="7" t="n"/>
    </row>
    <row r="966" ht="12.75" customHeight="1">
      <c r="H966" s="5" t="n"/>
      <c r="I966" s="6" t="n"/>
      <c r="J966" s="1" t="n"/>
      <c r="K966" s="7" t="n"/>
      <c r="L966" s="7" t="n"/>
      <c r="M966" s="7" t="n"/>
    </row>
    <row r="967" ht="12.75" customHeight="1">
      <c r="H967" s="5" t="n"/>
      <c r="I967" s="6" t="n"/>
      <c r="J967" s="1" t="n"/>
      <c r="K967" s="7" t="n"/>
      <c r="L967" s="7" t="n"/>
      <c r="M967" s="7" t="n"/>
    </row>
    <row r="968" ht="12.75" customHeight="1">
      <c r="H968" s="5" t="n"/>
      <c r="I968" s="6" t="n"/>
      <c r="J968" s="1" t="n"/>
      <c r="K968" s="7" t="n"/>
      <c r="L968" s="7" t="n"/>
      <c r="M968" s="7" t="n"/>
    </row>
    <row r="969" ht="12.75" customHeight="1">
      <c r="H969" s="5" t="n"/>
      <c r="I969" s="6" t="n"/>
      <c r="J969" s="1" t="n"/>
      <c r="K969" s="7" t="n"/>
      <c r="L969" s="7" t="n"/>
      <c r="M969" s="7" t="n"/>
    </row>
    <row r="970" ht="12.75" customHeight="1">
      <c r="H970" s="5" t="n"/>
      <c r="I970" s="6" t="n"/>
      <c r="J970" s="1" t="n"/>
      <c r="K970" s="7" t="n"/>
      <c r="L970" s="7" t="n"/>
      <c r="M970" s="7" t="n"/>
    </row>
    <row r="971" ht="12.75" customHeight="1">
      <c r="H971" s="5" t="n"/>
      <c r="I971" s="6" t="n"/>
      <c r="J971" s="1" t="n"/>
      <c r="K971" s="7" t="n"/>
      <c r="L971" s="7" t="n"/>
      <c r="M971" s="7" t="n"/>
    </row>
    <row r="972" ht="12.75" customHeight="1">
      <c r="H972" s="5" t="n"/>
      <c r="I972" s="6" t="n"/>
      <c r="J972" s="1" t="n"/>
      <c r="K972" s="7" t="n"/>
      <c r="L972" s="7" t="n"/>
      <c r="M972" s="7" t="n"/>
    </row>
    <row r="973" ht="12.75" customHeight="1">
      <c r="H973" s="6" t="n"/>
      <c r="I973" s="6" t="n"/>
      <c r="J973" s="1" t="n"/>
      <c r="K973" s="7" t="n"/>
      <c r="L973" s="7" t="n"/>
      <c r="M973" s="7" t="n"/>
    </row>
    <row r="974" ht="12.75" customHeight="1">
      <c r="H974" s="6" t="n"/>
      <c r="I974" s="6" t="n"/>
      <c r="J974" s="1" t="n"/>
      <c r="K974" s="7" t="n"/>
      <c r="L974" s="7" t="n"/>
      <c r="M974" s="7" t="n"/>
    </row>
    <row r="975" ht="12.75" customHeight="1">
      <c r="H975" s="6" t="n"/>
      <c r="I975" s="6" t="n"/>
      <c r="J975" s="1" t="n"/>
      <c r="K975" s="7" t="n"/>
      <c r="L975" s="7" t="n"/>
      <c r="M975" s="7" t="n"/>
    </row>
    <row r="976" ht="12.75" customHeight="1">
      <c r="H976" s="6" t="n"/>
      <c r="I976" s="6" t="n"/>
      <c r="J976" s="1" t="n"/>
      <c r="K976" s="7" t="n"/>
      <c r="L976" s="7" t="n"/>
      <c r="M976" s="7" t="n"/>
    </row>
    <row r="977" ht="12.75" customHeight="1">
      <c r="H977" s="6" t="n"/>
      <c r="I977" s="6" t="n"/>
      <c r="J977" s="1" t="n"/>
      <c r="K977" s="7" t="n"/>
      <c r="L977" s="7" t="n"/>
      <c r="M977" s="7" t="n"/>
    </row>
    <row r="978" ht="12.75" customHeight="1">
      <c r="H978" s="6" t="n"/>
      <c r="I978" s="6" t="n"/>
      <c r="J978" s="1" t="n"/>
      <c r="K978" s="7" t="n"/>
      <c r="L978" s="7" t="n"/>
      <c r="M978" s="7" t="n"/>
    </row>
    <row r="979" ht="12.75" customHeight="1">
      <c r="H979" s="6" t="n"/>
      <c r="I979" s="6" t="n"/>
      <c r="J979" s="1" t="n"/>
      <c r="K979" s="7" t="n"/>
      <c r="L979" s="7" t="n"/>
      <c r="M979" s="7" t="n"/>
    </row>
    <row r="980" ht="12.75" customHeight="1">
      <c r="H980" s="6" t="n"/>
      <c r="I980" s="6" t="n"/>
      <c r="J980" s="1" t="n"/>
      <c r="K980" s="7" t="n"/>
      <c r="L980" s="7" t="n"/>
      <c r="M980" s="7" t="n"/>
    </row>
    <row r="981" ht="12.75" customHeight="1">
      <c r="H981" s="6" t="n"/>
      <c r="I981" s="6" t="n"/>
      <c r="J981" s="1" t="n"/>
      <c r="K981" s="7" t="n"/>
      <c r="L981" s="7" t="n"/>
      <c r="M981" s="7" t="n"/>
    </row>
    <row r="982" ht="12.75" customHeight="1">
      <c r="H982" s="6" t="n"/>
      <c r="I982" s="6" t="n"/>
      <c r="J982" s="1" t="n"/>
      <c r="K982" s="7" t="n"/>
      <c r="L982" s="7" t="n"/>
      <c r="M982" s="7" t="n"/>
    </row>
    <row r="983" ht="12.75" customHeight="1">
      <c r="H983" s="6" t="n"/>
      <c r="I983" s="6" t="n"/>
      <c r="J983" s="1" t="n"/>
      <c r="K983" s="7" t="n"/>
      <c r="L983" s="7" t="n"/>
      <c r="M983" s="7" t="n"/>
    </row>
    <row r="984" ht="12.75" customHeight="1">
      <c r="H984" s="6" t="n"/>
      <c r="I984" s="6" t="n"/>
      <c r="J984" s="1" t="n"/>
      <c r="K984" s="7" t="n"/>
      <c r="L984" s="7" t="n"/>
      <c r="M984" s="7" t="n"/>
    </row>
    <row r="985" ht="12.75" customHeight="1">
      <c r="H985" s="6" t="n"/>
      <c r="I985" s="6" t="n"/>
      <c r="J985" s="1" t="n"/>
      <c r="K985" s="7" t="n"/>
      <c r="L985" s="7" t="n"/>
      <c r="M985" s="7" t="n"/>
    </row>
    <row r="986" ht="12.75" customHeight="1">
      <c r="H986" s="6" t="n"/>
      <c r="I986" s="6" t="n"/>
      <c r="J986" s="1" t="n"/>
      <c r="K986" s="7" t="n"/>
      <c r="L986" s="7" t="n"/>
      <c r="M986" s="7" t="n"/>
    </row>
    <row r="987" ht="12.75" customHeight="1">
      <c r="H987" s="6" t="n"/>
      <c r="I987" s="6" t="n"/>
      <c r="J987" s="1" t="n"/>
      <c r="K987" s="7" t="n"/>
      <c r="L987" s="7" t="n"/>
      <c r="M987" s="7" t="n"/>
    </row>
    <row r="988" ht="12.75" customHeight="1">
      <c r="H988" s="6" t="n"/>
      <c r="I988" s="6" t="n"/>
      <c r="J988" s="1" t="n"/>
      <c r="K988" s="7" t="n"/>
      <c r="L988" s="7" t="n"/>
      <c r="M988" s="7" t="n"/>
    </row>
    <row r="989" ht="12.75" customHeight="1">
      <c r="H989" s="6" t="n"/>
      <c r="I989" s="6" t="n"/>
      <c r="J989" s="1" t="n"/>
      <c r="K989" s="7" t="n"/>
      <c r="L989" s="7" t="n"/>
      <c r="M989" s="7" t="n"/>
    </row>
    <row r="990" ht="12.75" customHeight="1">
      <c r="H990" s="6" t="n"/>
      <c r="I990" s="6" t="n"/>
      <c r="J990" s="1" t="n"/>
      <c r="K990" s="7" t="n"/>
      <c r="L990" s="7" t="n"/>
      <c r="M990" s="7" t="n"/>
    </row>
    <row r="991" ht="12.75" customHeight="1">
      <c r="H991" s="6" t="n"/>
      <c r="I991" s="6" t="n"/>
      <c r="J991" s="1" t="n"/>
      <c r="K991" s="7" t="n"/>
      <c r="L991" s="7" t="n"/>
      <c r="M991" s="7" t="n"/>
    </row>
    <row r="992" ht="12.75" customHeight="1">
      <c r="H992" s="6" t="n"/>
      <c r="I992" s="6" t="n"/>
      <c r="J992" s="1" t="n"/>
      <c r="K992" s="7" t="n"/>
      <c r="L992" s="7" t="n"/>
      <c r="M992" s="7" t="n"/>
    </row>
    <row r="993" ht="12.75" customHeight="1">
      <c r="H993" s="5" t="n"/>
      <c r="I993" s="6" t="n"/>
      <c r="J993" s="1" t="n"/>
      <c r="K993" s="7" t="n"/>
      <c r="L993" s="7" t="n"/>
      <c r="M993" s="7" t="n"/>
    </row>
    <row r="994" ht="12.75" customHeight="1">
      <c r="H994" s="5" t="n"/>
      <c r="I994" s="6" t="n"/>
      <c r="J994" s="1" t="n"/>
      <c r="K994" s="7" t="n"/>
      <c r="L994" s="7" t="n"/>
      <c r="M994" s="7" t="n"/>
    </row>
    <row r="995" ht="12.75" customHeight="1">
      <c r="H995" s="5" t="n"/>
      <c r="I995" s="6" t="n"/>
      <c r="J995" s="1" t="n"/>
      <c r="K995" s="7" t="n"/>
      <c r="L995" s="7" t="n"/>
      <c r="M995" s="7" t="n"/>
    </row>
    <row r="996" ht="12.75" customHeight="1">
      <c r="H996" s="5" t="n"/>
      <c r="I996" s="6" t="n"/>
      <c r="J996" s="1" t="n"/>
      <c r="K996" s="7" t="n"/>
      <c r="L996" s="7" t="n"/>
      <c r="M996" s="7" t="n"/>
    </row>
    <row r="997" ht="12.75" customHeight="1">
      <c r="H997" s="5" t="n"/>
      <c r="I997" s="6" t="n"/>
      <c r="J997" s="1" t="n"/>
      <c r="K997" s="7" t="n"/>
      <c r="L997" s="7" t="n"/>
      <c r="M997" s="7" t="n"/>
    </row>
    <row r="998" ht="12.75" customHeight="1">
      <c r="H998" s="5" t="n"/>
      <c r="I998" s="6" t="n"/>
      <c r="J998" s="1" t="n"/>
      <c r="K998" s="7" t="n"/>
      <c r="L998" s="7" t="n"/>
      <c r="M998" s="7" t="n"/>
    </row>
    <row r="999" ht="12.75" customHeight="1">
      <c r="H999" s="5" t="n"/>
      <c r="I999" s="6" t="n"/>
      <c r="J999" s="1" t="n"/>
      <c r="K999" s="7" t="n"/>
      <c r="L999" s="7" t="n"/>
      <c r="M999" s="7" t="n"/>
    </row>
    <row r="1000" ht="12.75" customHeight="1">
      <c r="H1000" s="5" t="n"/>
      <c r="I1000" s="6" t="n"/>
      <c r="J1000" s="1" t="n"/>
      <c r="K1000" s="7" t="n"/>
      <c r="L1000" s="7" t="n"/>
      <c r="M1000" s="7" t="n"/>
    </row>
    <row r="1001" ht="12.75" customHeight="1">
      <c r="H1001" s="5" t="n"/>
      <c r="I1001" s="6" t="n"/>
      <c r="J1001" s="1" t="n"/>
      <c r="K1001" s="7" t="n"/>
      <c r="L1001" s="7" t="n"/>
      <c r="M1001" s="7" t="n"/>
    </row>
    <row r="1002" ht="12.75" customHeight="1">
      <c r="H1002" s="5" t="n"/>
      <c r="I1002" s="6" t="n"/>
      <c r="J1002" s="1" t="n"/>
      <c r="K1002" s="7" t="n"/>
      <c r="L1002" s="7" t="n"/>
      <c r="M1002" s="7" t="n"/>
    </row>
    <row r="1003" ht="12.75" customHeight="1">
      <c r="I1003" s="6" t="n"/>
      <c r="J1003" s="1" t="n"/>
      <c r="K1003" s="7" t="n"/>
      <c r="L1003" s="7" t="n"/>
      <c r="M1003" s="7" t="n"/>
    </row>
    <row r="1004" ht="12.75" customHeight="1">
      <c r="I1004" s="6" t="n"/>
      <c r="J1004" s="1" t="n"/>
      <c r="K1004" s="7" t="n"/>
      <c r="L1004" s="7" t="n"/>
      <c r="M1004" s="7" t="n"/>
    </row>
    <row r="1005" ht="12.75" customHeight="1">
      <c r="I1005" s="6" t="n"/>
      <c r="J1005" s="1" t="n"/>
      <c r="K1005" s="7" t="n"/>
      <c r="L1005" s="7" t="n"/>
      <c r="M1005" s="7" t="n"/>
    </row>
    <row r="1006" ht="12.75" customHeight="1">
      <c r="I1006" s="6" t="n"/>
      <c r="J1006" s="1" t="n"/>
      <c r="K1006" s="7" t="n"/>
      <c r="L1006" s="7" t="n"/>
      <c r="M1006" s="7" t="n"/>
    </row>
    <row r="1007" ht="12.75" customHeight="1">
      <c r="I1007" s="6" t="n"/>
      <c r="J1007" s="1" t="n"/>
      <c r="K1007" s="7" t="n"/>
      <c r="L1007" s="7" t="n"/>
      <c r="M1007" s="7" t="n"/>
    </row>
    <row r="1008" ht="12.75" customHeight="1">
      <c r="I1008" s="6" t="n"/>
      <c r="J1008" s="1" t="n"/>
      <c r="K1008" s="7" t="n"/>
      <c r="L1008" s="7" t="n"/>
      <c r="M1008" s="7" t="n"/>
    </row>
    <row r="1009" ht="12.75" customHeight="1">
      <c r="I1009" s="6" t="n"/>
      <c r="J1009" s="1" t="n"/>
      <c r="K1009" s="7" t="n"/>
      <c r="L1009" s="7" t="n"/>
      <c r="M1009" s="7" t="n"/>
    </row>
    <row r="1010" ht="12.75" customHeight="1">
      <c r="I1010" s="6" t="n"/>
      <c r="J1010" s="1" t="n"/>
      <c r="K1010" s="7" t="n"/>
      <c r="L1010" s="7" t="n"/>
      <c r="M1010" s="7" t="n"/>
    </row>
    <row r="1011" ht="12.75" customHeight="1">
      <c r="I1011" s="6" t="n"/>
      <c r="J1011" s="1" t="n"/>
      <c r="K1011" s="7" t="n"/>
      <c r="L1011" s="7" t="n"/>
      <c r="M1011" s="7" t="n"/>
    </row>
    <row r="1012" ht="12.75" customHeight="1">
      <c r="I1012" s="6" t="n"/>
      <c r="J1012" s="1" t="n"/>
      <c r="K1012" s="7" t="n"/>
      <c r="L1012" s="7" t="n"/>
      <c r="M1012" s="7" t="n"/>
    </row>
    <row r="1013" ht="12.75" customHeight="1">
      <c r="I1013" s="6" t="n"/>
      <c r="J1013" s="1" t="n"/>
      <c r="K1013" s="7" t="n"/>
      <c r="L1013" s="7" t="n"/>
      <c r="M1013" s="7" t="n"/>
    </row>
    <row r="1014" ht="12.75" customHeight="1">
      <c r="I1014" s="6" t="n"/>
      <c r="J1014" s="1" t="n"/>
      <c r="K1014" s="7" t="n"/>
      <c r="L1014" s="7" t="n"/>
      <c r="M1014" s="7" t="n"/>
    </row>
    <row r="1015" ht="12.75" customHeight="1">
      <c r="I1015" s="6" t="n"/>
      <c r="J1015" s="1" t="n"/>
      <c r="K1015" s="7" t="n"/>
      <c r="L1015" s="7" t="n"/>
      <c r="M1015" s="7" t="n"/>
    </row>
    <row r="1016" ht="12.75" customHeight="1">
      <c r="I1016" s="6" t="n"/>
      <c r="J1016" s="1" t="n"/>
      <c r="K1016" s="7" t="n"/>
      <c r="L1016" s="7" t="n"/>
      <c r="M1016" s="7" t="n"/>
    </row>
    <row r="1017" ht="12.75" customHeight="1">
      <c r="I1017" s="6" t="n"/>
      <c r="J1017" s="1" t="n"/>
      <c r="K1017" s="7" t="n"/>
      <c r="L1017" s="7" t="n"/>
      <c r="M1017" s="7" t="n"/>
    </row>
    <row r="1018" ht="12.75" customHeight="1">
      <c r="I1018" s="6" t="n"/>
      <c r="J1018" s="1" t="n"/>
      <c r="K1018" s="7" t="n"/>
      <c r="L1018" s="7" t="n"/>
      <c r="M1018" s="7" t="n"/>
    </row>
    <row r="1019" ht="12.75" customHeight="1">
      <c r="I1019" s="6" t="n"/>
      <c r="J1019" s="1" t="n"/>
      <c r="K1019" s="7" t="n"/>
      <c r="L1019" s="7" t="n"/>
      <c r="M1019" s="7" t="n"/>
    </row>
    <row r="1020" ht="12.75" customHeight="1">
      <c r="I1020" s="6" t="n"/>
      <c r="J1020" s="1" t="n"/>
      <c r="K1020" s="7" t="n"/>
      <c r="L1020" s="7" t="n"/>
      <c r="M1020" s="7" t="n"/>
    </row>
    <row r="1021" ht="12.75" customHeight="1">
      <c r="I1021" s="6" t="n"/>
      <c r="J1021" s="1" t="n"/>
      <c r="K1021" s="7" t="n"/>
      <c r="L1021" s="7" t="n"/>
      <c r="M1021" s="7" t="n"/>
    </row>
    <row r="1022" ht="12.75" customHeight="1">
      <c r="I1022" s="6" t="n"/>
      <c r="J1022" s="1" t="n"/>
      <c r="K1022" s="7" t="n"/>
      <c r="L1022" s="7" t="n"/>
      <c r="M1022" s="7" t="n"/>
    </row>
    <row r="1023" ht="12.75" customHeight="1">
      <c r="I1023" s="6" t="n"/>
      <c r="J1023" s="1" t="n"/>
      <c r="K1023" s="7" t="n"/>
      <c r="L1023" s="7" t="n"/>
      <c r="M1023" s="7" t="n"/>
    </row>
    <row r="1024" ht="12.75" customHeight="1">
      <c r="I1024" s="6" t="n"/>
      <c r="J1024" s="1" t="n"/>
      <c r="K1024" s="7" t="n"/>
      <c r="L1024" s="7" t="n"/>
      <c r="M1024" s="7" t="n"/>
    </row>
    <row r="1025" ht="12.75" customHeight="1">
      <c r="I1025" s="6" t="n"/>
      <c r="J1025" s="1" t="n"/>
      <c r="K1025" s="7" t="n"/>
      <c r="L1025" s="7" t="n"/>
      <c r="M1025" s="7" t="n"/>
    </row>
    <row r="1026" ht="12.75" customHeight="1">
      <c r="I1026" s="6" t="n"/>
      <c r="J1026" s="1" t="n"/>
      <c r="K1026" s="7" t="n"/>
      <c r="L1026" s="7" t="n"/>
      <c r="M1026" s="7" t="n"/>
    </row>
    <row r="1027" ht="12.75" customHeight="1">
      <c r="I1027" s="6" t="n"/>
      <c r="J1027" s="1" t="n"/>
      <c r="K1027" s="7" t="n"/>
      <c r="L1027" s="7" t="n"/>
      <c r="M1027" s="7" t="n"/>
    </row>
    <row r="1028" ht="12.75" customHeight="1">
      <c r="I1028" s="6" t="n"/>
      <c r="J1028" s="1" t="n"/>
      <c r="K1028" s="7" t="n"/>
      <c r="L1028" s="7" t="n"/>
      <c r="M1028" s="7" t="n"/>
    </row>
    <row r="1029" ht="12.75" customHeight="1">
      <c r="I1029" s="6" t="n"/>
      <c r="J1029" s="1" t="n"/>
      <c r="K1029" s="7" t="n"/>
      <c r="L1029" s="7" t="n"/>
      <c r="M1029" s="7" t="n"/>
    </row>
    <row r="1030" ht="12.75" customHeight="1">
      <c r="I1030" s="6" t="n"/>
      <c r="J1030" s="1" t="n"/>
      <c r="K1030" s="7" t="n"/>
      <c r="L1030" s="7" t="n"/>
      <c r="M1030" s="7" t="n"/>
    </row>
    <row r="1031" ht="12.75" customHeight="1">
      <c r="I1031" s="6" t="n"/>
      <c r="J1031" s="1" t="n"/>
      <c r="K1031" s="7" t="n"/>
      <c r="L1031" s="7" t="n"/>
      <c r="M1031" s="7" t="n"/>
    </row>
    <row r="1032" ht="12.75" customHeight="1">
      <c r="I1032" s="6" t="n"/>
      <c r="J1032" s="1" t="n"/>
      <c r="K1032" s="7" t="n"/>
      <c r="L1032" s="7" t="n"/>
      <c r="M1032" s="7" t="n"/>
    </row>
    <row r="1033" ht="12.75" customHeight="1">
      <c r="I1033" s="6" t="n"/>
      <c r="J1033" s="1" t="n"/>
      <c r="K1033" s="7" t="n"/>
      <c r="L1033" s="7" t="n"/>
      <c r="M1033" s="7" t="n"/>
    </row>
    <row r="1034" ht="12.75" customHeight="1">
      <c r="I1034" s="6" t="n"/>
      <c r="J1034" s="1" t="n"/>
      <c r="K1034" s="7" t="n"/>
      <c r="L1034" s="7" t="n"/>
      <c r="M1034" s="7" t="n"/>
    </row>
    <row r="1035" ht="12.75" customHeight="1">
      <c r="I1035" s="6" t="n"/>
      <c r="J1035" s="1" t="n"/>
      <c r="K1035" s="7" t="n"/>
      <c r="L1035" s="7" t="n"/>
      <c r="M1035" s="7" t="n"/>
    </row>
    <row r="1036" ht="12.75" customHeight="1">
      <c r="I1036" s="6" t="n"/>
      <c r="J1036" s="1" t="n"/>
      <c r="K1036" s="7" t="n"/>
      <c r="L1036" s="7" t="n"/>
      <c r="M1036" s="7" t="n"/>
    </row>
    <row r="1037" ht="12.75" customHeight="1">
      <c r="I1037" s="6" t="n"/>
      <c r="J1037" s="1" t="n"/>
      <c r="K1037" s="7" t="n"/>
      <c r="L1037" s="7" t="n"/>
      <c r="M1037" s="7" t="n"/>
    </row>
    <row r="1038" ht="12.75" customHeight="1">
      <c r="I1038" s="6" t="n"/>
      <c r="J1038" s="1" t="n"/>
      <c r="K1038" s="7" t="n"/>
      <c r="L1038" s="7" t="n"/>
      <c r="M1038" s="7" t="n"/>
    </row>
    <row r="1039" ht="12.75" customHeight="1">
      <c r="I1039" s="6" t="n"/>
      <c r="J1039" s="1" t="n"/>
      <c r="K1039" s="7" t="n"/>
      <c r="L1039" s="7" t="n"/>
      <c r="M1039" s="7" t="n"/>
    </row>
    <row r="1040" ht="12.75" customHeight="1">
      <c r="I1040" s="6" t="n"/>
      <c r="J1040" s="1" t="n"/>
      <c r="K1040" s="7" t="n"/>
      <c r="L1040" s="7" t="n"/>
      <c r="M1040" s="7" t="n"/>
    </row>
    <row r="1041" ht="12.75" customHeight="1">
      <c r="I1041" s="1" t="n"/>
      <c r="J1041" s="7" t="n"/>
      <c r="K1041" s="7" t="n"/>
      <c r="L1041" s="7" t="n"/>
      <c r="M1041" s="7" t="n"/>
    </row>
    <row r="1042" ht="12.75" customHeight="1">
      <c r="I1042" s="1" t="n"/>
      <c r="J1042" s="7" t="n"/>
      <c r="K1042" s="7" t="n"/>
      <c r="L1042" s="7" t="n"/>
      <c r="M1042" s="7" t="n"/>
    </row>
    <row r="1043" ht="12.75" customHeight="1">
      <c r="I1043" s="1" t="n"/>
      <c r="J1043" s="7" t="n"/>
      <c r="K1043" s="7" t="n"/>
      <c r="L1043" s="7" t="n"/>
      <c r="M1043" s="7" t="n"/>
    </row>
    <row r="1044" ht="12.75" customHeight="1">
      <c r="I1044" s="1" t="n"/>
      <c r="J1044" s="7" t="n"/>
      <c r="K1044" s="7" t="n"/>
      <c r="L1044" s="7" t="n"/>
      <c r="M1044" s="7" t="n"/>
    </row>
    <row r="1045" ht="12.75" customHeight="1">
      <c r="I1045" s="1" t="n"/>
      <c r="J1045" s="7" t="n"/>
      <c r="K1045" s="7" t="n"/>
      <c r="L1045" s="7" t="n"/>
      <c r="M1045" s="7" t="n"/>
    </row>
    <row r="1046" ht="12.75" customHeight="1">
      <c r="I1046" s="1" t="n"/>
      <c r="J1046" s="7" t="n"/>
      <c r="K1046" s="7" t="n"/>
      <c r="L1046" s="7" t="n"/>
      <c r="M1046" s="7" t="n"/>
    </row>
    <row r="1047" ht="12.75" customHeight="1">
      <c r="I1047" s="1" t="n"/>
      <c r="J1047" s="7" t="n"/>
      <c r="K1047" s="7" t="n"/>
      <c r="L1047" s="7" t="n"/>
      <c r="M1047" s="7" t="n"/>
    </row>
    <row r="1048" ht="12.75" customHeight="1">
      <c r="I1048" s="1" t="n"/>
      <c r="J1048" s="7" t="n"/>
      <c r="K1048" s="7" t="n"/>
      <c r="L1048" s="7" t="n"/>
      <c r="M1048" s="7" t="n"/>
    </row>
    <row r="1049" ht="12.75" customHeight="1">
      <c r="I1049" s="1" t="n"/>
      <c r="J1049" s="7" t="n"/>
      <c r="K1049" s="7" t="n"/>
      <c r="L1049" s="7" t="n"/>
      <c r="M1049" s="7" t="n"/>
    </row>
    <row r="1050" ht="12.75" customHeight="1">
      <c r="I1050" s="1" t="n"/>
      <c r="J1050" s="7" t="n"/>
      <c r="K1050" s="7" t="n"/>
      <c r="L1050" s="7" t="n"/>
      <c r="M1050" s="7" t="n"/>
    </row>
    <row r="1051" ht="12.75" customHeight="1">
      <c r="I1051" s="1" t="n"/>
      <c r="J1051" s="7" t="n"/>
      <c r="K1051" s="7" t="n"/>
      <c r="L1051" s="7" t="n"/>
      <c r="M1051" s="7" t="n"/>
    </row>
    <row r="1052" ht="12.75" customHeight="1">
      <c r="I1052" s="1" t="n"/>
      <c r="J1052" s="7" t="n"/>
      <c r="K1052" s="7" t="n"/>
      <c r="L1052" s="7" t="n"/>
      <c r="M1052" s="7" t="n"/>
    </row>
    <row r="1053" ht="12.75" customHeight="1">
      <c r="I1053" s="1" t="n"/>
      <c r="J1053" s="7" t="n"/>
      <c r="K1053" s="7" t="n"/>
      <c r="L1053" s="7" t="n"/>
      <c r="M1053" s="7" t="n"/>
    </row>
    <row r="1054" ht="12.75" customHeight="1">
      <c r="I1054" s="1" t="n"/>
      <c r="J1054" s="7" t="n"/>
      <c r="K1054" s="7" t="n"/>
      <c r="L1054" s="7" t="n"/>
      <c r="M1054" s="7" t="n"/>
    </row>
    <row r="1055" ht="12.75" customHeight="1">
      <c r="I1055" s="1" t="n"/>
      <c r="J1055" s="7" t="n"/>
      <c r="K1055" s="7" t="n"/>
      <c r="L1055" s="7" t="n"/>
      <c r="M1055" s="7" t="n"/>
    </row>
    <row r="1056" ht="12.75" customHeight="1">
      <c r="I1056" s="1" t="n"/>
      <c r="J1056" s="7" t="n"/>
      <c r="K1056" s="7" t="n"/>
      <c r="L1056" s="7" t="n"/>
      <c r="M1056" s="7" t="n"/>
    </row>
    <row r="1057" ht="12.75" customHeight="1">
      <c r="I1057" s="1" t="n"/>
      <c r="J1057" s="7" t="n"/>
      <c r="K1057" s="7" t="n"/>
      <c r="L1057" s="7" t="n"/>
      <c r="M1057" s="7" t="n"/>
    </row>
    <row r="1058" ht="12.75" customHeight="1">
      <c r="I1058" s="1" t="n"/>
      <c r="J1058" s="7" t="n"/>
      <c r="K1058" s="7" t="n"/>
      <c r="L1058" s="7" t="n"/>
      <c r="M1058" s="7" t="n"/>
    </row>
    <row r="1059" ht="12.75" customHeight="1">
      <c r="I1059" s="1" t="n"/>
      <c r="J1059" s="7" t="n"/>
      <c r="K1059" s="7" t="n"/>
      <c r="L1059" s="7" t="n"/>
      <c r="M1059" s="7" t="n"/>
    </row>
    <row r="1060" ht="12.75" customHeight="1">
      <c r="I1060" s="1" t="n"/>
      <c r="J1060" s="7" t="n"/>
      <c r="K1060" s="7" t="n"/>
      <c r="L1060" s="7" t="n"/>
      <c r="M1060" s="7" t="n"/>
    </row>
    <row r="1061" ht="12.75" customHeight="1">
      <c r="I1061" s="6" t="n"/>
      <c r="J1061" s="1" t="n"/>
      <c r="K1061" s="7" t="n"/>
      <c r="L1061" s="7" t="n"/>
      <c r="M1061" s="7" t="n"/>
    </row>
    <row r="1062" ht="12.75" customHeight="1">
      <c r="I1062" s="6" t="n"/>
      <c r="J1062" s="1" t="n"/>
      <c r="K1062" s="7" t="n"/>
      <c r="L1062" s="7" t="n"/>
      <c r="M1062" s="7" t="n"/>
    </row>
    <row r="1063" ht="12.75" customHeight="1">
      <c r="I1063" s="6" t="n"/>
      <c r="J1063" s="1" t="n"/>
      <c r="K1063" s="7" t="n"/>
      <c r="L1063" s="7" t="n"/>
      <c r="M1063" s="7" t="n"/>
    </row>
    <row r="1064" ht="12.75" customHeight="1">
      <c r="I1064" s="6" t="n"/>
      <c r="J1064" s="1" t="n"/>
      <c r="K1064" s="7" t="n"/>
      <c r="L1064" s="7" t="n"/>
      <c r="M1064" s="7" t="n"/>
    </row>
    <row r="1065" ht="12.75" customHeight="1">
      <c r="I1065" s="6" t="n"/>
      <c r="J1065" s="1" t="n"/>
      <c r="K1065" s="7" t="n"/>
      <c r="L1065" s="7" t="n"/>
      <c r="M1065" s="7" t="n"/>
    </row>
    <row r="1066" ht="12.75" customHeight="1">
      <c r="I1066" s="6" t="n"/>
      <c r="J1066" s="1" t="n"/>
      <c r="K1066" s="7" t="n"/>
      <c r="L1066" s="7" t="n"/>
      <c r="M1066" s="7" t="n"/>
    </row>
    <row r="1067" ht="12.75" customHeight="1">
      <c r="I1067" s="6" t="n"/>
      <c r="J1067" s="1" t="n"/>
      <c r="K1067" s="7" t="n"/>
      <c r="L1067" s="7" t="n"/>
      <c r="M1067" s="7" t="n"/>
    </row>
    <row r="1068" ht="12.75" customHeight="1">
      <c r="I1068" s="6" t="n"/>
      <c r="J1068" s="1" t="n"/>
      <c r="K1068" s="7" t="n"/>
      <c r="L1068" s="7" t="n"/>
      <c r="M1068" s="7" t="n"/>
    </row>
    <row r="1069" ht="12.75" customHeight="1">
      <c r="I1069" s="6" t="n"/>
      <c r="J1069" s="1" t="n"/>
      <c r="K1069" s="7" t="n"/>
      <c r="L1069" s="7" t="n"/>
      <c r="M1069" s="7" t="n"/>
    </row>
    <row r="1070" ht="12.75" customHeight="1">
      <c r="I1070" s="6" t="n"/>
      <c r="J1070" s="1" t="n"/>
      <c r="K1070" s="7" t="n"/>
      <c r="L1070" s="7" t="n"/>
      <c r="M1070" s="7" t="n"/>
    </row>
    <row r="1071" ht="12.75" customHeight="1">
      <c r="I1071" s="5" t="n"/>
      <c r="J1071" s="6" t="n"/>
      <c r="K1071" s="1" t="n"/>
      <c r="L1071" s="7" t="n"/>
      <c r="M1071" s="7" t="n"/>
    </row>
    <row r="1072" ht="12.75" customHeight="1">
      <c r="I1072" s="5" t="n"/>
      <c r="J1072" s="6" t="n"/>
      <c r="K1072" s="1" t="n"/>
      <c r="L1072" s="7" t="n"/>
      <c r="M1072" s="7" t="n"/>
    </row>
    <row r="1073" ht="12.75" customHeight="1">
      <c r="I1073" s="5" t="n"/>
      <c r="J1073" s="6" t="n"/>
      <c r="K1073" s="1" t="n"/>
      <c r="L1073" s="7" t="n"/>
      <c r="M1073" s="7" t="n"/>
    </row>
    <row r="1074" ht="12.75" customHeight="1">
      <c r="I1074" s="5" t="n"/>
      <c r="J1074" s="6" t="n"/>
      <c r="K1074" s="1" t="n"/>
      <c r="L1074" s="7" t="n"/>
      <c r="M1074" s="7" t="n"/>
    </row>
    <row r="1075" ht="12.75" customHeight="1">
      <c r="I1075" s="5" t="n"/>
      <c r="J1075" s="6" t="n"/>
      <c r="K1075" s="1" t="n"/>
      <c r="L1075" s="7" t="n"/>
      <c r="M1075" s="7" t="n"/>
    </row>
    <row r="1076" ht="12.75" customHeight="1">
      <c r="I1076" s="5" t="n"/>
      <c r="J1076" s="6" t="n"/>
      <c r="K1076" s="1" t="n"/>
      <c r="L1076" s="7" t="n"/>
      <c r="M1076" s="7" t="n"/>
    </row>
    <row r="1077" ht="12.75" customHeight="1">
      <c r="I1077" s="5" t="n"/>
      <c r="J1077" s="6" t="n"/>
      <c r="K1077" s="1" t="n"/>
      <c r="L1077" s="7" t="n"/>
      <c r="M1077" s="7" t="n"/>
    </row>
    <row r="1078" ht="12.75" customHeight="1">
      <c r="I1078" s="5" t="n"/>
      <c r="J1078" s="6" t="n"/>
      <c r="K1078" s="1" t="n"/>
      <c r="L1078" s="7" t="n"/>
      <c r="M1078" s="7" t="n"/>
    </row>
    <row r="1079" ht="12.75" customHeight="1">
      <c r="I1079" s="5" t="n"/>
      <c r="J1079" s="6" t="n"/>
      <c r="K1079" s="1" t="n"/>
      <c r="L1079" s="7" t="n"/>
      <c r="M1079" s="7" t="n"/>
    </row>
    <row r="1080" ht="12.75" customHeight="1">
      <c r="I1080" s="5" t="n"/>
      <c r="J1080" s="6" t="n"/>
      <c r="K1080" s="1" t="n"/>
      <c r="L1080" s="7" t="n"/>
      <c r="M1080" s="7" t="n"/>
    </row>
    <row r="1081" ht="12.75" customHeight="1">
      <c r="I1081" s="5" t="n"/>
      <c r="J1081" s="6" t="n"/>
      <c r="K1081" s="1" t="n"/>
      <c r="L1081" s="7" t="n"/>
      <c r="M1081" s="7" t="n"/>
    </row>
    <row r="1082" ht="12.75" customHeight="1">
      <c r="I1082" s="5" t="n"/>
      <c r="J1082" s="6" t="n"/>
      <c r="K1082" s="1" t="n"/>
      <c r="L1082" s="7" t="n"/>
      <c r="M1082" s="7" t="n"/>
    </row>
    <row r="1083" ht="12.75" customHeight="1">
      <c r="I1083" s="492" t="n"/>
      <c r="J1083" s="5" t="n"/>
      <c r="K1083" s="6" t="n"/>
      <c r="L1083" s="1" t="n"/>
      <c r="M1083" s="7" t="n"/>
    </row>
  </sheetData>
  <autoFilter ref="A3:L32"/>
  <mergeCells count="306">
    <mergeCell ref="B326:B327"/>
    <mergeCell ref="O7:P7"/>
    <mergeCell ref="C69:C74"/>
    <mergeCell ref="A610:A611"/>
    <mergeCell ref="C419:C424"/>
    <mergeCell ref="O6:P6"/>
    <mergeCell ref="B107:B124"/>
    <mergeCell ref="C612:C629"/>
    <mergeCell ref="A506:A513"/>
    <mergeCell ref="A105:A106"/>
    <mergeCell ref="A283:A284"/>
    <mergeCell ref="A45:A48"/>
    <mergeCell ref="B53:B68"/>
    <mergeCell ref="C45:C48"/>
    <mergeCell ref="D53:D68"/>
    <mergeCell ref="B518:B519"/>
    <mergeCell ref="C147:C148"/>
    <mergeCell ref="D151:D154"/>
    <mergeCell ref="B610:B611"/>
    <mergeCell ref="D610:D611"/>
    <mergeCell ref="A53:A68"/>
    <mergeCell ref="C407:C408"/>
    <mergeCell ref="B13:B14"/>
    <mergeCell ref="C582:C586"/>
    <mergeCell ref="D13:D14"/>
    <mergeCell ref="D612:D629"/>
    <mergeCell ref="B566:B579"/>
    <mergeCell ref="D283:D284"/>
    <mergeCell ref="D45:D48"/>
    <mergeCell ref="A37:A40"/>
    <mergeCell ref="C173:C174"/>
    <mergeCell ref="B28:B29"/>
    <mergeCell ref="B546:B565"/>
    <mergeCell ref="C300:C301"/>
    <mergeCell ref="D589:D595"/>
    <mergeCell ref="B417:B418"/>
    <mergeCell ref="B304:B305"/>
    <mergeCell ref="A598:A599"/>
    <mergeCell ref="C105:C106"/>
    <mergeCell ref="B103:B104"/>
    <mergeCell ref="D360:D395"/>
    <mergeCell ref="D103:D104"/>
    <mergeCell ref="B161:B172"/>
    <mergeCell ref="C149:C150"/>
    <mergeCell ref="B69:B74"/>
    <mergeCell ref="B37:B40"/>
    <mergeCell ref="A20:A21"/>
    <mergeCell ref="A125:A126"/>
    <mergeCell ref="D430:D437"/>
    <mergeCell ref="D348:D353"/>
    <mergeCell ref="A22:A25"/>
    <mergeCell ref="O8:P8"/>
    <mergeCell ref="C326:C327"/>
    <mergeCell ref="A35:A36"/>
    <mergeCell ref="B356:B357"/>
    <mergeCell ref="C336:C347"/>
    <mergeCell ref="C358:C359"/>
    <mergeCell ref="A127:A128"/>
    <mergeCell ref="B438:B445"/>
    <mergeCell ref="B539:B541"/>
    <mergeCell ref="A143:A146"/>
    <mergeCell ref="D506:D513"/>
    <mergeCell ref="A304:A305"/>
    <mergeCell ref="D16:D18"/>
    <mergeCell ref="C151:C154"/>
    <mergeCell ref="B26:B27"/>
    <mergeCell ref="C304:C305"/>
    <mergeCell ref="B41:B44"/>
    <mergeCell ref="A49:A52"/>
    <mergeCell ref="B35:B36"/>
    <mergeCell ref="C49:C52"/>
    <mergeCell ref="B302:B303"/>
    <mergeCell ref="C396:C397"/>
    <mergeCell ref="D302:D303"/>
    <mergeCell ref="B155:B156"/>
    <mergeCell ref="O3:P3"/>
    <mergeCell ref="C438:C445"/>
    <mergeCell ref="A402:A403"/>
    <mergeCell ref="A417:A418"/>
    <mergeCell ref="D306:D325"/>
    <mergeCell ref="C402:C403"/>
    <mergeCell ref="A328:A333"/>
    <mergeCell ref="D155:D156"/>
    <mergeCell ref="D149:D150"/>
    <mergeCell ref="D518:D519"/>
    <mergeCell ref="B135:B142"/>
    <mergeCell ref="A103:A104"/>
    <mergeCell ref="B11:B12"/>
    <mergeCell ref="A306:A325"/>
    <mergeCell ref="D11:D12"/>
    <mergeCell ref="C546:C565"/>
    <mergeCell ref="D49:D52"/>
    <mergeCell ref="C285:C294"/>
    <mergeCell ref="A404:A406"/>
    <mergeCell ref="B582:B586"/>
    <mergeCell ref="A430:A437"/>
    <mergeCell ref="A175:A190"/>
    <mergeCell ref="C22:C25"/>
    <mergeCell ref="A587:A588"/>
    <mergeCell ref="B75:B88"/>
    <mergeCell ref="A26:A27"/>
    <mergeCell ref="A296:A299"/>
    <mergeCell ref="B336:B347"/>
    <mergeCell ref="B358:B359"/>
    <mergeCell ref="A630:A631"/>
    <mergeCell ref="A532:A535"/>
    <mergeCell ref="C630:C631"/>
    <mergeCell ref="A129:A130"/>
    <mergeCell ref="A539:A541"/>
    <mergeCell ref="B191:B282"/>
    <mergeCell ref="D125:D126"/>
    <mergeCell ref="C129:C130"/>
    <mergeCell ref="B589:B595"/>
    <mergeCell ref="C409:C410"/>
    <mergeCell ref="A147:A148"/>
    <mergeCell ref="C580:C581"/>
    <mergeCell ref="D37:D40"/>
    <mergeCell ref="B127:B128"/>
    <mergeCell ref="A131:A132"/>
    <mergeCell ref="A415:A416"/>
    <mergeCell ref="A419:A424"/>
    <mergeCell ref="C415:C416"/>
    <mergeCell ref="A302:A303"/>
    <mergeCell ref="D587:D588"/>
    <mergeCell ref="B143:B146"/>
    <mergeCell ref="C131:C132"/>
    <mergeCell ref="D127:D128"/>
    <mergeCell ref="D143:D146"/>
    <mergeCell ref="C89:C102"/>
    <mergeCell ref="C296:C299"/>
    <mergeCell ref="A107:A124"/>
    <mergeCell ref="C107:C124"/>
    <mergeCell ref="C532:C535"/>
    <mergeCell ref="A348:A353"/>
    <mergeCell ref="B296:B299"/>
    <mergeCell ref="A75:A88"/>
    <mergeCell ref="C75:C88"/>
    <mergeCell ref="D566:D579"/>
    <mergeCell ref="A16:A18"/>
    <mergeCell ref="A407:A408"/>
    <mergeCell ref="D328:D333"/>
    <mergeCell ref="A582:A586"/>
    <mergeCell ref="D26:D27"/>
    <mergeCell ref="C16:C18"/>
    <mergeCell ref="B612:B629"/>
    <mergeCell ref="C404:C406"/>
    <mergeCell ref="B506:B513"/>
    <mergeCell ref="B45:B48"/>
    <mergeCell ref="A518:A519"/>
    <mergeCell ref="A173:A174"/>
    <mergeCell ref="A300:A301"/>
    <mergeCell ref="A11:A12"/>
    <mergeCell ref="C334:C335"/>
    <mergeCell ref="B175:B190"/>
    <mergeCell ref="C103:C104"/>
    <mergeCell ref="B131:B132"/>
    <mergeCell ref="D175:D190"/>
    <mergeCell ref="D131:D132"/>
    <mergeCell ref="B360:B395"/>
    <mergeCell ref="C20:C21"/>
    <mergeCell ref="C348:C353"/>
    <mergeCell ref="A149:A150"/>
    <mergeCell ref="N1:P1"/>
    <mergeCell ref="D532:D535"/>
    <mergeCell ref="A334:A335"/>
    <mergeCell ref="C589:C595"/>
    <mergeCell ref="D300:D301"/>
    <mergeCell ref="B89:B102"/>
    <mergeCell ref="C417:C418"/>
    <mergeCell ref="B105:B106"/>
    <mergeCell ref="A326:A327"/>
    <mergeCell ref="D105:D106"/>
    <mergeCell ref="A612:A629"/>
    <mergeCell ref="C360:C395"/>
    <mergeCell ref="A161:A172"/>
    <mergeCell ref="O5:P5"/>
    <mergeCell ref="D415:D416"/>
    <mergeCell ref="D419:D424"/>
    <mergeCell ref="C161:C172"/>
    <mergeCell ref="A69:A74"/>
    <mergeCell ref="B283:B284"/>
    <mergeCell ref="B16:B18"/>
    <mergeCell ref="A409:A410"/>
    <mergeCell ref="C53:C68"/>
    <mergeCell ref="A356:A357"/>
    <mergeCell ref="D28:D29"/>
    <mergeCell ref="D326:D327"/>
    <mergeCell ref="C356:C357"/>
    <mergeCell ref="B348:B353"/>
    <mergeCell ref="B633:B634"/>
    <mergeCell ref="D633:D634"/>
    <mergeCell ref="C610:C611"/>
    <mergeCell ref="A438:A445"/>
    <mergeCell ref="B306:B325"/>
    <mergeCell ref="B407:B408"/>
    <mergeCell ref="D41:D44"/>
    <mergeCell ref="C539:C541"/>
    <mergeCell ref="D407:D408"/>
    <mergeCell ref="B334:B335"/>
    <mergeCell ref="A13:A14"/>
    <mergeCell ref="D334:D335"/>
    <mergeCell ref="C506:C513"/>
    <mergeCell ref="A546:A565"/>
    <mergeCell ref="B133:B134"/>
    <mergeCell ref="B20:B21"/>
    <mergeCell ref="B173:B174"/>
    <mergeCell ref="D304:D305"/>
    <mergeCell ref="D133:D134"/>
    <mergeCell ref="D173:D174"/>
    <mergeCell ref="B49:B52"/>
    <mergeCell ref="D20:D21"/>
    <mergeCell ref="A155:A156"/>
    <mergeCell ref="C155:C156"/>
    <mergeCell ref="A633:A634"/>
    <mergeCell ref="A135:A142"/>
    <mergeCell ref="C518:C519"/>
    <mergeCell ref="C135:C142"/>
    <mergeCell ref="C283:C284"/>
    <mergeCell ref="D546:D565"/>
    <mergeCell ref="C37:C40"/>
    <mergeCell ref="B125:B126"/>
    <mergeCell ref="C633:C634"/>
    <mergeCell ref="C430:C437"/>
    <mergeCell ref="D417:D418"/>
    <mergeCell ref="B285:B294"/>
    <mergeCell ref="B22:B25"/>
    <mergeCell ref="B580:B581"/>
    <mergeCell ref="D285:D294"/>
    <mergeCell ref="D22:D25"/>
    <mergeCell ref="B446:B505"/>
    <mergeCell ref="C306:C325"/>
    <mergeCell ref="B149:B150"/>
    <mergeCell ref="D446:D505"/>
    <mergeCell ref="D580:D581"/>
    <mergeCell ref="D161:D172"/>
    <mergeCell ref="O10:P10"/>
    <mergeCell ref="A336:A347"/>
    <mergeCell ref="A358:A359"/>
    <mergeCell ref="D69:D74"/>
    <mergeCell ref="B630:B631"/>
    <mergeCell ref="A191:A282"/>
    <mergeCell ref="D630:D631"/>
    <mergeCell ref="C191:C282"/>
    <mergeCell ref="B409:B410"/>
    <mergeCell ref="C41:C44"/>
    <mergeCell ref="D409:D410"/>
    <mergeCell ref="C26:C27"/>
    <mergeCell ref="D356:D357"/>
    <mergeCell ref="B396:B397"/>
    <mergeCell ref="C302:C303"/>
    <mergeCell ref="A133:A134"/>
    <mergeCell ref="D396:D397"/>
    <mergeCell ref="C133:C134"/>
    <mergeCell ref="C35:C36"/>
    <mergeCell ref="C127:C128"/>
    <mergeCell ref="D438:D445"/>
    <mergeCell ref="D539:D541"/>
    <mergeCell ref="B402:B403"/>
    <mergeCell ref="B328:B333"/>
    <mergeCell ref="D402:D403"/>
    <mergeCell ref="C143:C146"/>
    <mergeCell ref="B587:B588"/>
    <mergeCell ref="D89:D102"/>
    <mergeCell ref="A41:A44"/>
    <mergeCell ref="B151:B154"/>
    <mergeCell ref="D147:D148"/>
    <mergeCell ref="D296:D299"/>
    <mergeCell ref="C11:C12"/>
    <mergeCell ref="B532:B535"/>
    <mergeCell ref="A151:A154"/>
    <mergeCell ref="B404:B406"/>
    <mergeCell ref="B147:B148"/>
    <mergeCell ref="B430:B437"/>
    <mergeCell ref="D404:D406"/>
    <mergeCell ref="D135:D142"/>
    <mergeCell ref="A446:A505"/>
    <mergeCell ref="C446:C505"/>
    <mergeCell ref="C125:C126"/>
    <mergeCell ref="B129:B130"/>
    <mergeCell ref="A589:A595"/>
    <mergeCell ref="D129:D130"/>
    <mergeCell ref="A603:A604"/>
    <mergeCell ref="B300:B301"/>
    <mergeCell ref="C13:C14"/>
    <mergeCell ref="A566:A579"/>
    <mergeCell ref="C175:C190"/>
    <mergeCell ref="C566:C579"/>
    <mergeCell ref="A360:A395"/>
    <mergeCell ref="C328:C333"/>
    <mergeCell ref="C587:C588"/>
    <mergeCell ref="A285:A294"/>
    <mergeCell ref="D75:D88"/>
    <mergeCell ref="A396:A397"/>
    <mergeCell ref="A28:A29"/>
    <mergeCell ref="C28:C29"/>
    <mergeCell ref="D336:D347"/>
    <mergeCell ref="D358:D359"/>
    <mergeCell ref="A580:A581"/>
    <mergeCell ref="D582:D586"/>
    <mergeCell ref="B415:B416"/>
    <mergeCell ref="B419:B424"/>
    <mergeCell ref="A1:L1"/>
    <mergeCell ref="D191:D282"/>
    <mergeCell ref="A89:A102"/>
    <mergeCell ref="D35:D36"/>
    <mergeCell ref="D107:D124"/>
  </mergeCells>
  <conditionalFormatting sqref="D1:D589 D596:D609 D636:D1048576">
    <cfRule type="cellIs" priority="50" operator="lessThan" dxfId="0">
      <formula>0</formula>
    </cfRule>
  </conditionalFormatting>
  <conditionalFormatting sqref="G612:G623">
    <cfRule type="duplicateValues" priority="9" dxfId="0"/>
    <cfRule type="duplicateValues" priority="10" dxfId="0"/>
  </conditionalFormatting>
  <pageMargins left="0.25" right="0.25" top="0.75" bottom="0.75" header="0.511811023622047" footer="0.3"/>
  <pageSetup orientation="landscape" paperSize="8" fitToHeight="0" horizontalDpi="300" verticalDpi="300"/>
  <headerFooter>
    <oddHeader/>
    <oddFooter>&amp;C&amp;F</oddFooter>
    <evenHeader/>
    <evenFooter/>
    <firstHeader/>
    <firstFooter/>
  </headerFooter>
  <rowBreaks count="1" manualBreakCount="1">
    <brk id="475" min="0" max="16383" man="1"/>
  </rowBreaks>
  <drawing xmlns:r="http://schemas.openxmlformats.org/officeDocument/2006/relationships" r:id="rId1"/>
</worksheet>
</file>

<file path=xl/worksheets/sheet3.xml><?xml version="1.0" encoding="utf-8"?>
<worksheet xmlns="http://schemas.openxmlformats.org/spreadsheetml/2006/main">
  <sheetPr>
    <tabColor rgb="FFFFFF00"/>
    <outlinePr summaryBelow="1" summaryRight="1"/>
    <pageSetUpPr fitToPage="1"/>
  </sheetPr>
  <dimension ref="A3:I155"/>
  <sheetViews>
    <sheetView showGridLines="0" topLeftCell="A61" zoomScaleNormal="100" workbookViewId="0">
      <selection activeCell="L100" sqref="L100"/>
    </sheetView>
  </sheetViews>
  <sheetFormatPr baseColWidth="8" defaultColWidth="8.75" defaultRowHeight="14.25"/>
  <cols>
    <col width="13.75" customWidth="1" min="1" max="1"/>
    <col width="17.375" customWidth="1" min="2" max="2"/>
    <col width="14.75" customWidth="1" style="117" min="3" max="3"/>
    <col width="53.75" customWidth="1" min="4" max="4"/>
    <col width="22" customWidth="1" style="348" min="5" max="5"/>
    <col width="16.875" customWidth="1" style="348" min="6" max="6"/>
    <col width="16" customWidth="1" style="348" min="7" max="7"/>
    <col width="6.75" customWidth="1" min="8" max="8"/>
    <col width="5.125" customWidth="1" min="203" max="203"/>
    <col width="13.375" customWidth="1" min="204" max="204"/>
    <col width="45.75" customWidth="1" min="205" max="205"/>
    <col width="10.625" customWidth="1" min="206" max="207"/>
    <col width="13.75" customWidth="1" min="208" max="208"/>
    <col width="18.375" customWidth="1" min="209" max="209"/>
    <col width="20.625" customWidth="1" min="210" max="210"/>
    <col width="17.375" customWidth="1" min="211" max="211"/>
    <col width="12.125" customWidth="1" min="212" max="212"/>
    <col width="10.625" customWidth="1" min="213" max="213"/>
    <col width="14.375" customWidth="1" min="214" max="214"/>
    <col width="10.625" customWidth="1" min="215" max="215"/>
    <col width="13" customWidth="1" min="216" max="216"/>
    <col width="13.125" customWidth="1" min="217" max="217"/>
    <col width="10.625" customWidth="1" min="218" max="219"/>
    <col width="13" customWidth="1" min="220" max="220"/>
    <col width="10.625" customWidth="1" min="221" max="221"/>
    <col width="12.375" customWidth="1" min="222" max="222"/>
    <col width="10.625" customWidth="1" min="223" max="223"/>
    <col width="15" customWidth="1" min="224" max="224"/>
    <col width="20.375" customWidth="1" min="225" max="225"/>
    <col width="10.625" customWidth="1" min="226" max="226"/>
    <col width="11.375" customWidth="1" min="227" max="227"/>
    <col width="10.625" customWidth="1" min="228" max="228"/>
    <col width="16.125" customWidth="1" min="229" max="229"/>
    <col width="12.625" customWidth="1" min="230" max="230"/>
    <col width="17" customWidth="1" min="231" max="231"/>
    <col width="16.375" customWidth="1" min="232" max="232"/>
    <col width="20.125" customWidth="1" min="233" max="233"/>
    <col width="17.625" customWidth="1" min="234" max="234"/>
    <col width="12" customWidth="1" min="235" max="235"/>
    <col width="16" customWidth="1" min="236" max="236"/>
    <col width="5.125" customWidth="1" min="459" max="459"/>
    <col width="13.375" customWidth="1" min="460" max="460"/>
    <col width="45.75" customWidth="1" min="461" max="461"/>
    <col width="10.625" customWidth="1" min="462" max="463"/>
    <col width="13.75" customWidth="1" min="464" max="464"/>
    <col width="18.375" customWidth="1" min="465" max="465"/>
    <col width="20.625" customWidth="1" min="466" max="466"/>
    <col width="17.375" customWidth="1" min="467" max="467"/>
    <col width="12.125" customWidth="1" min="468" max="468"/>
    <col width="10.625" customWidth="1" min="469" max="469"/>
    <col width="14.375" customWidth="1" min="470" max="470"/>
    <col width="10.625" customWidth="1" min="471" max="471"/>
    <col width="13" customWidth="1" min="472" max="472"/>
    <col width="13.125" customWidth="1" min="473" max="473"/>
    <col width="10.625" customWidth="1" min="474" max="475"/>
    <col width="13" customWidth="1" min="476" max="476"/>
    <col width="10.625" customWidth="1" min="477" max="477"/>
    <col width="12.375" customWidth="1" min="478" max="478"/>
    <col width="10.625" customWidth="1" min="479" max="479"/>
    <col width="15" customWidth="1" min="480" max="480"/>
    <col width="20.375" customWidth="1" min="481" max="481"/>
    <col width="10.625" customWidth="1" min="482" max="482"/>
    <col width="11.375" customWidth="1" min="483" max="483"/>
    <col width="10.625" customWidth="1" min="484" max="484"/>
    <col width="16.125" customWidth="1" min="485" max="485"/>
    <col width="12.625" customWidth="1" min="486" max="486"/>
    <col width="17" customWidth="1" min="487" max="487"/>
    <col width="16.375" customWidth="1" min="488" max="488"/>
    <col width="20.125" customWidth="1" min="489" max="489"/>
    <col width="17.625" customWidth="1" min="490" max="490"/>
    <col width="12" customWidth="1" min="491" max="491"/>
    <col width="16" customWidth="1" min="492" max="492"/>
    <col width="5.125" customWidth="1" min="715" max="715"/>
    <col width="13.375" customWidth="1" min="716" max="716"/>
    <col width="45.75" customWidth="1" min="717" max="717"/>
    <col width="10.625" customWidth="1" min="718" max="719"/>
    <col width="13.75" customWidth="1" min="720" max="720"/>
    <col width="18.375" customWidth="1" min="721" max="721"/>
    <col width="20.625" customWidth="1" min="722" max="722"/>
    <col width="17.375" customWidth="1" min="723" max="723"/>
    <col width="12.125" customWidth="1" min="724" max="724"/>
    <col width="10.625" customWidth="1" min="725" max="725"/>
    <col width="14.375" customWidth="1" min="726" max="726"/>
    <col width="10.625" customWidth="1" min="727" max="727"/>
    <col width="13" customWidth="1" min="728" max="728"/>
    <col width="13.125" customWidth="1" min="729" max="729"/>
    <col width="10.625" customWidth="1" min="730" max="731"/>
    <col width="13" customWidth="1" min="732" max="732"/>
    <col width="10.625" customWidth="1" min="733" max="733"/>
    <col width="12.375" customWidth="1" min="734" max="734"/>
    <col width="10.625" customWidth="1" min="735" max="735"/>
    <col width="15" customWidth="1" min="736" max="736"/>
    <col width="20.375" customWidth="1" min="737" max="737"/>
    <col width="10.625" customWidth="1" min="738" max="738"/>
    <col width="11.375" customWidth="1" min="739" max="739"/>
    <col width="10.625" customWidth="1" min="740" max="740"/>
    <col width="16.125" customWidth="1" min="741" max="741"/>
    <col width="12.625" customWidth="1" min="742" max="742"/>
    <col width="17" customWidth="1" min="743" max="743"/>
    <col width="16.375" customWidth="1" min="744" max="744"/>
    <col width="20.125" customWidth="1" min="745" max="745"/>
    <col width="17.625" customWidth="1" min="746" max="746"/>
    <col width="12" customWidth="1" min="747" max="747"/>
    <col width="16" customWidth="1" min="748" max="748"/>
    <col width="5.125" customWidth="1" min="971" max="971"/>
    <col width="13.375" customWidth="1" min="972" max="972"/>
    <col width="45.75" customWidth="1" min="973" max="973"/>
    <col width="10.625" customWidth="1" min="974" max="975"/>
    <col width="13.75" customWidth="1" min="976" max="976"/>
    <col width="18.375" customWidth="1" min="977" max="977"/>
    <col width="20.625" customWidth="1" min="978" max="978"/>
    <col width="17.375" customWidth="1" min="979" max="979"/>
    <col width="12.125" customWidth="1" min="980" max="980"/>
    <col width="10.625" customWidth="1" min="981" max="981"/>
    <col width="14.375" customWidth="1" min="982" max="982"/>
    <col width="10.625" customWidth="1" min="983" max="983"/>
    <col width="13" customWidth="1" min="984" max="984"/>
    <col width="13.125" customWidth="1" min="985" max="985"/>
    <col width="10.625" customWidth="1" min="986" max="987"/>
    <col width="13" customWidth="1" min="988" max="988"/>
    <col width="10.625" customWidth="1" min="989" max="989"/>
    <col width="12.375" customWidth="1" min="990" max="990"/>
    <col width="10.625" customWidth="1" min="991" max="991"/>
    <col width="15" customWidth="1" min="992" max="992"/>
    <col width="20.375" customWidth="1" min="993" max="993"/>
    <col width="10.625" customWidth="1" min="994" max="994"/>
    <col width="11.375" customWidth="1" min="995" max="995"/>
    <col width="10.625" customWidth="1" min="996" max="996"/>
    <col width="16.125" customWidth="1" min="997" max="997"/>
    <col width="12.625" customWidth="1" min="998" max="998"/>
    <col width="17" customWidth="1" min="999" max="999"/>
    <col width="16.375" customWidth="1" min="1000" max="1000"/>
    <col width="20.125" customWidth="1" min="1001" max="1001"/>
    <col width="17.625" customWidth="1" min="1002" max="1002"/>
    <col width="12" customWidth="1" min="1003" max="1003"/>
    <col width="16" customWidth="1" min="1004" max="1004"/>
    <col width="5.125" customWidth="1" min="1227" max="1227"/>
    <col width="13.375" customWidth="1" min="1228" max="1228"/>
    <col width="45.75" customWidth="1" min="1229" max="1229"/>
    <col width="10.625" customWidth="1" min="1230" max="1231"/>
    <col width="13.75" customWidth="1" min="1232" max="1232"/>
    <col width="18.375" customWidth="1" min="1233" max="1233"/>
    <col width="20.625" customWidth="1" min="1234" max="1234"/>
    <col width="17.375" customWidth="1" min="1235" max="1235"/>
    <col width="12.125" customWidth="1" min="1236" max="1236"/>
    <col width="10.625" customWidth="1" min="1237" max="1237"/>
    <col width="14.375" customWidth="1" min="1238" max="1238"/>
    <col width="10.625" customWidth="1" min="1239" max="1239"/>
    <col width="13" customWidth="1" min="1240" max="1240"/>
    <col width="13.125" customWidth="1" min="1241" max="1241"/>
    <col width="10.625" customWidth="1" min="1242" max="1243"/>
    <col width="13" customWidth="1" min="1244" max="1244"/>
    <col width="10.625" customWidth="1" min="1245" max="1245"/>
    <col width="12.375" customWidth="1" min="1246" max="1246"/>
    <col width="10.625" customWidth="1" min="1247" max="1247"/>
    <col width="15" customWidth="1" min="1248" max="1248"/>
    <col width="20.375" customWidth="1" min="1249" max="1249"/>
    <col width="10.625" customWidth="1" min="1250" max="1250"/>
    <col width="11.375" customWidth="1" min="1251" max="1251"/>
    <col width="10.625" customWidth="1" min="1252" max="1252"/>
    <col width="16.125" customWidth="1" min="1253" max="1253"/>
    <col width="12.625" customWidth="1" min="1254" max="1254"/>
    <col width="17" customWidth="1" min="1255" max="1255"/>
    <col width="16.375" customWidth="1" min="1256" max="1256"/>
    <col width="20.125" customWidth="1" min="1257" max="1257"/>
    <col width="17.625" customWidth="1" min="1258" max="1258"/>
    <col width="12" customWidth="1" min="1259" max="1259"/>
    <col width="16" customWidth="1" min="1260" max="1260"/>
    <col width="5.125" customWidth="1" min="1483" max="1483"/>
    <col width="13.375" customWidth="1" min="1484" max="1484"/>
    <col width="45.75" customWidth="1" min="1485" max="1485"/>
    <col width="10.625" customWidth="1" min="1486" max="1487"/>
    <col width="13.75" customWidth="1" min="1488" max="1488"/>
    <col width="18.375" customWidth="1" min="1489" max="1489"/>
    <col width="20.625" customWidth="1" min="1490" max="1490"/>
    <col width="17.375" customWidth="1" min="1491" max="1491"/>
    <col width="12.125" customWidth="1" min="1492" max="1492"/>
    <col width="10.625" customWidth="1" min="1493" max="1493"/>
    <col width="14.375" customWidth="1" min="1494" max="1494"/>
    <col width="10.625" customWidth="1" min="1495" max="1495"/>
    <col width="13" customWidth="1" min="1496" max="1496"/>
    <col width="13.125" customWidth="1" min="1497" max="1497"/>
    <col width="10.625" customWidth="1" min="1498" max="1499"/>
    <col width="13" customWidth="1" min="1500" max="1500"/>
    <col width="10.625" customWidth="1" min="1501" max="1501"/>
    <col width="12.375" customWidth="1" min="1502" max="1502"/>
    <col width="10.625" customWidth="1" min="1503" max="1503"/>
    <col width="15" customWidth="1" min="1504" max="1504"/>
    <col width="20.375" customWidth="1" min="1505" max="1505"/>
    <col width="10.625" customWidth="1" min="1506" max="1506"/>
    <col width="11.375" customWidth="1" min="1507" max="1507"/>
    <col width="10.625" customWidth="1" min="1508" max="1508"/>
    <col width="16.125" customWidth="1" min="1509" max="1509"/>
    <col width="12.625" customWidth="1" min="1510" max="1510"/>
    <col width="17" customWidth="1" min="1511" max="1511"/>
    <col width="16.375" customWidth="1" min="1512" max="1512"/>
    <col width="20.125" customWidth="1" min="1513" max="1513"/>
    <col width="17.625" customWidth="1" min="1514" max="1514"/>
    <col width="12" customWidth="1" min="1515" max="1515"/>
    <col width="16" customWidth="1" min="1516" max="1516"/>
    <col width="5.125" customWidth="1" min="1739" max="1739"/>
    <col width="13.375" customWidth="1" min="1740" max="1740"/>
    <col width="45.75" customWidth="1" min="1741" max="1741"/>
    <col width="10.625" customWidth="1" min="1742" max="1743"/>
    <col width="13.75" customWidth="1" min="1744" max="1744"/>
    <col width="18.375" customWidth="1" min="1745" max="1745"/>
    <col width="20.625" customWidth="1" min="1746" max="1746"/>
    <col width="17.375" customWidth="1" min="1747" max="1747"/>
    <col width="12.125" customWidth="1" min="1748" max="1748"/>
    <col width="10.625" customWidth="1" min="1749" max="1749"/>
    <col width="14.375" customWidth="1" min="1750" max="1750"/>
    <col width="10.625" customWidth="1" min="1751" max="1751"/>
    <col width="13" customWidth="1" min="1752" max="1752"/>
    <col width="13.125" customWidth="1" min="1753" max="1753"/>
    <col width="10.625" customWidth="1" min="1754" max="1755"/>
    <col width="13" customWidth="1" min="1756" max="1756"/>
    <col width="10.625" customWidth="1" min="1757" max="1757"/>
    <col width="12.375" customWidth="1" min="1758" max="1758"/>
    <col width="10.625" customWidth="1" min="1759" max="1759"/>
    <col width="15" customWidth="1" min="1760" max="1760"/>
    <col width="20.375" customWidth="1" min="1761" max="1761"/>
    <col width="10.625" customWidth="1" min="1762" max="1762"/>
    <col width="11.375" customWidth="1" min="1763" max="1763"/>
    <col width="10.625" customWidth="1" min="1764" max="1764"/>
    <col width="16.125" customWidth="1" min="1765" max="1765"/>
    <col width="12.625" customWidth="1" min="1766" max="1766"/>
    <col width="17" customWidth="1" min="1767" max="1767"/>
    <col width="16.375" customWidth="1" min="1768" max="1768"/>
    <col width="20.125" customWidth="1" min="1769" max="1769"/>
    <col width="17.625" customWidth="1" min="1770" max="1770"/>
    <col width="12" customWidth="1" min="1771" max="1771"/>
    <col width="16" customWidth="1" min="1772" max="1772"/>
    <col width="5.125" customWidth="1" min="1995" max="1995"/>
    <col width="13.375" customWidth="1" min="1996" max="1996"/>
    <col width="45.75" customWidth="1" min="1997" max="1997"/>
    <col width="10.625" customWidth="1" min="1998" max="1999"/>
    <col width="13.75" customWidth="1" min="2000" max="2000"/>
    <col width="18.375" customWidth="1" min="2001" max="2001"/>
    <col width="20.625" customWidth="1" min="2002" max="2002"/>
    <col width="17.375" customWidth="1" min="2003" max="2003"/>
    <col width="12.125" customWidth="1" min="2004" max="2004"/>
    <col width="10.625" customWidth="1" min="2005" max="2005"/>
    <col width="14.375" customWidth="1" min="2006" max="2006"/>
    <col width="10.625" customWidth="1" min="2007" max="2007"/>
    <col width="13" customWidth="1" min="2008" max="2008"/>
    <col width="13.125" customWidth="1" min="2009" max="2009"/>
    <col width="10.625" customWidth="1" min="2010" max="2011"/>
    <col width="13" customWidth="1" min="2012" max="2012"/>
    <col width="10.625" customWidth="1" min="2013" max="2013"/>
    <col width="12.375" customWidth="1" min="2014" max="2014"/>
    <col width="10.625" customWidth="1" min="2015" max="2015"/>
    <col width="15" customWidth="1" min="2016" max="2016"/>
    <col width="20.375" customWidth="1" min="2017" max="2017"/>
    <col width="10.625" customWidth="1" min="2018" max="2018"/>
    <col width="11.375" customWidth="1" min="2019" max="2019"/>
    <col width="10.625" customWidth="1" min="2020" max="2020"/>
    <col width="16.125" customWidth="1" min="2021" max="2021"/>
    <col width="12.625" customWidth="1" min="2022" max="2022"/>
    <col width="17" customWidth="1" min="2023" max="2023"/>
    <col width="16.375" customWidth="1" min="2024" max="2024"/>
    <col width="20.125" customWidth="1" min="2025" max="2025"/>
    <col width="17.625" customWidth="1" min="2026" max="2026"/>
    <col width="12" customWidth="1" min="2027" max="2027"/>
    <col width="16" customWidth="1" min="2028" max="2028"/>
    <col width="5.125" customWidth="1" min="2251" max="2251"/>
    <col width="13.375" customWidth="1" min="2252" max="2252"/>
    <col width="45.75" customWidth="1" min="2253" max="2253"/>
    <col width="10.625" customWidth="1" min="2254" max="2255"/>
    <col width="13.75" customWidth="1" min="2256" max="2256"/>
    <col width="18.375" customWidth="1" min="2257" max="2257"/>
    <col width="20.625" customWidth="1" min="2258" max="2258"/>
    <col width="17.375" customWidth="1" min="2259" max="2259"/>
    <col width="12.125" customWidth="1" min="2260" max="2260"/>
    <col width="10.625" customWidth="1" min="2261" max="2261"/>
    <col width="14.375" customWidth="1" min="2262" max="2262"/>
    <col width="10.625" customWidth="1" min="2263" max="2263"/>
    <col width="13" customWidth="1" min="2264" max="2264"/>
    <col width="13.125" customWidth="1" min="2265" max="2265"/>
    <col width="10.625" customWidth="1" min="2266" max="2267"/>
    <col width="13" customWidth="1" min="2268" max="2268"/>
    <col width="10.625" customWidth="1" min="2269" max="2269"/>
    <col width="12.375" customWidth="1" min="2270" max="2270"/>
    <col width="10.625" customWidth="1" min="2271" max="2271"/>
    <col width="15" customWidth="1" min="2272" max="2272"/>
    <col width="20.375" customWidth="1" min="2273" max="2273"/>
    <col width="10.625" customWidth="1" min="2274" max="2274"/>
    <col width="11.375" customWidth="1" min="2275" max="2275"/>
    <col width="10.625" customWidth="1" min="2276" max="2276"/>
    <col width="16.125" customWidth="1" min="2277" max="2277"/>
    <col width="12.625" customWidth="1" min="2278" max="2278"/>
    <col width="17" customWidth="1" min="2279" max="2279"/>
    <col width="16.375" customWidth="1" min="2280" max="2280"/>
    <col width="20.125" customWidth="1" min="2281" max="2281"/>
    <col width="17.625" customWidth="1" min="2282" max="2282"/>
    <col width="12" customWidth="1" min="2283" max="2283"/>
    <col width="16" customWidth="1" min="2284" max="2284"/>
    <col width="5.125" customWidth="1" min="2507" max="2507"/>
    <col width="13.375" customWidth="1" min="2508" max="2508"/>
    <col width="45.75" customWidth="1" min="2509" max="2509"/>
    <col width="10.625" customWidth="1" min="2510" max="2511"/>
    <col width="13.75" customWidth="1" min="2512" max="2512"/>
    <col width="18.375" customWidth="1" min="2513" max="2513"/>
    <col width="20.625" customWidth="1" min="2514" max="2514"/>
    <col width="17.375" customWidth="1" min="2515" max="2515"/>
    <col width="12.125" customWidth="1" min="2516" max="2516"/>
    <col width="10.625" customWidth="1" min="2517" max="2517"/>
    <col width="14.375" customWidth="1" min="2518" max="2518"/>
    <col width="10.625" customWidth="1" min="2519" max="2519"/>
    <col width="13" customWidth="1" min="2520" max="2520"/>
    <col width="13.125" customWidth="1" min="2521" max="2521"/>
    <col width="10.625" customWidth="1" min="2522" max="2523"/>
    <col width="13" customWidth="1" min="2524" max="2524"/>
    <col width="10.625" customWidth="1" min="2525" max="2525"/>
    <col width="12.375" customWidth="1" min="2526" max="2526"/>
    <col width="10.625" customWidth="1" min="2527" max="2527"/>
    <col width="15" customWidth="1" min="2528" max="2528"/>
    <col width="20.375" customWidth="1" min="2529" max="2529"/>
    <col width="10.625" customWidth="1" min="2530" max="2530"/>
    <col width="11.375" customWidth="1" min="2531" max="2531"/>
    <col width="10.625" customWidth="1" min="2532" max="2532"/>
    <col width="16.125" customWidth="1" min="2533" max="2533"/>
    <col width="12.625" customWidth="1" min="2534" max="2534"/>
    <col width="17" customWidth="1" min="2535" max="2535"/>
    <col width="16.375" customWidth="1" min="2536" max="2536"/>
    <col width="20.125" customWidth="1" min="2537" max="2537"/>
    <col width="17.625" customWidth="1" min="2538" max="2538"/>
    <col width="12" customWidth="1" min="2539" max="2539"/>
    <col width="16" customWidth="1" min="2540" max="2540"/>
    <col width="5.125" customWidth="1" min="2763" max="2763"/>
    <col width="13.375" customWidth="1" min="2764" max="2764"/>
    <col width="45.75" customWidth="1" min="2765" max="2765"/>
    <col width="10.625" customWidth="1" min="2766" max="2767"/>
    <col width="13.75" customWidth="1" min="2768" max="2768"/>
    <col width="18.375" customWidth="1" min="2769" max="2769"/>
    <col width="20.625" customWidth="1" min="2770" max="2770"/>
    <col width="17.375" customWidth="1" min="2771" max="2771"/>
    <col width="12.125" customWidth="1" min="2772" max="2772"/>
    <col width="10.625" customWidth="1" min="2773" max="2773"/>
    <col width="14.375" customWidth="1" min="2774" max="2774"/>
    <col width="10.625" customWidth="1" min="2775" max="2775"/>
    <col width="13" customWidth="1" min="2776" max="2776"/>
    <col width="13.125" customWidth="1" min="2777" max="2777"/>
    <col width="10.625" customWidth="1" min="2778" max="2779"/>
    <col width="13" customWidth="1" min="2780" max="2780"/>
    <col width="10.625" customWidth="1" min="2781" max="2781"/>
    <col width="12.375" customWidth="1" min="2782" max="2782"/>
    <col width="10.625" customWidth="1" min="2783" max="2783"/>
    <col width="15" customWidth="1" min="2784" max="2784"/>
    <col width="20.375" customWidth="1" min="2785" max="2785"/>
    <col width="10.625" customWidth="1" min="2786" max="2786"/>
    <col width="11.375" customWidth="1" min="2787" max="2787"/>
    <col width="10.625" customWidth="1" min="2788" max="2788"/>
    <col width="16.125" customWidth="1" min="2789" max="2789"/>
    <col width="12.625" customWidth="1" min="2790" max="2790"/>
    <col width="17" customWidth="1" min="2791" max="2791"/>
    <col width="16.375" customWidth="1" min="2792" max="2792"/>
    <col width="20.125" customWidth="1" min="2793" max="2793"/>
    <col width="17.625" customWidth="1" min="2794" max="2794"/>
    <col width="12" customWidth="1" min="2795" max="2795"/>
    <col width="16" customWidth="1" min="2796" max="2796"/>
    <col width="5.125" customWidth="1" min="3019" max="3019"/>
    <col width="13.375" customWidth="1" min="3020" max="3020"/>
    <col width="45.75" customWidth="1" min="3021" max="3021"/>
    <col width="10.625" customWidth="1" min="3022" max="3023"/>
    <col width="13.75" customWidth="1" min="3024" max="3024"/>
    <col width="18.375" customWidth="1" min="3025" max="3025"/>
    <col width="20.625" customWidth="1" min="3026" max="3026"/>
    <col width="17.375" customWidth="1" min="3027" max="3027"/>
    <col width="12.125" customWidth="1" min="3028" max="3028"/>
    <col width="10.625" customWidth="1" min="3029" max="3029"/>
    <col width="14.375" customWidth="1" min="3030" max="3030"/>
    <col width="10.625" customWidth="1" min="3031" max="3031"/>
    <col width="13" customWidth="1" min="3032" max="3032"/>
    <col width="13.125" customWidth="1" min="3033" max="3033"/>
    <col width="10.625" customWidth="1" min="3034" max="3035"/>
    <col width="13" customWidth="1" min="3036" max="3036"/>
    <col width="10.625" customWidth="1" min="3037" max="3037"/>
    <col width="12.375" customWidth="1" min="3038" max="3038"/>
    <col width="10.625" customWidth="1" min="3039" max="3039"/>
    <col width="15" customWidth="1" min="3040" max="3040"/>
    <col width="20.375" customWidth="1" min="3041" max="3041"/>
    <col width="10.625" customWidth="1" min="3042" max="3042"/>
    <col width="11.375" customWidth="1" min="3043" max="3043"/>
    <col width="10.625" customWidth="1" min="3044" max="3044"/>
    <col width="16.125" customWidth="1" min="3045" max="3045"/>
    <col width="12.625" customWidth="1" min="3046" max="3046"/>
    <col width="17" customWidth="1" min="3047" max="3047"/>
    <col width="16.375" customWidth="1" min="3048" max="3048"/>
    <col width="20.125" customWidth="1" min="3049" max="3049"/>
    <col width="17.625" customWidth="1" min="3050" max="3050"/>
    <col width="12" customWidth="1" min="3051" max="3051"/>
    <col width="16" customWidth="1" min="3052" max="3052"/>
    <col width="5.125" customWidth="1" min="3275" max="3275"/>
    <col width="13.375" customWidth="1" min="3276" max="3276"/>
    <col width="45.75" customWidth="1" min="3277" max="3277"/>
    <col width="10.625" customWidth="1" min="3278" max="3279"/>
    <col width="13.75" customWidth="1" min="3280" max="3280"/>
    <col width="18.375" customWidth="1" min="3281" max="3281"/>
    <col width="20.625" customWidth="1" min="3282" max="3282"/>
    <col width="17.375" customWidth="1" min="3283" max="3283"/>
    <col width="12.125" customWidth="1" min="3284" max="3284"/>
    <col width="10.625" customWidth="1" min="3285" max="3285"/>
    <col width="14.375" customWidth="1" min="3286" max="3286"/>
    <col width="10.625" customWidth="1" min="3287" max="3287"/>
    <col width="13" customWidth="1" min="3288" max="3288"/>
    <col width="13.125" customWidth="1" min="3289" max="3289"/>
    <col width="10.625" customWidth="1" min="3290" max="3291"/>
    <col width="13" customWidth="1" min="3292" max="3292"/>
    <col width="10.625" customWidth="1" min="3293" max="3293"/>
    <col width="12.375" customWidth="1" min="3294" max="3294"/>
    <col width="10.625" customWidth="1" min="3295" max="3295"/>
    <col width="15" customWidth="1" min="3296" max="3296"/>
    <col width="20.375" customWidth="1" min="3297" max="3297"/>
    <col width="10.625" customWidth="1" min="3298" max="3298"/>
    <col width="11.375" customWidth="1" min="3299" max="3299"/>
    <col width="10.625" customWidth="1" min="3300" max="3300"/>
    <col width="16.125" customWidth="1" min="3301" max="3301"/>
    <col width="12.625" customWidth="1" min="3302" max="3302"/>
    <col width="17" customWidth="1" min="3303" max="3303"/>
    <col width="16.375" customWidth="1" min="3304" max="3304"/>
    <col width="20.125" customWidth="1" min="3305" max="3305"/>
    <col width="17.625" customWidth="1" min="3306" max="3306"/>
    <col width="12" customWidth="1" min="3307" max="3307"/>
    <col width="16" customWidth="1" min="3308" max="3308"/>
    <col width="5.125" customWidth="1" min="3531" max="3531"/>
    <col width="13.375" customWidth="1" min="3532" max="3532"/>
    <col width="45.75" customWidth="1" min="3533" max="3533"/>
    <col width="10.625" customWidth="1" min="3534" max="3535"/>
    <col width="13.75" customWidth="1" min="3536" max="3536"/>
    <col width="18.375" customWidth="1" min="3537" max="3537"/>
    <col width="20.625" customWidth="1" min="3538" max="3538"/>
    <col width="17.375" customWidth="1" min="3539" max="3539"/>
    <col width="12.125" customWidth="1" min="3540" max="3540"/>
    <col width="10.625" customWidth="1" min="3541" max="3541"/>
    <col width="14.375" customWidth="1" min="3542" max="3542"/>
    <col width="10.625" customWidth="1" min="3543" max="3543"/>
    <col width="13" customWidth="1" min="3544" max="3544"/>
    <col width="13.125" customWidth="1" min="3545" max="3545"/>
    <col width="10.625" customWidth="1" min="3546" max="3547"/>
    <col width="13" customWidth="1" min="3548" max="3548"/>
    <col width="10.625" customWidth="1" min="3549" max="3549"/>
    <col width="12.375" customWidth="1" min="3550" max="3550"/>
    <col width="10.625" customWidth="1" min="3551" max="3551"/>
    <col width="15" customWidth="1" min="3552" max="3552"/>
    <col width="20.375" customWidth="1" min="3553" max="3553"/>
    <col width="10.625" customWidth="1" min="3554" max="3554"/>
    <col width="11.375" customWidth="1" min="3555" max="3555"/>
    <col width="10.625" customWidth="1" min="3556" max="3556"/>
    <col width="16.125" customWidth="1" min="3557" max="3557"/>
    <col width="12.625" customWidth="1" min="3558" max="3558"/>
    <col width="17" customWidth="1" min="3559" max="3559"/>
    <col width="16.375" customWidth="1" min="3560" max="3560"/>
    <col width="20.125" customWidth="1" min="3561" max="3561"/>
    <col width="17.625" customWidth="1" min="3562" max="3562"/>
    <col width="12" customWidth="1" min="3563" max="3563"/>
    <col width="16" customWidth="1" min="3564" max="3564"/>
    <col width="5.125" customWidth="1" min="3787" max="3787"/>
    <col width="13.375" customWidth="1" min="3788" max="3788"/>
    <col width="45.75" customWidth="1" min="3789" max="3789"/>
    <col width="10.625" customWidth="1" min="3790" max="3791"/>
    <col width="13.75" customWidth="1" min="3792" max="3792"/>
    <col width="18.375" customWidth="1" min="3793" max="3793"/>
    <col width="20.625" customWidth="1" min="3794" max="3794"/>
    <col width="17.375" customWidth="1" min="3795" max="3795"/>
    <col width="12.125" customWidth="1" min="3796" max="3796"/>
    <col width="10.625" customWidth="1" min="3797" max="3797"/>
    <col width="14.375" customWidth="1" min="3798" max="3798"/>
    <col width="10.625" customWidth="1" min="3799" max="3799"/>
    <col width="13" customWidth="1" min="3800" max="3800"/>
    <col width="13.125" customWidth="1" min="3801" max="3801"/>
    <col width="10.625" customWidth="1" min="3802" max="3803"/>
    <col width="13" customWidth="1" min="3804" max="3804"/>
    <col width="10.625" customWidth="1" min="3805" max="3805"/>
    <col width="12.375" customWidth="1" min="3806" max="3806"/>
    <col width="10.625" customWidth="1" min="3807" max="3807"/>
    <col width="15" customWidth="1" min="3808" max="3808"/>
    <col width="20.375" customWidth="1" min="3809" max="3809"/>
    <col width="10.625" customWidth="1" min="3810" max="3810"/>
    <col width="11.375" customWidth="1" min="3811" max="3811"/>
    <col width="10.625" customWidth="1" min="3812" max="3812"/>
    <col width="16.125" customWidth="1" min="3813" max="3813"/>
    <col width="12.625" customWidth="1" min="3814" max="3814"/>
    <col width="17" customWidth="1" min="3815" max="3815"/>
    <col width="16.375" customWidth="1" min="3816" max="3816"/>
    <col width="20.125" customWidth="1" min="3817" max="3817"/>
    <col width="17.625" customWidth="1" min="3818" max="3818"/>
    <col width="12" customWidth="1" min="3819" max="3819"/>
    <col width="16" customWidth="1" min="3820" max="3820"/>
    <col width="5.125" customWidth="1" min="4043" max="4043"/>
    <col width="13.375" customWidth="1" min="4044" max="4044"/>
    <col width="45.75" customWidth="1" min="4045" max="4045"/>
    <col width="10.625" customWidth="1" min="4046" max="4047"/>
    <col width="13.75" customWidth="1" min="4048" max="4048"/>
    <col width="18.375" customWidth="1" min="4049" max="4049"/>
    <col width="20.625" customWidth="1" min="4050" max="4050"/>
    <col width="17.375" customWidth="1" min="4051" max="4051"/>
    <col width="12.125" customWidth="1" min="4052" max="4052"/>
    <col width="10.625" customWidth="1" min="4053" max="4053"/>
    <col width="14.375" customWidth="1" min="4054" max="4054"/>
    <col width="10.625" customWidth="1" min="4055" max="4055"/>
    <col width="13" customWidth="1" min="4056" max="4056"/>
    <col width="13.125" customWidth="1" min="4057" max="4057"/>
    <col width="10.625" customWidth="1" min="4058" max="4059"/>
    <col width="13" customWidth="1" min="4060" max="4060"/>
    <col width="10.625" customWidth="1" min="4061" max="4061"/>
    <col width="12.375" customWidth="1" min="4062" max="4062"/>
    <col width="10.625" customWidth="1" min="4063" max="4063"/>
    <col width="15" customWidth="1" min="4064" max="4064"/>
    <col width="20.375" customWidth="1" min="4065" max="4065"/>
    <col width="10.625" customWidth="1" min="4066" max="4066"/>
    <col width="11.375" customWidth="1" min="4067" max="4067"/>
    <col width="10.625" customWidth="1" min="4068" max="4068"/>
    <col width="16.125" customWidth="1" min="4069" max="4069"/>
    <col width="12.625" customWidth="1" min="4070" max="4070"/>
    <col width="17" customWidth="1" min="4071" max="4071"/>
    <col width="16.375" customWidth="1" min="4072" max="4072"/>
    <col width="20.125" customWidth="1" min="4073" max="4073"/>
    <col width="17.625" customWidth="1" min="4074" max="4074"/>
    <col width="12" customWidth="1" min="4075" max="4075"/>
    <col width="16" customWidth="1" min="4076" max="4076"/>
    <col width="5.125" customWidth="1" min="4299" max="4299"/>
    <col width="13.375" customWidth="1" min="4300" max="4300"/>
    <col width="45.75" customWidth="1" min="4301" max="4301"/>
    <col width="10.625" customWidth="1" min="4302" max="4303"/>
    <col width="13.75" customWidth="1" min="4304" max="4304"/>
    <col width="18.375" customWidth="1" min="4305" max="4305"/>
    <col width="20.625" customWidth="1" min="4306" max="4306"/>
    <col width="17.375" customWidth="1" min="4307" max="4307"/>
    <col width="12.125" customWidth="1" min="4308" max="4308"/>
    <col width="10.625" customWidth="1" min="4309" max="4309"/>
    <col width="14.375" customWidth="1" min="4310" max="4310"/>
    <col width="10.625" customWidth="1" min="4311" max="4311"/>
    <col width="13" customWidth="1" min="4312" max="4312"/>
    <col width="13.125" customWidth="1" min="4313" max="4313"/>
    <col width="10.625" customWidth="1" min="4314" max="4315"/>
    <col width="13" customWidth="1" min="4316" max="4316"/>
    <col width="10.625" customWidth="1" min="4317" max="4317"/>
    <col width="12.375" customWidth="1" min="4318" max="4318"/>
    <col width="10.625" customWidth="1" min="4319" max="4319"/>
    <col width="15" customWidth="1" min="4320" max="4320"/>
    <col width="20.375" customWidth="1" min="4321" max="4321"/>
    <col width="10.625" customWidth="1" min="4322" max="4322"/>
    <col width="11.375" customWidth="1" min="4323" max="4323"/>
    <col width="10.625" customWidth="1" min="4324" max="4324"/>
    <col width="16.125" customWidth="1" min="4325" max="4325"/>
    <col width="12.625" customWidth="1" min="4326" max="4326"/>
    <col width="17" customWidth="1" min="4327" max="4327"/>
    <col width="16.375" customWidth="1" min="4328" max="4328"/>
    <col width="20.125" customWidth="1" min="4329" max="4329"/>
    <col width="17.625" customWidth="1" min="4330" max="4330"/>
    <col width="12" customWidth="1" min="4331" max="4331"/>
    <col width="16" customWidth="1" min="4332" max="4332"/>
    <col width="5.125" customWidth="1" min="4555" max="4555"/>
    <col width="13.375" customWidth="1" min="4556" max="4556"/>
    <col width="45.75" customWidth="1" min="4557" max="4557"/>
    <col width="10.625" customWidth="1" min="4558" max="4559"/>
    <col width="13.75" customWidth="1" min="4560" max="4560"/>
    <col width="18.375" customWidth="1" min="4561" max="4561"/>
    <col width="20.625" customWidth="1" min="4562" max="4562"/>
    <col width="17.375" customWidth="1" min="4563" max="4563"/>
    <col width="12.125" customWidth="1" min="4564" max="4564"/>
    <col width="10.625" customWidth="1" min="4565" max="4565"/>
    <col width="14.375" customWidth="1" min="4566" max="4566"/>
    <col width="10.625" customWidth="1" min="4567" max="4567"/>
    <col width="13" customWidth="1" min="4568" max="4568"/>
    <col width="13.125" customWidth="1" min="4569" max="4569"/>
    <col width="10.625" customWidth="1" min="4570" max="4571"/>
    <col width="13" customWidth="1" min="4572" max="4572"/>
    <col width="10.625" customWidth="1" min="4573" max="4573"/>
    <col width="12.375" customWidth="1" min="4574" max="4574"/>
    <col width="10.625" customWidth="1" min="4575" max="4575"/>
    <col width="15" customWidth="1" min="4576" max="4576"/>
    <col width="20.375" customWidth="1" min="4577" max="4577"/>
    <col width="10.625" customWidth="1" min="4578" max="4578"/>
    <col width="11.375" customWidth="1" min="4579" max="4579"/>
    <col width="10.625" customWidth="1" min="4580" max="4580"/>
    <col width="16.125" customWidth="1" min="4581" max="4581"/>
    <col width="12.625" customWidth="1" min="4582" max="4582"/>
    <col width="17" customWidth="1" min="4583" max="4583"/>
    <col width="16.375" customWidth="1" min="4584" max="4584"/>
    <col width="20.125" customWidth="1" min="4585" max="4585"/>
    <col width="17.625" customWidth="1" min="4586" max="4586"/>
    <col width="12" customWidth="1" min="4587" max="4587"/>
    <col width="16" customWidth="1" min="4588" max="4588"/>
    <col width="5.125" customWidth="1" min="4811" max="4811"/>
    <col width="13.375" customWidth="1" min="4812" max="4812"/>
    <col width="45.75" customWidth="1" min="4813" max="4813"/>
    <col width="10.625" customWidth="1" min="4814" max="4815"/>
    <col width="13.75" customWidth="1" min="4816" max="4816"/>
    <col width="18.375" customWidth="1" min="4817" max="4817"/>
    <col width="20.625" customWidth="1" min="4818" max="4818"/>
    <col width="17.375" customWidth="1" min="4819" max="4819"/>
    <col width="12.125" customWidth="1" min="4820" max="4820"/>
    <col width="10.625" customWidth="1" min="4821" max="4821"/>
    <col width="14.375" customWidth="1" min="4822" max="4822"/>
    <col width="10.625" customWidth="1" min="4823" max="4823"/>
    <col width="13" customWidth="1" min="4824" max="4824"/>
    <col width="13.125" customWidth="1" min="4825" max="4825"/>
    <col width="10.625" customWidth="1" min="4826" max="4827"/>
    <col width="13" customWidth="1" min="4828" max="4828"/>
    <col width="10.625" customWidth="1" min="4829" max="4829"/>
    <col width="12.375" customWidth="1" min="4830" max="4830"/>
    <col width="10.625" customWidth="1" min="4831" max="4831"/>
    <col width="15" customWidth="1" min="4832" max="4832"/>
    <col width="20.375" customWidth="1" min="4833" max="4833"/>
    <col width="10.625" customWidth="1" min="4834" max="4834"/>
    <col width="11.375" customWidth="1" min="4835" max="4835"/>
    <col width="10.625" customWidth="1" min="4836" max="4836"/>
    <col width="16.125" customWidth="1" min="4837" max="4837"/>
    <col width="12.625" customWidth="1" min="4838" max="4838"/>
    <col width="17" customWidth="1" min="4839" max="4839"/>
    <col width="16.375" customWidth="1" min="4840" max="4840"/>
    <col width="20.125" customWidth="1" min="4841" max="4841"/>
    <col width="17.625" customWidth="1" min="4842" max="4842"/>
    <col width="12" customWidth="1" min="4843" max="4843"/>
    <col width="16" customWidth="1" min="4844" max="4844"/>
    <col width="5.125" customWidth="1" min="5067" max="5067"/>
    <col width="13.375" customWidth="1" min="5068" max="5068"/>
    <col width="45.75" customWidth="1" min="5069" max="5069"/>
    <col width="10.625" customWidth="1" min="5070" max="5071"/>
    <col width="13.75" customWidth="1" min="5072" max="5072"/>
    <col width="18.375" customWidth="1" min="5073" max="5073"/>
    <col width="20.625" customWidth="1" min="5074" max="5074"/>
    <col width="17.375" customWidth="1" min="5075" max="5075"/>
    <col width="12.125" customWidth="1" min="5076" max="5076"/>
    <col width="10.625" customWidth="1" min="5077" max="5077"/>
    <col width="14.375" customWidth="1" min="5078" max="5078"/>
    <col width="10.625" customWidth="1" min="5079" max="5079"/>
    <col width="13" customWidth="1" min="5080" max="5080"/>
    <col width="13.125" customWidth="1" min="5081" max="5081"/>
    <col width="10.625" customWidth="1" min="5082" max="5083"/>
    <col width="13" customWidth="1" min="5084" max="5084"/>
    <col width="10.625" customWidth="1" min="5085" max="5085"/>
    <col width="12.375" customWidth="1" min="5086" max="5086"/>
    <col width="10.625" customWidth="1" min="5087" max="5087"/>
    <col width="15" customWidth="1" min="5088" max="5088"/>
    <col width="20.375" customWidth="1" min="5089" max="5089"/>
    <col width="10.625" customWidth="1" min="5090" max="5090"/>
    <col width="11.375" customWidth="1" min="5091" max="5091"/>
    <col width="10.625" customWidth="1" min="5092" max="5092"/>
    <col width="16.125" customWidth="1" min="5093" max="5093"/>
    <col width="12.625" customWidth="1" min="5094" max="5094"/>
    <col width="17" customWidth="1" min="5095" max="5095"/>
    <col width="16.375" customWidth="1" min="5096" max="5096"/>
    <col width="20.125" customWidth="1" min="5097" max="5097"/>
    <col width="17.625" customWidth="1" min="5098" max="5098"/>
    <col width="12" customWidth="1" min="5099" max="5099"/>
    <col width="16" customWidth="1" min="5100" max="5100"/>
    <col width="5.125" customWidth="1" min="5323" max="5323"/>
    <col width="13.375" customWidth="1" min="5324" max="5324"/>
    <col width="45.75" customWidth="1" min="5325" max="5325"/>
    <col width="10.625" customWidth="1" min="5326" max="5327"/>
    <col width="13.75" customWidth="1" min="5328" max="5328"/>
    <col width="18.375" customWidth="1" min="5329" max="5329"/>
    <col width="20.625" customWidth="1" min="5330" max="5330"/>
    <col width="17.375" customWidth="1" min="5331" max="5331"/>
    <col width="12.125" customWidth="1" min="5332" max="5332"/>
    <col width="10.625" customWidth="1" min="5333" max="5333"/>
    <col width="14.375" customWidth="1" min="5334" max="5334"/>
    <col width="10.625" customWidth="1" min="5335" max="5335"/>
    <col width="13" customWidth="1" min="5336" max="5336"/>
    <col width="13.125" customWidth="1" min="5337" max="5337"/>
    <col width="10.625" customWidth="1" min="5338" max="5339"/>
    <col width="13" customWidth="1" min="5340" max="5340"/>
    <col width="10.625" customWidth="1" min="5341" max="5341"/>
    <col width="12.375" customWidth="1" min="5342" max="5342"/>
    <col width="10.625" customWidth="1" min="5343" max="5343"/>
    <col width="15" customWidth="1" min="5344" max="5344"/>
    <col width="20.375" customWidth="1" min="5345" max="5345"/>
    <col width="10.625" customWidth="1" min="5346" max="5346"/>
    <col width="11.375" customWidth="1" min="5347" max="5347"/>
    <col width="10.625" customWidth="1" min="5348" max="5348"/>
    <col width="16.125" customWidth="1" min="5349" max="5349"/>
    <col width="12.625" customWidth="1" min="5350" max="5350"/>
    <col width="17" customWidth="1" min="5351" max="5351"/>
    <col width="16.375" customWidth="1" min="5352" max="5352"/>
    <col width="20.125" customWidth="1" min="5353" max="5353"/>
    <col width="17.625" customWidth="1" min="5354" max="5354"/>
    <col width="12" customWidth="1" min="5355" max="5355"/>
    <col width="16" customWidth="1" min="5356" max="5356"/>
    <col width="5.125" customWidth="1" min="5579" max="5579"/>
    <col width="13.375" customWidth="1" min="5580" max="5580"/>
    <col width="45.75" customWidth="1" min="5581" max="5581"/>
    <col width="10.625" customWidth="1" min="5582" max="5583"/>
    <col width="13.75" customWidth="1" min="5584" max="5584"/>
    <col width="18.375" customWidth="1" min="5585" max="5585"/>
    <col width="20.625" customWidth="1" min="5586" max="5586"/>
    <col width="17.375" customWidth="1" min="5587" max="5587"/>
    <col width="12.125" customWidth="1" min="5588" max="5588"/>
    <col width="10.625" customWidth="1" min="5589" max="5589"/>
    <col width="14.375" customWidth="1" min="5590" max="5590"/>
    <col width="10.625" customWidth="1" min="5591" max="5591"/>
    <col width="13" customWidth="1" min="5592" max="5592"/>
    <col width="13.125" customWidth="1" min="5593" max="5593"/>
    <col width="10.625" customWidth="1" min="5594" max="5595"/>
    <col width="13" customWidth="1" min="5596" max="5596"/>
    <col width="10.625" customWidth="1" min="5597" max="5597"/>
    <col width="12.375" customWidth="1" min="5598" max="5598"/>
    <col width="10.625" customWidth="1" min="5599" max="5599"/>
    <col width="15" customWidth="1" min="5600" max="5600"/>
    <col width="20.375" customWidth="1" min="5601" max="5601"/>
    <col width="10.625" customWidth="1" min="5602" max="5602"/>
    <col width="11.375" customWidth="1" min="5603" max="5603"/>
    <col width="10.625" customWidth="1" min="5604" max="5604"/>
    <col width="16.125" customWidth="1" min="5605" max="5605"/>
    <col width="12.625" customWidth="1" min="5606" max="5606"/>
    <col width="17" customWidth="1" min="5607" max="5607"/>
    <col width="16.375" customWidth="1" min="5608" max="5608"/>
    <col width="20.125" customWidth="1" min="5609" max="5609"/>
    <col width="17.625" customWidth="1" min="5610" max="5610"/>
    <col width="12" customWidth="1" min="5611" max="5611"/>
    <col width="16" customWidth="1" min="5612" max="5612"/>
    <col width="5.125" customWidth="1" min="5835" max="5835"/>
    <col width="13.375" customWidth="1" min="5836" max="5836"/>
    <col width="45.75" customWidth="1" min="5837" max="5837"/>
    <col width="10.625" customWidth="1" min="5838" max="5839"/>
    <col width="13.75" customWidth="1" min="5840" max="5840"/>
    <col width="18.375" customWidth="1" min="5841" max="5841"/>
    <col width="20.625" customWidth="1" min="5842" max="5842"/>
    <col width="17.375" customWidth="1" min="5843" max="5843"/>
    <col width="12.125" customWidth="1" min="5844" max="5844"/>
    <col width="10.625" customWidth="1" min="5845" max="5845"/>
    <col width="14.375" customWidth="1" min="5846" max="5846"/>
    <col width="10.625" customWidth="1" min="5847" max="5847"/>
    <col width="13" customWidth="1" min="5848" max="5848"/>
    <col width="13.125" customWidth="1" min="5849" max="5849"/>
    <col width="10.625" customWidth="1" min="5850" max="5851"/>
    <col width="13" customWidth="1" min="5852" max="5852"/>
    <col width="10.625" customWidth="1" min="5853" max="5853"/>
    <col width="12.375" customWidth="1" min="5854" max="5854"/>
    <col width="10.625" customWidth="1" min="5855" max="5855"/>
    <col width="15" customWidth="1" min="5856" max="5856"/>
    <col width="20.375" customWidth="1" min="5857" max="5857"/>
    <col width="10.625" customWidth="1" min="5858" max="5858"/>
    <col width="11.375" customWidth="1" min="5859" max="5859"/>
    <col width="10.625" customWidth="1" min="5860" max="5860"/>
    <col width="16.125" customWidth="1" min="5861" max="5861"/>
    <col width="12.625" customWidth="1" min="5862" max="5862"/>
    <col width="17" customWidth="1" min="5863" max="5863"/>
    <col width="16.375" customWidth="1" min="5864" max="5864"/>
    <col width="20.125" customWidth="1" min="5865" max="5865"/>
    <col width="17.625" customWidth="1" min="5866" max="5866"/>
    <col width="12" customWidth="1" min="5867" max="5867"/>
    <col width="16" customWidth="1" min="5868" max="5868"/>
    <col width="5.125" customWidth="1" min="6091" max="6091"/>
    <col width="13.375" customWidth="1" min="6092" max="6092"/>
    <col width="45.75" customWidth="1" min="6093" max="6093"/>
    <col width="10.625" customWidth="1" min="6094" max="6095"/>
    <col width="13.75" customWidth="1" min="6096" max="6096"/>
    <col width="18.375" customWidth="1" min="6097" max="6097"/>
    <col width="20.625" customWidth="1" min="6098" max="6098"/>
    <col width="17.375" customWidth="1" min="6099" max="6099"/>
    <col width="12.125" customWidth="1" min="6100" max="6100"/>
    <col width="10.625" customWidth="1" min="6101" max="6101"/>
    <col width="14.375" customWidth="1" min="6102" max="6102"/>
    <col width="10.625" customWidth="1" min="6103" max="6103"/>
    <col width="13" customWidth="1" min="6104" max="6104"/>
    <col width="13.125" customWidth="1" min="6105" max="6105"/>
    <col width="10.625" customWidth="1" min="6106" max="6107"/>
    <col width="13" customWidth="1" min="6108" max="6108"/>
    <col width="10.625" customWidth="1" min="6109" max="6109"/>
    <col width="12.375" customWidth="1" min="6110" max="6110"/>
    <col width="10.625" customWidth="1" min="6111" max="6111"/>
    <col width="15" customWidth="1" min="6112" max="6112"/>
    <col width="20.375" customWidth="1" min="6113" max="6113"/>
    <col width="10.625" customWidth="1" min="6114" max="6114"/>
    <col width="11.375" customWidth="1" min="6115" max="6115"/>
    <col width="10.625" customWidth="1" min="6116" max="6116"/>
    <col width="16.125" customWidth="1" min="6117" max="6117"/>
    <col width="12.625" customWidth="1" min="6118" max="6118"/>
    <col width="17" customWidth="1" min="6119" max="6119"/>
    <col width="16.375" customWidth="1" min="6120" max="6120"/>
    <col width="20.125" customWidth="1" min="6121" max="6121"/>
    <col width="17.625" customWidth="1" min="6122" max="6122"/>
    <col width="12" customWidth="1" min="6123" max="6123"/>
    <col width="16" customWidth="1" min="6124" max="6124"/>
    <col width="5.125" customWidth="1" min="6347" max="6347"/>
    <col width="13.375" customWidth="1" min="6348" max="6348"/>
    <col width="45.75" customWidth="1" min="6349" max="6349"/>
    <col width="10.625" customWidth="1" min="6350" max="6351"/>
    <col width="13.75" customWidth="1" min="6352" max="6352"/>
    <col width="18.375" customWidth="1" min="6353" max="6353"/>
    <col width="20.625" customWidth="1" min="6354" max="6354"/>
    <col width="17.375" customWidth="1" min="6355" max="6355"/>
    <col width="12.125" customWidth="1" min="6356" max="6356"/>
    <col width="10.625" customWidth="1" min="6357" max="6357"/>
    <col width="14.375" customWidth="1" min="6358" max="6358"/>
    <col width="10.625" customWidth="1" min="6359" max="6359"/>
    <col width="13" customWidth="1" min="6360" max="6360"/>
    <col width="13.125" customWidth="1" min="6361" max="6361"/>
    <col width="10.625" customWidth="1" min="6362" max="6363"/>
    <col width="13" customWidth="1" min="6364" max="6364"/>
    <col width="10.625" customWidth="1" min="6365" max="6365"/>
    <col width="12.375" customWidth="1" min="6366" max="6366"/>
    <col width="10.625" customWidth="1" min="6367" max="6367"/>
    <col width="15" customWidth="1" min="6368" max="6368"/>
    <col width="20.375" customWidth="1" min="6369" max="6369"/>
    <col width="10.625" customWidth="1" min="6370" max="6370"/>
    <col width="11.375" customWidth="1" min="6371" max="6371"/>
    <col width="10.625" customWidth="1" min="6372" max="6372"/>
    <col width="16.125" customWidth="1" min="6373" max="6373"/>
    <col width="12.625" customWidth="1" min="6374" max="6374"/>
    <col width="17" customWidth="1" min="6375" max="6375"/>
    <col width="16.375" customWidth="1" min="6376" max="6376"/>
    <col width="20.125" customWidth="1" min="6377" max="6377"/>
    <col width="17.625" customWidth="1" min="6378" max="6378"/>
    <col width="12" customWidth="1" min="6379" max="6379"/>
    <col width="16" customWidth="1" min="6380" max="6380"/>
    <col width="5.125" customWidth="1" min="6603" max="6603"/>
    <col width="13.375" customWidth="1" min="6604" max="6604"/>
    <col width="45.75" customWidth="1" min="6605" max="6605"/>
    <col width="10.625" customWidth="1" min="6606" max="6607"/>
    <col width="13.75" customWidth="1" min="6608" max="6608"/>
    <col width="18.375" customWidth="1" min="6609" max="6609"/>
    <col width="20.625" customWidth="1" min="6610" max="6610"/>
    <col width="17.375" customWidth="1" min="6611" max="6611"/>
    <col width="12.125" customWidth="1" min="6612" max="6612"/>
    <col width="10.625" customWidth="1" min="6613" max="6613"/>
    <col width="14.375" customWidth="1" min="6614" max="6614"/>
    <col width="10.625" customWidth="1" min="6615" max="6615"/>
    <col width="13" customWidth="1" min="6616" max="6616"/>
    <col width="13.125" customWidth="1" min="6617" max="6617"/>
    <col width="10.625" customWidth="1" min="6618" max="6619"/>
    <col width="13" customWidth="1" min="6620" max="6620"/>
    <col width="10.625" customWidth="1" min="6621" max="6621"/>
    <col width="12.375" customWidth="1" min="6622" max="6622"/>
    <col width="10.625" customWidth="1" min="6623" max="6623"/>
    <col width="15" customWidth="1" min="6624" max="6624"/>
    <col width="20.375" customWidth="1" min="6625" max="6625"/>
    <col width="10.625" customWidth="1" min="6626" max="6626"/>
    <col width="11.375" customWidth="1" min="6627" max="6627"/>
    <col width="10.625" customWidth="1" min="6628" max="6628"/>
    <col width="16.125" customWidth="1" min="6629" max="6629"/>
    <col width="12.625" customWidth="1" min="6630" max="6630"/>
    <col width="17" customWidth="1" min="6631" max="6631"/>
    <col width="16.375" customWidth="1" min="6632" max="6632"/>
    <col width="20.125" customWidth="1" min="6633" max="6633"/>
    <col width="17.625" customWidth="1" min="6634" max="6634"/>
    <col width="12" customWidth="1" min="6635" max="6635"/>
    <col width="16" customWidth="1" min="6636" max="6636"/>
    <col width="5.125" customWidth="1" min="6859" max="6859"/>
    <col width="13.375" customWidth="1" min="6860" max="6860"/>
    <col width="45.75" customWidth="1" min="6861" max="6861"/>
    <col width="10.625" customWidth="1" min="6862" max="6863"/>
    <col width="13.75" customWidth="1" min="6864" max="6864"/>
    <col width="18.375" customWidth="1" min="6865" max="6865"/>
    <col width="20.625" customWidth="1" min="6866" max="6866"/>
    <col width="17.375" customWidth="1" min="6867" max="6867"/>
    <col width="12.125" customWidth="1" min="6868" max="6868"/>
    <col width="10.625" customWidth="1" min="6869" max="6869"/>
    <col width="14.375" customWidth="1" min="6870" max="6870"/>
    <col width="10.625" customWidth="1" min="6871" max="6871"/>
    <col width="13" customWidth="1" min="6872" max="6872"/>
    <col width="13.125" customWidth="1" min="6873" max="6873"/>
    <col width="10.625" customWidth="1" min="6874" max="6875"/>
    <col width="13" customWidth="1" min="6876" max="6876"/>
    <col width="10.625" customWidth="1" min="6877" max="6877"/>
    <col width="12.375" customWidth="1" min="6878" max="6878"/>
    <col width="10.625" customWidth="1" min="6879" max="6879"/>
    <col width="15" customWidth="1" min="6880" max="6880"/>
    <col width="20.375" customWidth="1" min="6881" max="6881"/>
    <col width="10.625" customWidth="1" min="6882" max="6882"/>
    <col width="11.375" customWidth="1" min="6883" max="6883"/>
    <col width="10.625" customWidth="1" min="6884" max="6884"/>
    <col width="16.125" customWidth="1" min="6885" max="6885"/>
    <col width="12.625" customWidth="1" min="6886" max="6886"/>
    <col width="17" customWidth="1" min="6887" max="6887"/>
    <col width="16.375" customWidth="1" min="6888" max="6888"/>
    <col width="20.125" customWidth="1" min="6889" max="6889"/>
    <col width="17.625" customWidth="1" min="6890" max="6890"/>
    <col width="12" customWidth="1" min="6891" max="6891"/>
    <col width="16" customWidth="1" min="6892" max="6892"/>
    <col width="5.125" customWidth="1" min="7115" max="7115"/>
    <col width="13.375" customWidth="1" min="7116" max="7116"/>
    <col width="45.75" customWidth="1" min="7117" max="7117"/>
    <col width="10.625" customWidth="1" min="7118" max="7119"/>
    <col width="13.75" customWidth="1" min="7120" max="7120"/>
    <col width="18.375" customWidth="1" min="7121" max="7121"/>
    <col width="20.625" customWidth="1" min="7122" max="7122"/>
    <col width="17.375" customWidth="1" min="7123" max="7123"/>
    <col width="12.125" customWidth="1" min="7124" max="7124"/>
    <col width="10.625" customWidth="1" min="7125" max="7125"/>
    <col width="14.375" customWidth="1" min="7126" max="7126"/>
    <col width="10.625" customWidth="1" min="7127" max="7127"/>
    <col width="13" customWidth="1" min="7128" max="7128"/>
    <col width="13.125" customWidth="1" min="7129" max="7129"/>
    <col width="10.625" customWidth="1" min="7130" max="7131"/>
    <col width="13" customWidth="1" min="7132" max="7132"/>
    <col width="10.625" customWidth="1" min="7133" max="7133"/>
    <col width="12.375" customWidth="1" min="7134" max="7134"/>
    <col width="10.625" customWidth="1" min="7135" max="7135"/>
    <col width="15" customWidth="1" min="7136" max="7136"/>
    <col width="20.375" customWidth="1" min="7137" max="7137"/>
    <col width="10.625" customWidth="1" min="7138" max="7138"/>
    <col width="11.375" customWidth="1" min="7139" max="7139"/>
    <col width="10.625" customWidth="1" min="7140" max="7140"/>
    <col width="16.125" customWidth="1" min="7141" max="7141"/>
    <col width="12.625" customWidth="1" min="7142" max="7142"/>
    <col width="17" customWidth="1" min="7143" max="7143"/>
    <col width="16.375" customWidth="1" min="7144" max="7144"/>
    <col width="20.125" customWidth="1" min="7145" max="7145"/>
    <col width="17.625" customWidth="1" min="7146" max="7146"/>
    <col width="12" customWidth="1" min="7147" max="7147"/>
    <col width="16" customWidth="1" min="7148" max="7148"/>
    <col width="5.125" customWidth="1" min="7371" max="7371"/>
    <col width="13.375" customWidth="1" min="7372" max="7372"/>
    <col width="45.75" customWidth="1" min="7373" max="7373"/>
    <col width="10.625" customWidth="1" min="7374" max="7375"/>
    <col width="13.75" customWidth="1" min="7376" max="7376"/>
    <col width="18.375" customWidth="1" min="7377" max="7377"/>
    <col width="20.625" customWidth="1" min="7378" max="7378"/>
    <col width="17.375" customWidth="1" min="7379" max="7379"/>
    <col width="12.125" customWidth="1" min="7380" max="7380"/>
    <col width="10.625" customWidth="1" min="7381" max="7381"/>
    <col width="14.375" customWidth="1" min="7382" max="7382"/>
    <col width="10.625" customWidth="1" min="7383" max="7383"/>
    <col width="13" customWidth="1" min="7384" max="7384"/>
    <col width="13.125" customWidth="1" min="7385" max="7385"/>
    <col width="10.625" customWidth="1" min="7386" max="7387"/>
    <col width="13" customWidth="1" min="7388" max="7388"/>
    <col width="10.625" customWidth="1" min="7389" max="7389"/>
    <col width="12.375" customWidth="1" min="7390" max="7390"/>
    <col width="10.625" customWidth="1" min="7391" max="7391"/>
    <col width="15" customWidth="1" min="7392" max="7392"/>
    <col width="20.375" customWidth="1" min="7393" max="7393"/>
    <col width="10.625" customWidth="1" min="7394" max="7394"/>
    <col width="11.375" customWidth="1" min="7395" max="7395"/>
    <col width="10.625" customWidth="1" min="7396" max="7396"/>
    <col width="16.125" customWidth="1" min="7397" max="7397"/>
    <col width="12.625" customWidth="1" min="7398" max="7398"/>
    <col width="17" customWidth="1" min="7399" max="7399"/>
    <col width="16.375" customWidth="1" min="7400" max="7400"/>
    <col width="20.125" customWidth="1" min="7401" max="7401"/>
    <col width="17.625" customWidth="1" min="7402" max="7402"/>
    <col width="12" customWidth="1" min="7403" max="7403"/>
    <col width="16" customWidth="1" min="7404" max="7404"/>
    <col width="5.125" customWidth="1" min="7627" max="7627"/>
    <col width="13.375" customWidth="1" min="7628" max="7628"/>
    <col width="45.75" customWidth="1" min="7629" max="7629"/>
    <col width="10.625" customWidth="1" min="7630" max="7631"/>
    <col width="13.75" customWidth="1" min="7632" max="7632"/>
    <col width="18.375" customWidth="1" min="7633" max="7633"/>
    <col width="20.625" customWidth="1" min="7634" max="7634"/>
    <col width="17.375" customWidth="1" min="7635" max="7635"/>
    <col width="12.125" customWidth="1" min="7636" max="7636"/>
    <col width="10.625" customWidth="1" min="7637" max="7637"/>
    <col width="14.375" customWidth="1" min="7638" max="7638"/>
    <col width="10.625" customWidth="1" min="7639" max="7639"/>
    <col width="13" customWidth="1" min="7640" max="7640"/>
    <col width="13.125" customWidth="1" min="7641" max="7641"/>
    <col width="10.625" customWidth="1" min="7642" max="7643"/>
    <col width="13" customWidth="1" min="7644" max="7644"/>
    <col width="10.625" customWidth="1" min="7645" max="7645"/>
    <col width="12.375" customWidth="1" min="7646" max="7646"/>
    <col width="10.625" customWidth="1" min="7647" max="7647"/>
    <col width="15" customWidth="1" min="7648" max="7648"/>
    <col width="20.375" customWidth="1" min="7649" max="7649"/>
    <col width="10.625" customWidth="1" min="7650" max="7650"/>
    <col width="11.375" customWidth="1" min="7651" max="7651"/>
    <col width="10.625" customWidth="1" min="7652" max="7652"/>
    <col width="16.125" customWidth="1" min="7653" max="7653"/>
    <col width="12.625" customWidth="1" min="7654" max="7654"/>
    <col width="17" customWidth="1" min="7655" max="7655"/>
    <col width="16.375" customWidth="1" min="7656" max="7656"/>
    <col width="20.125" customWidth="1" min="7657" max="7657"/>
    <col width="17.625" customWidth="1" min="7658" max="7658"/>
    <col width="12" customWidth="1" min="7659" max="7659"/>
    <col width="16" customWidth="1" min="7660" max="7660"/>
    <col width="5.125" customWidth="1" min="7883" max="7883"/>
    <col width="13.375" customWidth="1" min="7884" max="7884"/>
    <col width="45.75" customWidth="1" min="7885" max="7885"/>
    <col width="10.625" customWidth="1" min="7886" max="7887"/>
    <col width="13.75" customWidth="1" min="7888" max="7888"/>
    <col width="18.375" customWidth="1" min="7889" max="7889"/>
    <col width="20.625" customWidth="1" min="7890" max="7890"/>
    <col width="17.375" customWidth="1" min="7891" max="7891"/>
    <col width="12.125" customWidth="1" min="7892" max="7892"/>
    <col width="10.625" customWidth="1" min="7893" max="7893"/>
    <col width="14.375" customWidth="1" min="7894" max="7894"/>
    <col width="10.625" customWidth="1" min="7895" max="7895"/>
    <col width="13" customWidth="1" min="7896" max="7896"/>
    <col width="13.125" customWidth="1" min="7897" max="7897"/>
    <col width="10.625" customWidth="1" min="7898" max="7899"/>
    <col width="13" customWidth="1" min="7900" max="7900"/>
    <col width="10.625" customWidth="1" min="7901" max="7901"/>
    <col width="12.375" customWidth="1" min="7902" max="7902"/>
    <col width="10.625" customWidth="1" min="7903" max="7903"/>
    <col width="15" customWidth="1" min="7904" max="7904"/>
    <col width="20.375" customWidth="1" min="7905" max="7905"/>
    <col width="10.625" customWidth="1" min="7906" max="7906"/>
    <col width="11.375" customWidth="1" min="7907" max="7907"/>
    <col width="10.625" customWidth="1" min="7908" max="7908"/>
    <col width="16.125" customWidth="1" min="7909" max="7909"/>
    <col width="12.625" customWidth="1" min="7910" max="7910"/>
    <col width="17" customWidth="1" min="7911" max="7911"/>
    <col width="16.375" customWidth="1" min="7912" max="7912"/>
    <col width="20.125" customWidth="1" min="7913" max="7913"/>
    <col width="17.625" customWidth="1" min="7914" max="7914"/>
    <col width="12" customWidth="1" min="7915" max="7915"/>
    <col width="16" customWidth="1" min="7916" max="7916"/>
    <col width="5.125" customWidth="1" min="8139" max="8139"/>
    <col width="13.375" customWidth="1" min="8140" max="8140"/>
    <col width="45.75" customWidth="1" min="8141" max="8141"/>
    <col width="10.625" customWidth="1" min="8142" max="8143"/>
    <col width="13.75" customWidth="1" min="8144" max="8144"/>
    <col width="18.375" customWidth="1" min="8145" max="8145"/>
    <col width="20.625" customWidth="1" min="8146" max="8146"/>
    <col width="17.375" customWidth="1" min="8147" max="8147"/>
    <col width="12.125" customWidth="1" min="8148" max="8148"/>
    <col width="10.625" customWidth="1" min="8149" max="8149"/>
    <col width="14.375" customWidth="1" min="8150" max="8150"/>
    <col width="10.625" customWidth="1" min="8151" max="8151"/>
    <col width="13" customWidth="1" min="8152" max="8152"/>
    <col width="13.125" customWidth="1" min="8153" max="8153"/>
    <col width="10.625" customWidth="1" min="8154" max="8155"/>
    <col width="13" customWidth="1" min="8156" max="8156"/>
    <col width="10.625" customWidth="1" min="8157" max="8157"/>
    <col width="12.375" customWidth="1" min="8158" max="8158"/>
    <col width="10.625" customWidth="1" min="8159" max="8159"/>
    <col width="15" customWidth="1" min="8160" max="8160"/>
    <col width="20.375" customWidth="1" min="8161" max="8161"/>
    <col width="10.625" customWidth="1" min="8162" max="8162"/>
    <col width="11.375" customWidth="1" min="8163" max="8163"/>
    <col width="10.625" customWidth="1" min="8164" max="8164"/>
    <col width="16.125" customWidth="1" min="8165" max="8165"/>
    <col width="12.625" customWidth="1" min="8166" max="8166"/>
    <col width="17" customWidth="1" min="8167" max="8167"/>
    <col width="16.375" customWidth="1" min="8168" max="8168"/>
    <col width="20.125" customWidth="1" min="8169" max="8169"/>
    <col width="17.625" customWidth="1" min="8170" max="8170"/>
    <col width="12" customWidth="1" min="8171" max="8171"/>
    <col width="16" customWidth="1" min="8172" max="8172"/>
    <col width="5.125" customWidth="1" min="8395" max="8395"/>
    <col width="13.375" customWidth="1" min="8396" max="8396"/>
    <col width="45.75" customWidth="1" min="8397" max="8397"/>
    <col width="10.625" customWidth="1" min="8398" max="8399"/>
    <col width="13.75" customWidth="1" min="8400" max="8400"/>
    <col width="18.375" customWidth="1" min="8401" max="8401"/>
    <col width="20.625" customWidth="1" min="8402" max="8402"/>
    <col width="17.375" customWidth="1" min="8403" max="8403"/>
    <col width="12.125" customWidth="1" min="8404" max="8404"/>
    <col width="10.625" customWidth="1" min="8405" max="8405"/>
    <col width="14.375" customWidth="1" min="8406" max="8406"/>
    <col width="10.625" customWidth="1" min="8407" max="8407"/>
    <col width="13" customWidth="1" min="8408" max="8408"/>
    <col width="13.125" customWidth="1" min="8409" max="8409"/>
    <col width="10.625" customWidth="1" min="8410" max="8411"/>
    <col width="13" customWidth="1" min="8412" max="8412"/>
    <col width="10.625" customWidth="1" min="8413" max="8413"/>
    <col width="12.375" customWidth="1" min="8414" max="8414"/>
    <col width="10.625" customWidth="1" min="8415" max="8415"/>
    <col width="15" customWidth="1" min="8416" max="8416"/>
    <col width="20.375" customWidth="1" min="8417" max="8417"/>
    <col width="10.625" customWidth="1" min="8418" max="8418"/>
    <col width="11.375" customWidth="1" min="8419" max="8419"/>
    <col width="10.625" customWidth="1" min="8420" max="8420"/>
    <col width="16.125" customWidth="1" min="8421" max="8421"/>
    <col width="12.625" customWidth="1" min="8422" max="8422"/>
    <col width="17" customWidth="1" min="8423" max="8423"/>
    <col width="16.375" customWidth="1" min="8424" max="8424"/>
    <col width="20.125" customWidth="1" min="8425" max="8425"/>
    <col width="17.625" customWidth="1" min="8426" max="8426"/>
    <col width="12" customWidth="1" min="8427" max="8427"/>
    <col width="16" customWidth="1" min="8428" max="8428"/>
    <col width="5.125" customWidth="1" min="8651" max="8651"/>
    <col width="13.375" customWidth="1" min="8652" max="8652"/>
    <col width="45.75" customWidth="1" min="8653" max="8653"/>
    <col width="10.625" customWidth="1" min="8654" max="8655"/>
    <col width="13.75" customWidth="1" min="8656" max="8656"/>
    <col width="18.375" customWidth="1" min="8657" max="8657"/>
    <col width="20.625" customWidth="1" min="8658" max="8658"/>
    <col width="17.375" customWidth="1" min="8659" max="8659"/>
    <col width="12.125" customWidth="1" min="8660" max="8660"/>
    <col width="10.625" customWidth="1" min="8661" max="8661"/>
    <col width="14.375" customWidth="1" min="8662" max="8662"/>
    <col width="10.625" customWidth="1" min="8663" max="8663"/>
    <col width="13" customWidth="1" min="8664" max="8664"/>
    <col width="13.125" customWidth="1" min="8665" max="8665"/>
    <col width="10.625" customWidth="1" min="8666" max="8667"/>
    <col width="13" customWidth="1" min="8668" max="8668"/>
    <col width="10.625" customWidth="1" min="8669" max="8669"/>
    <col width="12.375" customWidth="1" min="8670" max="8670"/>
    <col width="10.625" customWidth="1" min="8671" max="8671"/>
    <col width="15" customWidth="1" min="8672" max="8672"/>
    <col width="20.375" customWidth="1" min="8673" max="8673"/>
    <col width="10.625" customWidth="1" min="8674" max="8674"/>
    <col width="11.375" customWidth="1" min="8675" max="8675"/>
    <col width="10.625" customWidth="1" min="8676" max="8676"/>
    <col width="16.125" customWidth="1" min="8677" max="8677"/>
    <col width="12.625" customWidth="1" min="8678" max="8678"/>
    <col width="17" customWidth="1" min="8679" max="8679"/>
    <col width="16.375" customWidth="1" min="8680" max="8680"/>
    <col width="20.125" customWidth="1" min="8681" max="8681"/>
    <col width="17.625" customWidth="1" min="8682" max="8682"/>
    <col width="12" customWidth="1" min="8683" max="8683"/>
    <col width="16" customWidth="1" min="8684" max="8684"/>
    <col width="5.125" customWidth="1" min="8907" max="8907"/>
    <col width="13.375" customWidth="1" min="8908" max="8908"/>
    <col width="45.75" customWidth="1" min="8909" max="8909"/>
    <col width="10.625" customWidth="1" min="8910" max="8911"/>
    <col width="13.75" customWidth="1" min="8912" max="8912"/>
    <col width="18.375" customWidth="1" min="8913" max="8913"/>
    <col width="20.625" customWidth="1" min="8914" max="8914"/>
    <col width="17.375" customWidth="1" min="8915" max="8915"/>
    <col width="12.125" customWidth="1" min="8916" max="8916"/>
    <col width="10.625" customWidth="1" min="8917" max="8917"/>
    <col width="14.375" customWidth="1" min="8918" max="8918"/>
    <col width="10.625" customWidth="1" min="8919" max="8919"/>
    <col width="13" customWidth="1" min="8920" max="8920"/>
    <col width="13.125" customWidth="1" min="8921" max="8921"/>
    <col width="10.625" customWidth="1" min="8922" max="8923"/>
    <col width="13" customWidth="1" min="8924" max="8924"/>
    <col width="10.625" customWidth="1" min="8925" max="8925"/>
    <col width="12.375" customWidth="1" min="8926" max="8926"/>
    <col width="10.625" customWidth="1" min="8927" max="8927"/>
    <col width="15" customWidth="1" min="8928" max="8928"/>
    <col width="20.375" customWidth="1" min="8929" max="8929"/>
    <col width="10.625" customWidth="1" min="8930" max="8930"/>
    <col width="11.375" customWidth="1" min="8931" max="8931"/>
    <col width="10.625" customWidth="1" min="8932" max="8932"/>
    <col width="16.125" customWidth="1" min="8933" max="8933"/>
    <col width="12.625" customWidth="1" min="8934" max="8934"/>
    <col width="17" customWidth="1" min="8935" max="8935"/>
    <col width="16.375" customWidth="1" min="8936" max="8936"/>
    <col width="20.125" customWidth="1" min="8937" max="8937"/>
    <col width="17.625" customWidth="1" min="8938" max="8938"/>
    <col width="12" customWidth="1" min="8939" max="8939"/>
    <col width="16" customWidth="1" min="8940" max="8940"/>
    <col width="5.125" customWidth="1" min="9163" max="9163"/>
    <col width="13.375" customWidth="1" min="9164" max="9164"/>
    <col width="45.75" customWidth="1" min="9165" max="9165"/>
    <col width="10.625" customWidth="1" min="9166" max="9167"/>
    <col width="13.75" customWidth="1" min="9168" max="9168"/>
    <col width="18.375" customWidth="1" min="9169" max="9169"/>
    <col width="20.625" customWidth="1" min="9170" max="9170"/>
    <col width="17.375" customWidth="1" min="9171" max="9171"/>
    <col width="12.125" customWidth="1" min="9172" max="9172"/>
    <col width="10.625" customWidth="1" min="9173" max="9173"/>
    <col width="14.375" customWidth="1" min="9174" max="9174"/>
    <col width="10.625" customWidth="1" min="9175" max="9175"/>
    <col width="13" customWidth="1" min="9176" max="9176"/>
    <col width="13.125" customWidth="1" min="9177" max="9177"/>
    <col width="10.625" customWidth="1" min="9178" max="9179"/>
    <col width="13" customWidth="1" min="9180" max="9180"/>
    <col width="10.625" customWidth="1" min="9181" max="9181"/>
    <col width="12.375" customWidth="1" min="9182" max="9182"/>
    <col width="10.625" customWidth="1" min="9183" max="9183"/>
    <col width="15" customWidth="1" min="9184" max="9184"/>
    <col width="20.375" customWidth="1" min="9185" max="9185"/>
    <col width="10.625" customWidth="1" min="9186" max="9186"/>
    <col width="11.375" customWidth="1" min="9187" max="9187"/>
    <col width="10.625" customWidth="1" min="9188" max="9188"/>
    <col width="16.125" customWidth="1" min="9189" max="9189"/>
    <col width="12.625" customWidth="1" min="9190" max="9190"/>
    <col width="17" customWidth="1" min="9191" max="9191"/>
    <col width="16.375" customWidth="1" min="9192" max="9192"/>
    <col width="20.125" customWidth="1" min="9193" max="9193"/>
    <col width="17.625" customWidth="1" min="9194" max="9194"/>
    <col width="12" customWidth="1" min="9195" max="9195"/>
    <col width="16" customWidth="1" min="9196" max="9196"/>
    <col width="5.125" customWidth="1" min="9419" max="9419"/>
    <col width="13.375" customWidth="1" min="9420" max="9420"/>
    <col width="45.75" customWidth="1" min="9421" max="9421"/>
    <col width="10.625" customWidth="1" min="9422" max="9423"/>
    <col width="13.75" customWidth="1" min="9424" max="9424"/>
    <col width="18.375" customWidth="1" min="9425" max="9425"/>
    <col width="20.625" customWidth="1" min="9426" max="9426"/>
    <col width="17.375" customWidth="1" min="9427" max="9427"/>
    <col width="12.125" customWidth="1" min="9428" max="9428"/>
    <col width="10.625" customWidth="1" min="9429" max="9429"/>
    <col width="14.375" customWidth="1" min="9430" max="9430"/>
    <col width="10.625" customWidth="1" min="9431" max="9431"/>
    <col width="13" customWidth="1" min="9432" max="9432"/>
    <col width="13.125" customWidth="1" min="9433" max="9433"/>
    <col width="10.625" customWidth="1" min="9434" max="9435"/>
    <col width="13" customWidth="1" min="9436" max="9436"/>
    <col width="10.625" customWidth="1" min="9437" max="9437"/>
    <col width="12.375" customWidth="1" min="9438" max="9438"/>
    <col width="10.625" customWidth="1" min="9439" max="9439"/>
    <col width="15" customWidth="1" min="9440" max="9440"/>
    <col width="20.375" customWidth="1" min="9441" max="9441"/>
    <col width="10.625" customWidth="1" min="9442" max="9442"/>
    <col width="11.375" customWidth="1" min="9443" max="9443"/>
    <col width="10.625" customWidth="1" min="9444" max="9444"/>
    <col width="16.125" customWidth="1" min="9445" max="9445"/>
    <col width="12.625" customWidth="1" min="9446" max="9446"/>
    <col width="17" customWidth="1" min="9447" max="9447"/>
    <col width="16.375" customWidth="1" min="9448" max="9448"/>
    <col width="20.125" customWidth="1" min="9449" max="9449"/>
    <col width="17.625" customWidth="1" min="9450" max="9450"/>
    <col width="12" customWidth="1" min="9451" max="9451"/>
    <col width="16" customWidth="1" min="9452" max="9452"/>
    <col width="5.125" customWidth="1" min="9675" max="9675"/>
    <col width="13.375" customWidth="1" min="9676" max="9676"/>
    <col width="45.75" customWidth="1" min="9677" max="9677"/>
    <col width="10.625" customWidth="1" min="9678" max="9679"/>
    <col width="13.75" customWidth="1" min="9680" max="9680"/>
    <col width="18.375" customWidth="1" min="9681" max="9681"/>
    <col width="20.625" customWidth="1" min="9682" max="9682"/>
    <col width="17.375" customWidth="1" min="9683" max="9683"/>
    <col width="12.125" customWidth="1" min="9684" max="9684"/>
    <col width="10.625" customWidth="1" min="9685" max="9685"/>
    <col width="14.375" customWidth="1" min="9686" max="9686"/>
    <col width="10.625" customWidth="1" min="9687" max="9687"/>
    <col width="13" customWidth="1" min="9688" max="9688"/>
    <col width="13.125" customWidth="1" min="9689" max="9689"/>
    <col width="10.625" customWidth="1" min="9690" max="9691"/>
    <col width="13" customWidth="1" min="9692" max="9692"/>
    <col width="10.625" customWidth="1" min="9693" max="9693"/>
    <col width="12.375" customWidth="1" min="9694" max="9694"/>
    <col width="10.625" customWidth="1" min="9695" max="9695"/>
    <col width="15" customWidth="1" min="9696" max="9696"/>
    <col width="20.375" customWidth="1" min="9697" max="9697"/>
    <col width="10.625" customWidth="1" min="9698" max="9698"/>
    <col width="11.375" customWidth="1" min="9699" max="9699"/>
    <col width="10.625" customWidth="1" min="9700" max="9700"/>
    <col width="16.125" customWidth="1" min="9701" max="9701"/>
    <col width="12.625" customWidth="1" min="9702" max="9702"/>
    <col width="17" customWidth="1" min="9703" max="9703"/>
    <col width="16.375" customWidth="1" min="9704" max="9704"/>
    <col width="20.125" customWidth="1" min="9705" max="9705"/>
    <col width="17.625" customWidth="1" min="9706" max="9706"/>
    <col width="12" customWidth="1" min="9707" max="9707"/>
    <col width="16" customWidth="1" min="9708" max="9708"/>
    <col width="5.125" customWidth="1" min="9931" max="9931"/>
    <col width="13.375" customWidth="1" min="9932" max="9932"/>
    <col width="45.75" customWidth="1" min="9933" max="9933"/>
    <col width="10.625" customWidth="1" min="9934" max="9935"/>
    <col width="13.75" customWidth="1" min="9936" max="9936"/>
    <col width="18.375" customWidth="1" min="9937" max="9937"/>
    <col width="20.625" customWidth="1" min="9938" max="9938"/>
    <col width="17.375" customWidth="1" min="9939" max="9939"/>
    <col width="12.125" customWidth="1" min="9940" max="9940"/>
    <col width="10.625" customWidth="1" min="9941" max="9941"/>
    <col width="14.375" customWidth="1" min="9942" max="9942"/>
    <col width="10.625" customWidth="1" min="9943" max="9943"/>
    <col width="13" customWidth="1" min="9944" max="9944"/>
    <col width="13.125" customWidth="1" min="9945" max="9945"/>
    <col width="10.625" customWidth="1" min="9946" max="9947"/>
    <col width="13" customWidth="1" min="9948" max="9948"/>
    <col width="10.625" customWidth="1" min="9949" max="9949"/>
    <col width="12.375" customWidth="1" min="9950" max="9950"/>
    <col width="10.625" customWidth="1" min="9951" max="9951"/>
    <col width="15" customWidth="1" min="9952" max="9952"/>
    <col width="20.375" customWidth="1" min="9953" max="9953"/>
    <col width="10.625" customWidth="1" min="9954" max="9954"/>
    <col width="11.375" customWidth="1" min="9955" max="9955"/>
    <col width="10.625" customWidth="1" min="9956" max="9956"/>
    <col width="16.125" customWidth="1" min="9957" max="9957"/>
    <col width="12.625" customWidth="1" min="9958" max="9958"/>
    <col width="17" customWidth="1" min="9959" max="9959"/>
    <col width="16.375" customWidth="1" min="9960" max="9960"/>
    <col width="20.125" customWidth="1" min="9961" max="9961"/>
    <col width="17.625" customWidth="1" min="9962" max="9962"/>
    <col width="12" customWidth="1" min="9963" max="9963"/>
    <col width="16" customWidth="1" min="9964" max="9964"/>
    <col width="5.125" customWidth="1" min="10187" max="10187"/>
    <col width="13.375" customWidth="1" min="10188" max="10188"/>
    <col width="45.75" customWidth="1" min="10189" max="10189"/>
    <col width="10.625" customWidth="1" min="10190" max="10191"/>
    <col width="13.75" customWidth="1" min="10192" max="10192"/>
    <col width="18.375" customWidth="1" min="10193" max="10193"/>
    <col width="20.625" customWidth="1" min="10194" max="10194"/>
    <col width="17.375" customWidth="1" min="10195" max="10195"/>
    <col width="12.125" customWidth="1" min="10196" max="10196"/>
    <col width="10.625" customWidth="1" min="10197" max="10197"/>
    <col width="14.375" customWidth="1" min="10198" max="10198"/>
    <col width="10.625" customWidth="1" min="10199" max="10199"/>
    <col width="13" customWidth="1" min="10200" max="10200"/>
    <col width="13.125" customWidth="1" min="10201" max="10201"/>
    <col width="10.625" customWidth="1" min="10202" max="10203"/>
    <col width="13" customWidth="1" min="10204" max="10204"/>
    <col width="10.625" customWidth="1" min="10205" max="10205"/>
    <col width="12.375" customWidth="1" min="10206" max="10206"/>
    <col width="10.625" customWidth="1" min="10207" max="10207"/>
    <col width="15" customWidth="1" min="10208" max="10208"/>
    <col width="20.375" customWidth="1" min="10209" max="10209"/>
    <col width="10.625" customWidth="1" min="10210" max="10210"/>
    <col width="11.375" customWidth="1" min="10211" max="10211"/>
    <col width="10.625" customWidth="1" min="10212" max="10212"/>
    <col width="16.125" customWidth="1" min="10213" max="10213"/>
    <col width="12.625" customWidth="1" min="10214" max="10214"/>
    <col width="17" customWidth="1" min="10215" max="10215"/>
    <col width="16.375" customWidth="1" min="10216" max="10216"/>
    <col width="20.125" customWidth="1" min="10217" max="10217"/>
    <col width="17.625" customWidth="1" min="10218" max="10218"/>
    <col width="12" customWidth="1" min="10219" max="10219"/>
    <col width="16" customWidth="1" min="10220" max="10220"/>
    <col width="5.125" customWidth="1" min="10443" max="10443"/>
    <col width="13.375" customWidth="1" min="10444" max="10444"/>
    <col width="45.75" customWidth="1" min="10445" max="10445"/>
    <col width="10.625" customWidth="1" min="10446" max="10447"/>
    <col width="13.75" customWidth="1" min="10448" max="10448"/>
    <col width="18.375" customWidth="1" min="10449" max="10449"/>
    <col width="20.625" customWidth="1" min="10450" max="10450"/>
    <col width="17.375" customWidth="1" min="10451" max="10451"/>
    <col width="12.125" customWidth="1" min="10452" max="10452"/>
    <col width="10.625" customWidth="1" min="10453" max="10453"/>
    <col width="14.375" customWidth="1" min="10454" max="10454"/>
    <col width="10.625" customWidth="1" min="10455" max="10455"/>
    <col width="13" customWidth="1" min="10456" max="10456"/>
    <col width="13.125" customWidth="1" min="10457" max="10457"/>
    <col width="10.625" customWidth="1" min="10458" max="10459"/>
    <col width="13" customWidth="1" min="10460" max="10460"/>
    <col width="10.625" customWidth="1" min="10461" max="10461"/>
    <col width="12.375" customWidth="1" min="10462" max="10462"/>
    <col width="10.625" customWidth="1" min="10463" max="10463"/>
    <col width="15" customWidth="1" min="10464" max="10464"/>
    <col width="20.375" customWidth="1" min="10465" max="10465"/>
    <col width="10.625" customWidth="1" min="10466" max="10466"/>
    <col width="11.375" customWidth="1" min="10467" max="10467"/>
    <col width="10.625" customWidth="1" min="10468" max="10468"/>
    <col width="16.125" customWidth="1" min="10469" max="10469"/>
    <col width="12.625" customWidth="1" min="10470" max="10470"/>
    <col width="17" customWidth="1" min="10471" max="10471"/>
    <col width="16.375" customWidth="1" min="10472" max="10472"/>
    <col width="20.125" customWidth="1" min="10473" max="10473"/>
    <col width="17.625" customWidth="1" min="10474" max="10474"/>
    <col width="12" customWidth="1" min="10475" max="10475"/>
    <col width="16" customWidth="1" min="10476" max="10476"/>
    <col width="5.125" customWidth="1" min="10699" max="10699"/>
    <col width="13.375" customWidth="1" min="10700" max="10700"/>
    <col width="45.75" customWidth="1" min="10701" max="10701"/>
    <col width="10.625" customWidth="1" min="10702" max="10703"/>
    <col width="13.75" customWidth="1" min="10704" max="10704"/>
    <col width="18.375" customWidth="1" min="10705" max="10705"/>
    <col width="20.625" customWidth="1" min="10706" max="10706"/>
    <col width="17.375" customWidth="1" min="10707" max="10707"/>
    <col width="12.125" customWidth="1" min="10708" max="10708"/>
    <col width="10.625" customWidth="1" min="10709" max="10709"/>
    <col width="14.375" customWidth="1" min="10710" max="10710"/>
    <col width="10.625" customWidth="1" min="10711" max="10711"/>
    <col width="13" customWidth="1" min="10712" max="10712"/>
    <col width="13.125" customWidth="1" min="10713" max="10713"/>
    <col width="10.625" customWidth="1" min="10714" max="10715"/>
    <col width="13" customWidth="1" min="10716" max="10716"/>
    <col width="10.625" customWidth="1" min="10717" max="10717"/>
    <col width="12.375" customWidth="1" min="10718" max="10718"/>
    <col width="10.625" customWidth="1" min="10719" max="10719"/>
    <col width="15" customWidth="1" min="10720" max="10720"/>
    <col width="20.375" customWidth="1" min="10721" max="10721"/>
    <col width="10.625" customWidth="1" min="10722" max="10722"/>
    <col width="11.375" customWidth="1" min="10723" max="10723"/>
    <col width="10.625" customWidth="1" min="10724" max="10724"/>
    <col width="16.125" customWidth="1" min="10725" max="10725"/>
    <col width="12.625" customWidth="1" min="10726" max="10726"/>
    <col width="17" customWidth="1" min="10727" max="10727"/>
    <col width="16.375" customWidth="1" min="10728" max="10728"/>
    <col width="20.125" customWidth="1" min="10729" max="10729"/>
    <col width="17.625" customWidth="1" min="10730" max="10730"/>
    <col width="12" customWidth="1" min="10731" max="10731"/>
    <col width="16" customWidth="1" min="10732" max="10732"/>
    <col width="5.125" customWidth="1" min="10955" max="10955"/>
    <col width="13.375" customWidth="1" min="10956" max="10956"/>
    <col width="45.75" customWidth="1" min="10957" max="10957"/>
    <col width="10.625" customWidth="1" min="10958" max="10959"/>
    <col width="13.75" customWidth="1" min="10960" max="10960"/>
    <col width="18.375" customWidth="1" min="10961" max="10961"/>
    <col width="20.625" customWidth="1" min="10962" max="10962"/>
    <col width="17.375" customWidth="1" min="10963" max="10963"/>
    <col width="12.125" customWidth="1" min="10964" max="10964"/>
    <col width="10.625" customWidth="1" min="10965" max="10965"/>
    <col width="14.375" customWidth="1" min="10966" max="10966"/>
    <col width="10.625" customWidth="1" min="10967" max="10967"/>
    <col width="13" customWidth="1" min="10968" max="10968"/>
    <col width="13.125" customWidth="1" min="10969" max="10969"/>
    <col width="10.625" customWidth="1" min="10970" max="10971"/>
    <col width="13" customWidth="1" min="10972" max="10972"/>
    <col width="10.625" customWidth="1" min="10973" max="10973"/>
    <col width="12.375" customWidth="1" min="10974" max="10974"/>
    <col width="10.625" customWidth="1" min="10975" max="10975"/>
    <col width="15" customWidth="1" min="10976" max="10976"/>
    <col width="20.375" customWidth="1" min="10977" max="10977"/>
    <col width="10.625" customWidth="1" min="10978" max="10978"/>
    <col width="11.375" customWidth="1" min="10979" max="10979"/>
    <col width="10.625" customWidth="1" min="10980" max="10980"/>
    <col width="16.125" customWidth="1" min="10981" max="10981"/>
    <col width="12.625" customWidth="1" min="10982" max="10982"/>
    <col width="17" customWidth="1" min="10983" max="10983"/>
    <col width="16.375" customWidth="1" min="10984" max="10984"/>
    <col width="20.125" customWidth="1" min="10985" max="10985"/>
    <col width="17.625" customWidth="1" min="10986" max="10986"/>
    <col width="12" customWidth="1" min="10987" max="10987"/>
    <col width="16" customWidth="1" min="10988" max="10988"/>
    <col width="5.125" customWidth="1" min="11211" max="11211"/>
    <col width="13.375" customWidth="1" min="11212" max="11212"/>
    <col width="45.75" customWidth="1" min="11213" max="11213"/>
    <col width="10.625" customWidth="1" min="11214" max="11215"/>
    <col width="13.75" customWidth="1" min="11216" max="11216"/>
    <col width="18.375" customWidth="1" min="11217" max="11217"/>
    <col width="20.625" customWidth="1" min="11218" max="11218"/>
    <col width="17.375" customWidth="1" min="11219" max="11219"/>
    <col width="12.125" customWidth="1" min="11220" max="11220"/>
    <col width="10.625" customWidth="1" min="11221" max="11221"/>
    <col width="14.375" customWidth="1" min="11222" max="11222"/>
    <col width="10.625" customWidth="1" min="11223" max="11223"/>
    <col width="13" customWidth="1" min="11224" max="11224"/>
    <col width="13.125" customWidth="1" min="11225" max="11225"/>
    <col width="10.625" customWidth="1" min="11226" max="11227"/>
    <col width="13" customWidth="1" min="11228" max="11228"/>
    <col width="10.625" customWidth="1" min="11229" max="11229"/>
    <col width="12.375" customWidth="1" min="11230" max="11230"/>
    <col width="10.625" customWidth="1" min="11231" max="11231"/>
    <col width="15" customWidth="1" min="11232" max="11232"/>
    <col width="20.375" customWidth="1" min="11233" max="11233"/>
    <col width="10.625" customWidth="1" min="11234" max="11234"/>
    <col width="11.375" customWidth="1" min="11235" max="11235"/>
    <col width="10.625" customWidth="1" min="11236" max="11236"/>
    <col width="16.125" customWidth="1" min="11237" max="11237"/>
    <col width="12.625" customWidth="1" min="11238" max="11238"/>
    <col width="17" customWidth="1" min="11239" max="11239"/>
    <col width="16.375" customWidth="1" min="11240" max="11240"/>
    <col width="20.125" customWidth="1" min="11241" max="11241"/>
    <col width="17.625" customWidth="1" min="11242" max="11242"/>
    <col width="12" customWidth="1" min="11243" max="11243"/>
    <col width="16" customWidth="1" min="11244" max="11244"/>
    <col width="5.125" customWidth="1" min="11467" max="11467"/>
    <col width="13.375" customWidth="1" min="11468" max="11468"/>
    <col width="45.75" customWidth="1" min="11469" max="11469"/>
    <col width="10.625" customWidth="1" min="11470" max="11471"/>
    <col width="13.75" customWidth="1" min="11472" max="11472"/>
    <col width="18.375" customWidth="1" min="11473" max="11473"/>
    <col width="20.625" customWidth="1" min="11474" max="11474"/>
    <col width="17.375" customWidth="1" min="11475" max="11475"/>
    <col width="12.125" customWidth="1" min="11476" max="11476"/>
    <col width="10.625" customWidth="1" min="11477" max="11477"/>
    <col width="14.375" customWidth="1" min="11478" max="11478"/>
    <col width="10.625" customWidth="1" min="11479" max="11479"/>
    <col width="13" customWidth="1" min="11480" max="11480"/>
    <col width="13.125" customWidth="1" min="11481" max="11481"/>
    <col width="10.625" customWidth="1" min="11482" max="11483"/>
    <col width="13" customWidth="1" min="11484" max="11484"/>
    <col width="10.625" customWidth="1" min="11485" max="11485"/>
    <col width="12.375" customWidth="1" min="11486" max="11486"/>
    <col width="10.625" customWidth="1" min="11487" max="11487"/>
    <col width="15" customWidth="1" min="11488" max="11488"/>
    <col width="20.375" customWidth="1" min="11489" max="11489"/>
    <col width="10.625" customWidth="1" min="11490" max="11490"/>
    <col width="11.375" customWidth="1" min="11491" max="11491"/>
    <col width="10.625" customWidth="1" min="11492" max="11492"/>
    <col width="16.125" customWidth="1" min="11493" max="11493"/>
    <col width="12.625" customWidth="1" min="11494" max="11494"/>
    <col width="17" customWidth="1" min="11495" max="11495"/>
    <col width="16.375" customWidth="1" min="11496" max="11496"/>
    <col width="20.125" customWidth="1" min="11497" max="11497"/>
    <col width="17.625" customWidth="1" min="11498" max="11498"/>
    <col width="12" customWidth="1" min="11499" max="11499"/>
    <col width="16" customWidth="1" min="11500" max="11500"/>
    <col width="5.125" customWidth="1" min="11723" max="11723"/>
    <col width="13.375" customWidth="1" min="11724" max="11724"/>
    <col width="45.75" customWidth="1" min="11725" max="11725"/>
    <col width="10.625" customWidth="1" min="11726" max="11727"/>
    <col width="13.75" customWidth="1" min="11728" max="11728"/>
    <col width="18.375" customWidth="1" min="11729" max="11729"/>
    <col width="20.625" customWidth="1" min="11730" max="11730"/>
    <col width="17.375" customWidth="1" min="11731" max="11731"/>
    <col width="12.125" customWidth="1" min="11732" max="11732"/>
    <col width="10.625" customWidth="1" min="11733" max="11733"/>
    <col width="14.375" customWidth="1" min="11734" max="11734"/>
    <col width="10.625" customWidth="1" min="11735" max="11735"/>
    <col width="13" customWidth="1" min="11736" max="11736"/>
    <col width="13.125" customWidth="1" min="11737" max="11737"/>
    <col width="10.625" customWidth="1" min="11738" max="11739"/>
    <col width="13" customWidth="1" min="11740" max="11740"/>
    <col width="10.625" customWidth="1" min="11741" max="11741"/>
    <col width="12.375" customWidth="1" min="11742" max="11742"/>
    <col width="10.625" customWidth="1" min="11743" max="11743"/>
    <col width="15" customWidth="1" min="11744" max="11744"/>
    <col width="20.375" customWidth="1" min="11745" max="11745"/>
    <col width="10.625" customWidth="1" min="11746" max="11746"/>
    <col width="11.375" customWidth="1" min="11747" max="11747"/>
    <col width="10.625" customWidth="1" min="11748" max="11748"/>
    <col width="16.125" customWidth="1" min="11749" max="11749"/>
    <col width="12.625" customWidth="1" min="11750" max="11750"/>
    <col width="17" customWidth="1" min="11751" max="11751"/>
    <col width="16.375" customWidth="1" min="11752" max="11752"/>
    <col width="20.125" customWidth="1" min="11753" max="11753"/>
    <col width="17.625" customWidth="1" min="11754" max="11754"/>
    <col width="12" customWidth="1" min="11755" max="11755"/>
    <col width="16" customWidth="1" min="11756" max="11756"/>
    <col width="5.125" customWidth="1" min="11979" max="11979"/>
    <col width="13.375" customWidth="1" min="11980" max="11980"/>
    <col width="45.75" customWidth="1" min="11981" max="11981"/>
    <col width="10.625" customWidth="1" min="11982" max="11983"/>
    <col width="13.75" customWidth="1" min="11984" max="11984"/>
    <col width="18.375" customWidth="1" min="11985" max="11985"/>
    <col width="20.625" customWidth="1" min="11986" max="11986"/>
    <col width="17.375" customWidth="1" min="11987" max="11987"/>
    <col width="12.125" customWidth="1" min="11988" max="11988"/>
    <col width="10.625" customWidth="1" min="11989" max="11989"/>
    <col width="14.375" customWidth="1" min="11990" max="11990"/>
    <col width="10.625" customWidth="1" min="11991" max="11991"/>
    <col width="13" customWidth="1" min="11992" max="11992"/>
    <col width="13.125" customWidth="1" min="11993" max="11993"/>
    <col width="10.625" customWidth="1" min="11994" max="11995"/>
    <col width="13" customWidth="1" min="11996" max="11996"/>
    <col width="10.625" customWidth="1" min="11997" max="11997"/>
    <col width="12.375" customWidth="1" min="11998" max="11998"/>
    <col width="10.625" customWidth="1" min="11999" max="11999"/>
    <col width="15" customWidth="1" min="12000" max="12000"/>
    <col width="20.375" customWidth="1" min="12001" max="12001"/>
    <col width="10.625" customWidth="1" min="12002" max="12002"/>
    <col width="11.375" customWidth="1" min="12003" max="12003"/>
    <col width="10.625" customWidth="1" min="12004" max="12004"/>
    <col width="16.125" customWidth="1" min="12005" max="12005"/>
    <col width="12.625" customWidth="1" min="12006" max="12006"/>
    <col width="17" customWidth="1" min="12007" max="12007"/>
    <col width="16.375" customWidth="1" min="12008" max="12008"/>
    <col width="20.125" customWidth="1" min="12009" max="12009"/>
    <col width="17.625" customWidth="1" min="12010" max="12010"/>
    <col width="12" customWidth="1" min="12011" max="12011"/>
    <col width="16" customWidth="1" min="12012" max="12012"/>
    <col width="5.125" customWidth="1" min="12235" max="12235"/>
    <col width="13.375" customWidth="1" min="12236" max="12236"/>
    <col width="45.75" customWidth="1" min="12237" max="12237"/>
    <col width="10.625" customWidth="1" min="12238" max="12239"/>
    <col width="13.75" customWidth="1" min="12240" max="12240"/>
    <col width="18.375" customWidth="1" min="12241" max="12241"/>
    <col width="20.625" customWidth="1" min="12242" max="12242"/>
    <col width="17.375" customWidth="1" min="12243" max="12243"/>
    <col width="12.125" customWidth="1" min="12244" max="12244"/>
    <col width="10.625" customWidth="1" min="12245" max="12245"/>
    <col width="14.375" customWidth="1" min="12246" max="12246"/>
    <col width="10.625" customWidth="1" min="12247" max="12247"/>
    <col width="13" customWidth="1" min="12248" max="12248"/>
    <col width="13.125" customWidth="1" min="12249" max="12249"/>
    <col width="10.625" customWidth="1" min="12250" max="12251"/>
    <col width="13" customWidth="1" min="12252" max="12252"/>
    <col width="10.625" customWidth="1" min="12253" max="12253"/>
    <col width="12.375" customWidth="1" min="12254" max="12254"/>
    <col width="10.625" customWidth="1" min="12255" max="12255"/>
    <col width="15" customWidth="1" min="12256" max="12256"/>
    <col width="20.375" customWidth="1" min="12257" max="12257"/>
    <col width="10.625" customWidth="1" min="12258" max="12258"/>
    <col width="11.375" customWidth="1" min="12259" max="12259"/>
    <col width="10.625" customWidth="1" min="12260" max="12260"/>
    <col width="16.125" customWidth="1" min="12261" max="12261"/>
    <col width="12.625" customWidth="1" min="12262" max="12262"/>
    <col width="17" customWidth="1" min="12263" max="12263"/>
    <col width="16.375" customWidth="1" min="12264" max="12264"/>
    <col width="20.125" customWidth="1" min="12265" max="12265"/>
    <col width="17.625" customWidth="1" min="12266" max="12266"/>
    <col width="12" customWidth="1" min="12267" max="12267"/>
    <col width="16" customWidth="1" min="12268" max="12268"/>
    <col width="5.125" customWidth="1" min="12491" max="12491"/>
    <col width="13.375" customWidth="1" min="12492" max="12492"/>
    <col width="45.75" customWidth="1" min="12493" max="12493"/>
    <col width="10.625" customWidth="1" min="12494" max="12495"/>
    <col width="13.75" customWidth="1" min="12496" max="12496"/>
    <col width="18.375" customWidth="1" min="12497" max="12497"/>
    <col width="20.625" customWidth="1" min="12498" max="12498"/>
    <col width="17.375" customWidth="1" min="12499" max="12499"/>
    <col width="12.125" customWidth="1" min="12500" max="12500"/>
    <col width="10.625" customWidth="1" min="12501" max="12501"/>
    <col width="14.375" customWidth="1" min="12502" max="12502"/>
    <col width="10.625" customWidth="1" min="12503" max="12503"/>
    <col width="13" customWidth="1" min="12504" max="12504"/>
    <col width="13.125" customWidth="1" min="12505" max="12505"/>
    <col width="10.625" customWidth="1" min="12506" max="12507"/>
    <col width="13" customWidth="1" min="12508" max="12508"/>
    <col width="10.625" customWidth="1" min="12509" max="12509"/>
    <col width="12.375" customWidth="1" min="12510" max="12510"/>
    <col width="10.625" customWidth="1" min="12511" max="12511"/>
    <col width="15" customWidth="1" min="12512" max="12512"/>
    <col width="20.375" customWidth="1" min="12513" max="12513"/>
    <col width="10.625" customWidth="1" min="12514" max="12514"/>
    <col width="11.375" customWidth="1" min="12515" max="12515"/>
    <col width="10.625" customWidth="1" min="12516" max="12516"/>
    <col width="16.125" customWidth="1" min="12517" max="12517"/>
    <col width="12.625" customWidth="1" min="12518" max="12518"/>
    <col width="17" customWidth="1" min="12519" max="12519"/>
    <col width="16.375" customWidth="1" min="12520" max="12520"/>
    <col width="20.125" customWidth="1" min="12521" max="12521"/>
    <col width="17.625" customWidth="1" min="12522" max="12522"/>
    <col width="12" customWidth="1" min="12523" max="12523"/>
    <col width="16" customWidth="1" min="12524" max="12524"/>
    <col width="5.125" customWidth="1" min="12747" max="12747"/>
    <col width="13.375" customWidth="1" min="12748" max="12748"/>
    <col width="45.75" customWidth="1" min="12749" max="12749"/>
    <col width="10.625" customWidth="1" min="12750" max="12751"/>
    <col width="13.75" customWidth="1" min="12752" max="12752"/>
    <col width="18.375" customWidth="1" min="12753" max="12753"/>
    <col width="20.625" customWidth="1" min="12754" max="12754"/>
    <col width="17.375" customWidth="1" min="12755" max="12755"/>
    <col width="12.125" customWidth="1" min="12756" max="12756"/>
    <col width="10.625" customWidth="1" min="12757" max="12757"/>
    <col width="14.375" customWidth="1" min="12758" max="12758"/>
    <col width="10.625" customWidth="1" min="12759" max="12759"/>
    <col width="13" customWidth="1" min="12760" max="12760"/>
    <col width="13.125" customWidth="1" min="12761" max="12761"/>
    <col width="10.625" customWidth="1" min="12762" max="12763"/>
    <col width="13" customWidth="1" min="12764" max="12764"/>
    <col width="10.625" customWidth="1" min="12765" max="12765"/>
    <col width="12.375" customWidth="1" min="12766" max="12766"/>
    <col width="10.625" customWidth="1" min="12767" max="12767"/>
    <col width="15" customWidth="1" min="12768" max="12768"/>
    <col width="20.375" customWidth="1" min="12769" max="12769"/>
    <col width="10.625" customWidth="1" min="12770" max="12770"/>
    <col width="11.375" customWidth="1" min="12771" max="12771"/>
    <col width="10.625" customWidth="1" min="12772" max="12772"/>
    <col width="16.125" customWidth="1" min="12773" max="12773"/>
    <col width="12.625" customWidth="1" min="12774" max="12774"/>
    <col width="17" customWidth="1" min="12775" max="12775"/>
    <col width="16.375" customWidth="1" min="12776" max="12776"/>
    <col width="20.125" customWidth="1" min="12777" max="12777"/>
    <col width="17.625" customWidth="1" min="12778" max="12778"/>
    <col width="12" customWidth="1" min="12779" max="12779"/>
    <col width="16" customWidth="1" min="12780" max="12780"/>
    <col width="5.125" customWidth="1" min="13003" max="13003"/>
    <col width="13.375" customWidth="1" min="13004" max="13004"/>
    <col width="45.75" customWidth="1" min="13005" max="13005"/>
    <col width="10.625" customWidth="1" min="13006" max="13007"/>
    <col width="13.75" customWidth="1" min="13008" max="13008"/>
    <col width="18.375" customWidth="1" min="13009" max="13009"/>
    <col width="20.625" customWidth="1" min="13010" max="13010"/>
    <col width="17.375" customWidth="1" min="13011" max="13011"/>
    <col width="12.125" customWidth="1" min="13012" max="13012"/>
    <col width="10.625" customWidth="1" min="13013" max="13013"/>
    <col width="14.375" customWidth="1" min="13014" max="13014"/>
    <col width="10.625" customWidth="1" min="13015" max="13015"/>
    <col width="13" customWidth="1" min="13016" max="13016"/>
    <col width="13.125" customWidth="1" min="13017" max="13017"/>
    <col width="10.625" customWidth="1" min="13018" max="13019"/>
    <col width="13" customWidth="1" min="13020" max="13020"/>
    <col width="10.625" customWidth="1" min="13021" max="13021"/>
    <col width="12.375" customWidth="1" min="13022" max="13022"/>
    <col width="10.625" customWidth="1" min="13023" max="13023"/>
    <col width="15" customWidth="1" min="13024" max="13024"/>
    <col width="20.375" customWidth="1" min="13025" max="13025"/>
    <col width="10.625" customWidth="1" min="13026" max="13026"/>
    <col width="11.375" customWidth="1" min="13027" max="13027"/>
    <col width="10.625" customWidth="1" min="13028" max="13028"/>
    <col width="16.125" customWidth="1" min="13029" max="13029"/>
    <col width="12.625" customWidth="1" min="13030" max="13030"/>
    <col width="17" customWidth="1" min="13031" max="13031"/>
    <col width="16.375" customWidth="1" min="13032" max="13032"/>
    <col width="20.125" customWidth="1" min="13033" max="13033"/>
    <col width="17.625" customWidth="1" min="13034" max="13034"/>
    <col width="12" customWidth="1" min="13035" max="13035"/>
    <col width="16" customWidth="1" min="13036" max="13036"/>
    <col width="5.125" customWidth="1" min="13259" max="13259"/>
    <col width="13.375" customWidth="1" min="13260" max="13260"/>
    <col width="45.75" customWidth="1" min="13261" max="13261"/>
    <col width="10.625" customWidth="1" min="13262" max="13263"/>
    <col width="13.75" customWidth="1" min="13264" max="13264"/>
    <col width="18.375" customWidth="1" min="13265" max="13265"/>
    <col width="20.625" customWidth="1" min="13266" max="13266"/>
    <col width="17.375" customWidth="1" min="13267" max="13267"/>
    <col width="12.125" customWidth="1" min="13268" max="13268"/>
    <col width="10.625" customWidth="1" min="13269" max="13269"/>
    <col width="14.375" customWidth="1" min="13270" max="13270"/>
    <col width="10.625" customWidth="1" min="13271" max="13271"/>
    <col width="13" customWidth="1" min="13272" max="13272"/>
    <col width="13.125" customWidth="1" min="13273" max="13273"/>
    <col width="10.625" customWidth="1" min="13274" max="13275"/>
    <col width="13" customWidth="1" min="13276" max="13276"/>
    <col width="10.625" customWidth="1" min="13277" max="13277"/>
    <col width="12.375" customWidth="1" min="13278" max="13278"/>
    <col width="10.625" customWidth="1" min="13279" max="13279"/>
    <col width="15" customWidth="1" min="13280" max="13280"/>
    <col width="20.375" customWidth="1" min="13281" max="13281"/>
    <col width="10.625" customWidth="1" min="13282" max="13282"/>
    <col width="11.375" customWidth="1" min="13283" max="13283"/>
    <col width="10.625" customWidth="1" min="13284" max="13284"/>
    <col width="16.125" customWidth="1" min="13285" max="13285"/>
    <col width="12.625" customWidth="1" min="13286" max="13286"/>
    <col width="17" customWidth="1" min="13287" max="13287"/>
    <col width="16.375" customWidth="1" min="13288" max="13288"/>
    <col width="20.125" customWidth="1" min="13289" max="13289"/>
    <col width="17.625" customWidth="1" min="13290" max="13290"/>
    <col width="12" customWidth="1" min="13291" max="13291"/>
    <col width="16" customWidth="1" min="13292" max="13292"/>
    <col width="5.125" customWidth="1" min="13515" max="13515"/>
    <col width="13.375" customWidth="1" min="13516" max="13516"/>
    <col width="45.75" customWidth="1" min="13517" max="13517"/>
    <col width="10.625" customWidth="1" min="13518" max="13519"/>
    <col width="13.75" customWidth="1" min="13520" max="13520"/>
    <col width="18.375" customWidth="1" min="13521" max="13521"/>
    <col width="20.625" customWidth="1" min="13522" max="13522"/>
    <col width="17.375" customWidth="1" min="13523" max="13523"/>
    <col width="12.125" customWidth="1" min="13524" max="13524"/>
    <col width="10.625" customWidth="1" min="13525" max="13525"/>
    <col width="14.375" customWidth="1" min="13526" max="13526"/>
    <col width="10.625" customWidth="1" min="13527" max="13527"/>
    <col width="13" customWidth="1" min="13528" max="13528"/>
    <col width="13.125" customWidth="1" min="13529" max="13529"/>
    <col width="10.625" customWidth="1" min="13530" max="13531"/>
    <col width="13" customWidth="1" min="13532" max="13532"/>
    <col width="10.625" customWidth="1" min="13533" max="13533"/>
    <col width="12.375" customWidth="1" min="13534" max="13534"/>
    <col width="10.625" customWidth="1" min="13535" max="13535"/>
    <col width="15" customWidth="1" min="13536" max="13536"/>
    <col width="20.375" customWidth="1" min="13537" max="13537"/>
    <col width="10.625" customWidth="1" min="13538" max="13538"/>
    <col width="11.375" customWidth="1" min="13539" max="13539"/>
    <col width="10.625" customWidth="1" min="13540" max="13540"/>
    <col width="16.125" customWidth="1" min="13541" max="13541"/>
    <col width="12.625" customWidth="1" min="13542" max="13542"/>
    <col width="17" customWidth="1" min="13543" max="13543"/>
    <col width="16.375" customWidth="1" min="13544" max="13544"/>
    <col width="20.125" customWidth="1" min="13545" max="13545"/>
    <col width="17.625" customWidth="1" min="13546" max="13546"/>
    <col width="12" customWidth="1" min="13547" max="13547"/>
    <col width="16" customWidth="1" min="13548" max="13548"/>
    <col width="5.125" customWidth="1" min="13771" max="13771"/>
    <col width="13.375" customWidth="1" min="13772" max="13772"/>
    <col width="45.75" customWidth="1" min="13773" max="13773"/>
    <col width="10.625" customWidth="1" min="13774" max="13775"/>
    <col width="13.75" customWidth="1" min="13776" max="13776"/>
    <col width="18.375" customWidth="1" min="13777" max="13777"/>
    <col width="20.625" customWidth="1" min="13778" max="13778"/>
    <col width="17.375" customWidth="1" min="13779" max="13779"/>
    <col width="12.125" customWidth="1" min="13780" max="13780"/>
    <col width="10.625" customWidth="1" min="13781" max="13781"/>
    <col width="14.375" customWidth="1" min="13782" max="13782"/>
    <col width="10.625" customWidth="1" min="13783" max="13783"/>
    <col width="13" customWidth="1" min="13784" max="13784"/>
    <col width="13.125" customWidth="1" min="13785" max="13785"/>
    <col width="10.625" customWidth="1" min="13786" max="13787"/>
    <col width="13" customWidth="1" min="13788" max="13788"/>
    <col width="10.625" customWidth="1" min="13789" max="13789"/>
    <col width="12.375" customWidth="1" min="13790" max="13790"/>
    <col width="10.625" customWidth="1" min="13791" max="13791"/>
    <col width="15" customWidth="1" min="13792" max="13792"/>
    <col width="20.375" customWidth="1" min="13793" max="13793"/>
    <col width="10.625" customWidth="1" min="13794" max="13794"/>
    <col width="11.375" customWidth="1" min="13795" max="13795"/>
    <col width="10.625" customWidth="1" min="13796" max="13796"/>
    <col width="16.125" customWidth="1" min="13797" max="13797"/>
    <col width="12.625" customWidth="1" min="13798" max="13798"/>
    <col width="17" customWidth="1" min="13799" max="13799"/>
    <col width="16.375" customWidth="1" min="13800" max="13800"/>
    <col width="20.125" customWidth="1" min="13801" max="13801"/>
    <col width="17.625" customWidth="1" min="13802" max="13802"/>
    <col width="12" customWidth="1" min="13803" max="13803"/>
    <col width="16" customWidth="1" min="13804" max="13804"/>
    <col width="5.125" customWidth="1" min="14027" max="14027"/>
    <col width="13.375" customWidth="1" min="14028" max="14028"/>
    <col width="45.75" customWidth="1" min="14029" max="14029"/>
    <col width="10.625" customWidth="1" min="14030" max="14031"/>
    <col width="13.75" customWidth="1" min="14032" max="14032"/>
    <col width="18.375" customWidth="1" min="14033" max="14033"/>
    <col width="20.625" customWidth="1" min="14034" max="14034"/>
    <col width="17.375" customWidth="1" min="14035" max="14035"/>
    <col width="12.125" customWidth="1" min="14036" max="14036"/>
    <col width="10.625" customWidth="1" min="14037" max="14037"/>
    <col width="14.375" customWidth="1" min="14038" max="14038"/>
    <col width="10.625" customWidth="1" min="14039" max="14039"/>
    <col width="13" customWidth="1" min="14040" max="14040"/>
    <col width="13.125" customWidth="1" min="14041" max="14041"/>
    <col width="10.625" customWidth="1" min="14042" max="14043"/>
    <col width="13" customWidth="1" min="14044" max="14044"/>
    <col width="10.625" customWidth="1" min="14045" max="14045"/>
    <col width="12.375" customWidth="1" min="14046" max="14046"/>
    <col width="10.625" customWidth="1" min="14047" max="14047"/>
    <col width="15" customWidth="1" min="14048" max="14048"/>
    <col width="20.375" customWidth="1" min="14049" max="14049"/>
    <col width="10.625" customWidth="1" min="14050" max="14050"/>
    <col width="11.375" customWidth="1" min="14051" max="14051"/>
    <col width="10.625" customWidth="1" min="14052" max="14052"/>
    <col width="16.125" customWidth="1" min="14053" max="14053"/>
    <col width="12.625" customWidth="1" min="14054" max="14054"/>
    <col width="17" customWidth="1" min="14055" max="14055"/>
    <col width="16.375" customWidth="1" min="14056" max="14056"/>
    <col width="20.125" customWidth="1" min="14057" max="14057"/>
    <col width="17.625" customWidth="1" min="14058" max="14058"/>
    <col width="12" customWidth="1" min="14059" max="14059"/>
    <col width="16" customWidth="1" min="14060" max="14060"/>
    <col width="5.125" customWidth="1" min="14283" max="14283"/>
    <col width="13.375" customWidth="1" min="14284" max="14284"/>
    <col width="45.75" customWidth="1" min="14285" max="14285"/>
    <col width="10.625" customWidth="1" min="14286" max="14287"/>
    <col width="13.75" customWidth="1" min="14288" max="14288"/>
    <col width="18.375" customWidth="1" min="14289" max="14289"/>
    <col width="20.625" customWidth="1" min="14290" max="14290"/>
    <col width="17.375" customWidth="1" min="14291" max="14291"/>
    <col width="12.125" customWidth="1" min="14292" max="14292"/>
    <col width="10.625" customWidth="1" min="14293" max="14293"/>
    <col width="14.375" customWidth="1" min="14294" max="14294"/>
    <col width="10.625" customWidth="1" min="14295" max="14295"/>
    <col width="13" customWidth="1" min="14296" max="14296"/>
    <col width="13.125" customWidth="1" min="14297" max="14297"/>
    <col width="10.625" customWidth="1" min="14298" max="14299"/>
    <col width="13" customWidth="1" min="14300" max="14300"/>
    <col width="10.625" customWidth="1" min="14301" max="14301"/>
    <col width="12.375" customWidth="1" min="14302" max="14302"/>
    <col width="10.625" customWidth="1" min="14303" max="14303"/>
    <col width="15" customWidth="1" min="14304" max="14304"/>
    <col width="20.375" customWidth="1" min="14305" max="14305"/>
    <col width="10.625" customWidth="1" min="14306" max="14306"/>
    <col width="11.375" customWidth="1" min="14307" max="14307"/>
    <col width="10.625" customWidth="1" min="14308" max="14308"/>
    <col width="16.125" customWidth="1" min="14309" max="14309"/>
    <col width="12.625" customWidth="1" min="14310" max="14310"/>
    <col width="17" customWidth="1" min="14311" max="14311"/>
    <col width="16.375" customWidth="1" min="14312" max="14312"/>
    <col width="20.125" customWidth="1" min="14313" max="14313"/>
    <col width="17.625" customWidth="1" min="14314" max="14314"/>
    <col width="12" customWidth="1" min="14315" max="14315"/>
    <col width="16" customWidth="1" min="14316" max="14316"/>
    <col width="5.125" customWidth="1" min="14539" max="14539"/>
    <col width="13.375" customWidth="1" min="14540" max="14540"/>
    <col width="45.75" customWidth="1" min="14541" max="14541"/>
    <col width="10.625" customWidth="1" min="14542" max="14543"/>
    <col width="13.75" customWidth="1" min="14544" max="14544"/>
    <col width="18.375" customWidth="1" min="14545" max="14545"/>
    <col width="20.625" customWidth="1" min="14546" max="14546"/>
    <col width="17.375" customWidth="1" min="14547" max="14547"/>
    <col width="12.125" customWidth="1" min="14548" max="14548"/>
    <col width="10.625" customWidth="1" min="14549" max="14549"/>
    <col width="14.375" customWidth="1" min="14550" max="14550"/>
    <col width="10.625" customWidth="1" min="14551" max="14551"/>
    <col width="13" customWidth="1" min="14552" max="14552"/>
    <col width="13.125" customWidth="1" min="14553" max="14553"/>
    <col width="10.625" customWidth="1" min="14554" max="14555"/>
    <col width="13" customWidth="1" min="14556" max="14556"/>
    <col width="10.625" customWidth="1" min="14557" max="14557"/>
    <col width="12.375" customWidth="1" min="14558" max="14558"/>
    <col width="10.625" customWidth="1" min="14559" max="14559"/>
    <col width="15" customWidth="1" min="14560" max="14560"/>
    <col width="20.375" customWidth="1" min="14561" max="14561"/>
    <col width="10.625" customWidth="1" min="14562" max="14562"/>
    <col width="11.375" customWidth="1" min="14563" max="14563"/>
    <col width="10.625" customWidth="1" min="14564" max="14564"/>
    <col width="16.125" customWidth="1" min="14565" max="14565"/>
    <col width="12.625" customWidth="1" min="14566" max="14566"/>
    <col width="17" customWidth="1" min="14567" max="14567"/>
    <col width="16.375" customWidth="1" min="14568" max="14568"/>
    <col width="20.125" customWidth="1" min="14569" max="14569"/>
    <col width="17.625" customWidth="1" min="14570" max="14570"/>
    <col width="12" customWidth="1" min="14571" max="14571"/>
    <col width="16" customWidth="1" min="14572" max="14572"/>
    <col width="5.125" customWidth="1" min="14795" max="14795"/>
    <col width="13.375" customWidth="1" min="14796" max="14796"/>
    <col width="45.75" customWidth="1" min="14797" max="14797"/>
    <col width="10.625" customWidth="1" min="14798" max="14799"/>
    <col width="13.75" customWidth="1" min="14800" max="14800"/>
    <col width="18.375" customWidth="1" min="14801" max="14801"/>
    <col width="20.625" customWidth="1" min="14802" max="14802"/>
    <col width="17.375" customWidth="1" min="14803" max="14803"/>
    <col width="12.125" customWidth="1" min="14804" max="14804"/>
    <col width="10.625" customWidth="1" min="14805" max="14805"/>
    <col width="14.375" customWidth="1" min="14806" max="14806"/>
    <col width="10.625" customWidth="1" min="14807" max="14807"/>
    <col width="13" customWidth="1" min="14808" max="14808"/>
    <col width="13.125" customWidth="1" min="14809" max="14809"/>
    <col width="10.625" customWidth="1" min="14810" max="14811"/>
    <col width="13" customWidth="1" min="14812" max="14812"/>
    <col width="10.625" customWidth="1" min="14813" max="14813"/>
    <col width="12.375" customWidth="1" min="14814" max="14814"/>
    <col width="10.625" customWidth="1" min="14815" max="14815"/>
    <col width="15" customWidth="1" min="14816" max="14816"/>
    <col width="20.375" customWidth="1" min="14817" max="14817"/>
    <col width="10.625" customWidth="1" min="14818" max="14818"/>
    <col width="11.375" customWidth="1" min="14819" max="14819"/>
    <col width="10.625" customWidth="1" min="14820" max="14820"/>
    <col width="16.125" customWidth="1" min="14821" max="14821"/>
    <col width="12.625" customWidth="1" min="14822" max="14822"/>
    <col width="17" customWidth="1" min="14823" max="14823"/>
    <col width="16.375" customWidth="1" min="14824" max="14824"/>
    <col width="20.125" customWidth="1" min="14825" max="14825"/>
    <col width="17.625" customWidth="1" min="14826" max="14826"/>
    <col width="12" customWidth="1" min="14827" max="14827"/>
    <col width="16" customWidth="1" min="14828" max="14828"/>
    <col width="5.125" customWidth="1" min="15051" max="15051"/>
    <col width="13.375" customWidth="1" min="15052" max="15052"/>
    <col width="45.75" customWidth="1" min="15053" max="15053"/>
    <col width="10.625" customWidth="1" min="15054" max="15055"/>
    <col width="13.75" customWidth="1" min="15056" max="15056"/>
    <col width="18.375" customWidth="1" min="15057" max="15057"/>
    <col width="20.625" customWidth="1" min="15058" max="15058"/>
    <col width="17.375" customWidth="1" min="15059" max="15059"/>
    <col width="12.125" customWidth="1" min="15060" max="15060"/>
    <col width="10.625" customWidth="1" min="15061" max="15061"/>
    <col width="14.375" customWidth="1" min="15062" max="15062"/>
    <col width="10.625" customWidth="1" min="15063" max="15063"/>
    <col width="13" customWidth="1" min="15064" max="15064"/>
    <col width="13.125" customWidth="1" min="15065" max="15065"/>
    <col width="10.625" customWidth="1" min="15066" max="15067"/>
    <col width="13" customWidth="1" min="15068" max="15068"/>
    <col width="10.625" customWidth="1" min="15069" max="15069"/>
    <col width="12.375" customWidth="1" min="15070" max="15070"/>
    <col width="10.625" customWidth="1" min="15071" max="15071"/>
    <col width="15" customWidth="1" min="15072" max="15072"/>
    <col width="20.375" customWidth="1" min="15073" max="15073"/>
    <col width="10.625" customWidth="1" min="15074" max="15074"/>
    <col width="11.375" customWidth="1" min="15075" max="15075"/>
    <col width="10.625" customWidth="1" min="15076" max="15076"/>
    <col width="16.125" customWidth="1" min="15077" max="15077"/>
    <col width="12.625" customWidth="1" min="15078" max="15078"/>
    <col width="17" customWidth="1" min="15079" max="15079"/>
    <col width="16.375" customWidth="1" min="15080" max="15080"/>
    <col width="20.125" customWidth="1" min="15081" max="15081"/>
    <col width="17.625" customWidth="1" min="15082" max="15082"/>
    <col width="12" customWidth="1" min="15083" max="15083"/>
    <col width="16" customWidth="1" min="15084" max="15084"/>
    <col width="5.125" customWidth="1" min="15307" max="15307"/>
    <col width="13.375" customWidth="1" min="15308" max="15308"/>
    <col width="45.75" customWidth="1" min="15309" max="15309"/>
    <col width="10.625" customWidth="1" min="15310" max="15311"/>
    <col width="13.75" customWidth="1" min="15312" max="15312"/>
    <col width="18.375" customWidth="1" min="15313" max="15313"/>
    <col width="20.625" customWidth="1" min="15314" max="15314"/>
    <col width="17.375" customWidth="1" min="15315" max="15315"/>
    <col width="12.125" customWidth="1" min="15316" max="15316"/>
    <col width="10.625" customWidth="1" min="15317" max="15317"/>
    <col width="14.375" customWidth="1" min="15318" max="15318"/>
    <col width="10.625" customWidth="1" min="15319" max="15319"/>
    <col width="13" customWidth="1" min="15320" max="15320"/>
    <col width="13.125" customWidth="1" min="15321" max="15321"/>
    <col width="10.625" customWidth="1" min="15322" max="15323"/>
    <col width="13" customWidth="1" min="15324" max="15324"/>
    <col width="10.625" customWidth="1" min="15325" max="15325"/>
    <col width="12.375" customWidth="1" min="15326" max="15326"/>
    <col width="10.625" customWidth="1" min="15327" max="15327"/>
    <col width="15" customWidth="1" min="15328" max="15328"/>
    <col width="20.375" customWidth="1" min="15329" max="15329"/>
    <col width="10.625" customWidth="1" min="15330" max="15330"/>
    <col width="11.375" customWidth="1" min="15331" max="15331"/>
    <col width="10.625" customWidth="1" min="15332" max="15332"/>
    <col width="16.125" customWidth="1" min="15333" max="15333"/>
    <col width="12.625" customWidth="1" min="15334" max="15334"/>
    <col width="17" customWidth="1" min="15335" max="15335"/>
    <col width="16.375" customWidth="1" min="15336" max="15336"/>
    <col width="20.125" customWidth="1" min="15337" max="15337"/>
    <col width="17.625" customWidth="1" min="15338" max="15338"/>
    <col width="12" customWidth="1" min="15339" max="15339"/>
    <col width="16" customWidth="1" min="15340" max="15340"/>
    <col width="5.125" customWidth="1" min="15563" max="15563"/>
    <col width="13.375" customWidth="1" min="15564" max="15564"/>
    <col width="45.75" customWidth="1" min="15565" max="15565"/>
    <col width="10.625" customWidth="1" min="15566" max="15567"/>
    <col width="13.75" customWidth="1" min="15568" max="15568"/>
    <col width="18.375" customWidth="1" min="15569" max="15569"/>
    <col width="20.625" customWidth="1" min="15570" max="15570"/>
    <col width="17.375" customWidth="1" min="15571" max="15571"/>
    <col width="12.125" customWidth="1" min="15572" max="15572"/>
    <col width="10.625" customWidth="1" min="15573" max="15573"/>
    <col width="14.375" customWidth="1" min="15574" max="15574"/>
    <col width="10.625" customWidth="1" min="15575" max="15575"/>
    <col width="13" customWidth="1" min="15576" max="15576"/>
    <col width="13.125" customWidth="1" min="15577" max="15577"/>
    <col width="10.625" customWidth="1" min="15578" max="15579"/>
    <col width="13" customWidth="1" min="15580" max="15580"/>
    <col width="10.625" customWidth="1" min="15581" max="15581"/>
    <col width="12.375" customWidth="1" min="15582" max="15582"/>
    <col width="10.625" customWidth="1" min="15583" max="15583"/>
    <col width="15" customWidth="1" min="15584" max="15584"/>
    <col width="20.375" customWidth="1" min="15585" max="15585"/>
    <col width="10.625" customWidth="1" min="15586" max="15586"/>
    <col width="11.375" customWidth="1" min="15587" max="15587"/>
    <col width="10.625" customWidth="1" min="15588" max="15588"/>
    <col width="16.125" customWidth="1" min="15589" max="15589"/>
    <col width="12.625" customWidth="1" min="15590" max="15590"/>
    <col width="17" customWidth="1" min="15591" max="15591"/>
    <col width="16.375" customWidth="1" min="15592" max="15592"/>
    <col width="20.125" customWidth="1" min="15593" max="15593"/>
    <col width="17.625" customWidth="1" min="15594" max="15594"/>
    <col width="12" customWidth="1" min="15595" max="15595"/>
    <col width="16" customWidth="1" min="15596" max="15596"/>
    <col width="5.125" customWidth="1" min="15819" max="15819"/>
    <col width="13.375" customWidth="1" min="15820" max="15820"/>
    <col width="45.75" customWidth="1" min="15821" max="15821"/>
    <col width="10.625" customWidth="1" min="15822" max="15823"/>
    <col width="13.75" customWidth="1" min="15824" max="15824"/>
    <col width="18.375" customWidth="1" min="15825" max="15825"/>
    <col width="20.625" customWidth="1" min="15826" max="15826"/>
    <col width="17.375" customWidth="1" min="15827" max="15827"/>
    <col width="12.125" customWidth="1" min="15828" max="15828"/>
    <col width="10.625" customWidth="1" min="15829" max="15829"/>
    <col width="14.375" customWidth="1" min="15830" max="15830"/>
    <col width="10.625" customWidth="1" min="15831" max="15831"/>
    <col width="13" customWidth="1" min="15832" max="15832"/>
    <col width="13.125" customWidth="1" min="15833" max="15833"/>
    <col width="10.625" customWidth="1" min="15834" max="15835"/>
    <col width="13" customWidth="1" min="15836" max="15836"/>
    <col width="10.625" customWidth="1" min="15837" max="15837"/>
    <col width="12.375" customWidth="1" min="15838" max="15838"/>
    <col width="10.625" customWidth="1" min="15839" max="15839"/>
    <col width="15" customWidth="1" min="15840" max="15840"/>
    <col width="20.375" customWidth="1" min="15841" max="15841"/>
    <col width="10.625" customWidth="1" min="15842" max="15842"/>
    <col width="11.375" customWidth="1" min="15843" max="15843"/>
    <col width="10.625" customWidth="1" min="15844" max="15844"/>
    <col width="16.125" customWidth="1" min="15845" max="15845"/>
    <col width="12.625" customWidth="1" min="15846" max="15846"/>
    <col width="17" customWidth="1" min="15847" max="15847"/>
    <col width="16.375" customWidth="1" min="15848" max="15848"/>
    <col width="20.125" customWidth="1" min="15849" max="15849"/>
    <col width="17.625" customWidth="1" min="15850" max="15850"/>
    <col width="12" customWidth="1" min="15851" max="15851"/>
    <col width="16" customWidth="1" min="15852" max="15852"/>
    <col width="5.125" customWidth="1" min="16075" max="16075"/>
    <col width="13.375" customWidth="1" min="16076" max="16076"/>
    <col width="45.75" customWidth="1" min="16077" max="16077"/>
    <col width="10.625" customWidth="1" min="16078" max="16079"/>
    <col width="13.75" customWidth="1" min="16080" max="16080"/>
    <col width="18.375" customWidth="1" min="16081" max="16081"/>
    <col width="20.625" customWidth="1" min="16082" max="16082"/>
    <col width="17.375" customWidth="1" min="16083" max="16083"/>
    <col width="12.125" customWidth="1" min="16084" max="16084"/>
    <col width="10.625" customWidth="1" min="16085" max="16085"/>
    <col width="14.375" customWidth="1" min="16086" max="16086"/>
    <col width="10.625" customWidth="1" min="16087" max="16087"/>
    <col width="13" customWidth="1" min="16088" max="16088"/>
    <col width="13.125" customWidth="1" min="16089" max="16089"/>
    <col width="10.625" customWidth="1" min="16090" max="16091"/>
    <col width="13" customWidth="1" min="16092" max="16092"/>
    <col width="10.625" customWidth="1" min="16093" max="16093"/>
    <col width="12.375" customWidth="1" min="16094" max="16094"/>
    <col width="10.625" customWidth="1" min="16095" max="16095"/>
    <col width="15" customWidth="1" min="16096" max="16096"/>
    <col width="20.375" customWidth="1" min="16097" max="16097"/>
    <col width="10.625" customWidth="1" min="16098" max="16098"/>
    <col width="11.375" customWidth="1" min="16099" max="16099"/>
    <col width="10.625" customWidth="1" min="16100" max="16100"/>
    <col width="16.125" customWidth="1" min="16101" max="16101"/>
    <col width="12.625" customWidth="1" min="16102" max="16102"/>
    <col width="17" customWidth="1" min="16103" max="16103"/>
    <col width="16.375" customWidth="1" min="16104" max="16104"/>
    <col width="20.125" customWidth="1" min="16105" max="16105"/>
    <col width="17.625" customWidth="1" min="16106" max="16106"/>
    <col width="12" customWidth="1" min="16107" max="16107"/>
    <col width="16" customWidth="1" min="16108" max="16108"/>
  </cols>
  <sheetData>
    <row r="3" ht="43.5" customHeight="1">
      <c r="A3" s="349" t="inlineStr">
        <is>
          <t>S#</t>
        </is>
      </c>
      <c r="B3" s="385" t="inlineStr">
        <is>
          <t xml:space="preserve">NATIONALITY </t>
        </is>
      </c>
      <c r="C3" s="386" t="inlineStr">
        <is>
          <t xml:space="preserve"> Categories </t>
        </is>
      </c>
      <c r="D3" s="386" t="inlineStr">
        <is>
          <t xml:space="preserve">Facility Management Services </t>
        </is>
      </c>
      <c r="E3" s="386" t="inlineStr">
        <is>
          <t>Expat Qty</t>
        </is>
      </c>
      <c r="F3" s="386" t="inlineStr">
        <is>
          <t>Saudi Qty.</t>
        </is>
      </c>
      <c r="G3" s="387" t="inlineStr">
        <is>
          <t xml:space="preserve">Total </t>
        </is>
      </c>
    </row>
    <row r="4" ht="18.75" customFormat="1" customHeight="1" s="120">
      <c r="A4" s="352" t="inlineStr">
        <is>
          <t xml:space="preserve">MEDICAL FACILITIES </t>
        </is>
      </c>
      <c r="B4" s="388" t="n"/>
      <c r="C4" s="389" t="n"/>
      <c r="D4" s="389" t="n"/>
      <c r="E4" s="355">
        <f>+SUM(E5:E11)</f>
        <v/>
      </c>
      <c r="F4" s="355">
        <f>+SUM(F5:F11)</f>
        <v/>
      </c>
      <c r="G4" s="356">
        <f>+SUM(G5:G11)</f>
        <v/>
      </c>
    </row>
    <row r="5" ht="21" customHeight="1">
      <c r="A5" s="121" t="n">
        <v>1</v>
      </c>
      <c r="B5" s="122" t="inlineStr">
        <is>
          <t>S.EXPATS</t>
        </is>
      </c>
      <c r="C5" s="278" t="inlineStr">
        <is>
          <t>A</t>
        </is>
      </c>
      <c r="D5" s="279" t="inlineStr">
        <is>
          <t>MANAGERS</t>
        </is>
      </c>
      <c r="E5" s="359" t="n">
        <v>0</v>
      </c>
      <c r="F5" s="359" t="n">
        <v>0</v>
      </c>
      <c r="G5" s="360">
        <f>SUM(E5:F5)</f>
        <v/>
      </c>
    </row>
    <row r="6" ht="21" customHeight="1">
      <c r="A6" s="121">
        <f>+A5+1</f>
        <v/>
      </c>
      <c r="B6" s="122" t="inlineStr">
        <is>
          <t>S.EXPATS</t>
        </is>
      </c>
      <c r="C6" s="123" t="inlineStr">
        <is>
          <t>A</t>
        </is>
      </c>
      <c r="D6" s="124" t="inlineStr">
        <is>
          <t>ADMINISTRATORS</t>
        </is>
      </c>
      <c r="E6" s="359" t="n">
        <v>0</v>
      </c>
      <c r="F6" s="359" t="n">
        <v>0</v>
      </c>
      <c r="G6" s="360">
        <f>SUM(E6:F6)</f>
        <v/>
      </c>
      <c r="I6" s="117" t="n"/>
    </row>
    <row r="7" ht="21" customHeight="1">
      <c r="A7" s="121">
        <f>+A6+1</f>
        <v/>
      </c>
      <c r="B7" s="122" t="inlineStr">
        <is>
          <t>S.EXPATS</t>
        </is>
      </c>
      <c r="C7" s="123" t="inlineStr">
        <is>
          <t>A</t>
        </is>
      </c>
      <c r="D7" s="124" t="inlineStr">
        <is>
          <t>SUPERVISORS</t>
        </is>
      </c>
      <c r="E7" s="359" t="n">
        <v>0</v>
      </c>
      <c r="F7" s="359" t="n">
        <v>0</v>
      </c>
      <c r="G7" s="360">
        <f>SUM(E7:F7)</f>
        <v/>
      </c>
      <c r="I7" s="117" t="n"/>
    </row>
    <row r="8" ht="21" customHeight="1">
      <c r="A8" s="121">
        <f>+A7+1</f>
        <v/>
      </c>
      <c r="B8" s="122" t="inlineStr">
        <is>
          <t>S.EXPATS</t>
        </is>
      </c>
      <c r="C8" s="123" t="inlineStr">
        <is>
          <t>B</t>
        </is>
      </c>
      <c r="D8" s="124" t="inlineStr">
        <is>
          <t>TEAM LEADERS</t>
        </is>
      </c>
      <c r="E8" s="359" t="n">
        <v>0</v>
      </c>
      <c r="F8" s="359" t="n">
        <v>0</v>
      </c>
      <c r="G8" s="360">
        <f>SUM(E8:F8)</f>
        <v/>
      </c>
      <c r="I8" s="117" t="n"/>
    </row>
    <row r="9" ht="21" customHeight="1">
      <c r="A9" s="121">
        <f>+A8+1</f>
        <v/>
      </c>
      <c r="B9" s="122" t="inlineStr">
        <is>
          <t>EXPAT'S</t>
        </is>
      </c>
      <c r="C9" s="123" t="inlineStr">
        <is>
          <t>D</t>
        </is>
      </c>
      <c r="D9" s="124" t="inlineStr">
        <is>
          <t>CLEANING STAFF</t>
        </is>
      </c>
      <c r="E9" s="359" t="n">
        <v>2</v>
      </c>
      <c r="F9" s="359" t="n">
        <v>0</v>
      </c>
      <c r="G9" s="360">
        <f>SUM(E9:F9)</f>
        <v/>
      </c>
      <c r="I9" s="117" t="n"/>
    </row>
    <row r="10" ht="21" customHeight="1">
      <c r="A10" s="121">
        <f>+A9+1</f>
        <v/>
      </c>
      <c r="B10" s="122" t="inlineStr">
        <is>
          <t>EXPAT'S</t>
        </is>
      </c>
      <c r="C10" s="123" t="inlineStr">
        <is>
          <t>C</t>
        </is>
      </c>
      <c r="D10" s="124" t="inlineStr">
        <is>
          <t>AMBULANCE DRIVERS</t>
        </is>
      </c>
      <c r="E10" s="359" t="n">
        <v>0</v>
      </c>
      <c r="F10" s="359" t="n">
        <v>0</v>
      </c>
      <c r="G10" s="360">
        <f>SUM(E10:F10)</f>
        <v/>
      </c>
      <c r="I10" s="117" t="n"/>
    </row>
    <row r="11" ht="21" customHeight="1">
      <c r="A11" s="121">
        <f>+A10+1</f>
        <v/>
      </c>
      <c r="B11" s="122" t="inlineStr">
        <is>
          <t>EXPAT'S</t>
        </is>
      </c>
      <c r="C11" s="123" t="inlineStr">
        <is>
          <t>C</t>
        </is>
      </c>
      <c r="D11" s="124" t="inlineStr">
        <is>
          <t>EQUIPMENT TECHNICIANS</t>
        </is>
      </c>
      <c r="E11" s="359" t="n">
        <v>0</v>
      </c>
      <c r="F11" s="359" t="n">
        <v>0</v>
      </c>
      <c r="G11" s="360">
        <f>SUM(E11:F11)</f>
        <v/>
      </c>
    </row>
    <row r="12" ht="18.75" customFormat="1" customHeight="1" s="120">
      <c r="A12" s="352" t="inlineStr">
        <is>
          <t>ENVIRONMENT, HEALTH AND SAFETY</t>
        </is>
      </c>
      <c r="B12" s="353" t="n"/>
      <c r="C12" s="354" t="n"/>
      <c r="D12" s="354" t="n"/>
      <c r="E12" s="355">
        <f>+SUM(E13:E16)</f>
        <v/>
      </c>
      <c r="F12" s="355">
        <f>+SUM(F13:F16)</f>
        <v/>
      </c>
      <c r="G12" s="356">
        <f>+SUM(G13:G16)</f>
        <v/>
      </c>
    </row>
    <row r="13" ht="21" customHeight="1">
      <c r="A13" s="121" t="n">
        <v>1</v>
      </c>
      <c r="B13" s="122" t="inlineStr">
        <is>
          <t>SAUDI'S</t>
        </is>
      </c>
      <c r="C13" s="123" t="inlineStr">
        <is>
          <t>A</t>
        </is>
      </c>
      <c r="D13" s="122" t="inlineStr">
        <is>
          <t xml:space="preserve">QHSE MANAGER </t>
        </is>
      </c>
      <c r="E13" s="359" t="n">
        <v>1</v>
      </c>
      <c r="F13" s="359" t="n">
        <v>1</v>
      </c>
      <c r="G13" s="360">
        <f>SUM(E13:F13)</f>
        <v/>
      </c>
    </row>
    <row r="14" ht="21" customHeight="1">
      <c r="A14" s="121">
        <f>+A13+1</f>
        <v/>
      </c>
      <c r="B14" s="122" t="inlineStr">
        <is>
          <t>SAUDI'S</t>
        </is>
      </c>
      <c r="C14" s="123" t="inlineStr">
        <is>
          <t>B</t>
        </is>
      </c>
      <c r="D14" s="122" t="inlineStr">
        <is>
          <t xml:space="preserve">ENVIRONMENTAL INSPECTOR </t>
        </is>
      </c>
      <c r="E14" s="359" t="n">
        <v>2</v>
      </c>
      <c r="F14" s="359" t="n">
        <v>1</v>
      </c>
      <c r="G14" s="360" t="n">
        <v>0</v>
      </c>
    </row>
    <row r="15" ht="21" customHeight="1">
      <c r="A15" s="121">
        <f>+A14+1</f>
        <v/>
      </c>
      <c r="B15" s="122" t="inlineStr">
        <is>
          <t>EXPAT'S</t>
        </is>
      </c>
      <c r="C15" s="123" t="inlineStr">
        <is>
          <t>B</t>
        </is>
      </c>
      <c r="D15" s="122" t="inlineStr">
        <is>
          <t>QSHE  OFFICER</t>
        </is>
      </c>
      <c r="E15" s="359" t="n">
        <v>2</v>
      </c>
      <c r="F15" s="359" t="inlineStr">
        <is>
          <t>-</t>
        </is>
      </c>
      <c r="G15" s="360" t="n">
        <v>1</v>
      </c>
    </row>
    <row r="16" ht="21" customHeight="1">
      <c r="A16" s="121">
        <f>+A15+1</f>
        <v/>
      </c>
      <c r="B16" s="122" t="inlineStr">
        <is>
          <t>EXPAT'S</t>
        </is>
      </c>
      <c r="C16" s="123" t="inlineStr">
        <is>
          <t>B</t>
        </is>
      </c>
      <c r="D16" s="122" t="inlineStr">
        <is>
          <t>SAFETY OFFICER</t>
        </is>
      </c>
      <c r="E16" s="359" t="n">
        <v>2</v>
      </c>
      <c r="F16" s="359" t="inlineStr">
        <is>
          <t>-</t>
        </is>
      </c>
      <c r="G16" s="360" t="n">
        <v>1</v>
      </c>
    </row>
    <row r="17" ht="18.75" customFormat="1" customHeight="1" s="120">
      <c r="A17" s="352" t="inlineStr">
        <is>
          <t>PEST CONTROL SERVICES</t>
        </is>
      </c>
      <c r="B17" s="353" t="n"/>
      <c r="C17" s="354" t="n"/>
      <c r="D17" s="354" t="n"/>
      <c r="E17" s="355">
        <f>+SUM(E18:E19)</f>
        <v/>
      </c>
      <c r="F17" s="355">
        <f>+SUM(F18:F19)</f>
        <v/>
      </c>
      <c r="G17" s="356">
        <f>+SUM(G18:G19)</f>
        <v/>
      </c>
    </row>
    <row r="18" ht="21" customHeight="1">
      <c r="A18" s="121" t="n">
        <v>1</v>
      </c>
      <c r="B18" s="122" t="inlineStr">
        <is>
          <t>EXPAT'S</t>
        </is>
      </c>
      <c r="C18" s="123" t="inlineStr">
        <is>
          <t>C</t>
        </is>
      </c>
      <c r="D18" s="122" t="inlineStr">
        <is>
          <t>P.C SUPERVISOR</t>
        </is>
      </c>
      <c r="E18" s="359" t="n">
        <v>2</v>
      </c>
      <c r="F18" s="359" t="inlineStr">
        <is>
          <t>-</t>
        </is>
      </c>
      <c r="G18" s="360">
        <f>SUM(E18:F18)</f>
        <v/>
      </c>
    </row>
    <row r="19" ht="21" customHeight="1">
      <c r="A19" s="121">
        <f>+A18+1</f>
        <v/>
      </c>
      <c r="B19" s="122" t="inlineStr">
        <is>
          <t>EXPAT'S</t>
        </is>
      </c>
      <c r="C19" s="123" t="inlineStr">
        <is>
          <t>C</t>
        </is>
      </c>
      <c r="D19" s="122" t="inlineStr">
        <is>
          <t>P.C TECHNICIAN</t>
        </is>
      </c>
      <c r="E19" s="359" t="n">
        <v>6</v>
      </c>
      <c r="F19" s="359" t="inlineStr">
        <is>
          <t>-</t>
        </is>
      </c>
      <c r="G19" s="360" t="n">
        <v>6</v>
      </c>
    </row>
    <row r="20" ht="18.75" customFormat="1" customHeight="1" s="120">
      <c r="A20" s="352" t="inlineStr">
        <is>
          <t>WASTE MANAGEMENT</t>
        </is>
      </c>
      <c r="B20" s="353" t="n"/>
      <c r="C20" s="354" t="n"/>
      <c r="D20" s="354" t="n"/>
      <c r="E20" s="355">
        <f>+SUM(E22:E24)</f>
        <v/>
      </c>
      <c r="F20" s="355">
        <f>+SUM(F22:F24)</f>
        <v/>
      </c>
      <c r="G20" s="356">
        <f>SUM(G21:G23)</f>
        <v/>
      </c>
    </row>
    <row r="21" ht="21" customHeight="1">
      <c r="A21" s="121" t="n">
        <v>1</v>
      </c>
      <c r="B21" s="122" t="inlineStr">
        <is>
          <t>EXPAT'S</t>
        </is>
      </c>
      <c r="C21" s="123" t="inlineStr">
        <is>
          <t>A</t>
        </is>
      </c>
      <c r="D21" s="122" t="inlineStr">
        <is>
          <t xml:space="preserve">WASTE SERVICES SUPERVISOR </t>
        </is>
      </c>
      <c r="E21" s="359" t="n">
        <v>2</v>
      </c>
      <c r="F21" s="359" t="inlineStr">
        <is>
          <t>-</t>
        </is>
      </c>
      <c r="G21" s="360" t="n">
        <v>1</v>
      </c>
    </row>
    <row r="22" ht="21" customHeight="1">
      <c r="A22" s="121">
        <f>+A21+1</f>
        <v/>
      </c>
      <c r="B22" s="122" t="inlineStr">
        <is>
          <t>EXPAT'S</t>
        </is>
      </c>
      <c r="C22" s="123" t="inlineStr">
        <is>
          <t>D</t>
        </is>
      </c>
      <c r="D22" s="122" t="inlineStr">
        <is>
          <t>WASTE SEGREGATOR</t>
        </is>
      </c>
      <c r="E22" s="359" t="n">
        <v>12</v>
      </c>
      <c r="F22" s="359" t="inlineStr">
        <is>
          <t>-</t>
        </is>
      </c>
      <c r="G22" s="360" t="n">
        <v>10</v>
      </c>
    </row>
    <row r="23" ht="21" customHeight="1">
      <c r="A23" s="121">
        <f>+A22+1</f>
        <v/>
      </c>
      <c r="B23" s="122" t="inlineStr">
        <is>
          <t>EXPAT'S</t>
        </is>
      </c>
      <c r="C23" s="123" t="inlineStr">
        <is>
          <t>D</t>
        </is>
      </c>
      <c r="D23" s="122" t="inlineStr">
        <is>
          <t xml:space="preserve">WASTE COLLECTOR </t>
        </is>
      </c>
      <c r="E23" s="359" t="n">
        <v>4</v>
      </c>
      <c r="F23" s="359" t="inlineStr">
        <is>
          <t>-</t>
        </is>
      </c>
      <c r="G23" s="360" t="n">
        <v>4</v>
      </c>
    </row>
    <row r="24" ht="18.75" customFormat="1" customHeight="1" s="120">
      <c r="A24" s="352" t="inlineStr">
        <is>
          <t>HAZARDOUS WASTE STORAGE AND HANDLING</t>
        </is>
      </c>
      <c r="B24" s="353" t="n"/>
      <c r="C24" s="354" t="n"/>
      <c r="D24" s="354" t="n"/>
      <c r="E24" s="355">
        <f>+SUM(E25:E25)</f>
        <v/>
      </c>
      <c r="F24" s="355">
        <f>+SUM(F25:F25)</f>
        <v/>
      </c>
      <c r="G24" s="356">
        <f>+SUM(G25:G25)</f>
        <v/>
      </c>
    </row>
    <row r="25" ht="21" customHeight="1">
      <c r="A25" s="121" t="n">
        <v>1</v>
      </c>
      <c r="B25" s="122" t="inlineStr">
        <is>
          <t>EXPAT'S</t>
        </is>
      </c>
      <c r="C25" s="123" t="inlineStr">
        <is>
          <t>D</t>
        </is>
      </c>
      <c r="D25" s="122" t="inlineStr">
        <is>
          <t xml:space="preserve">WASTE COLLECTOR </t>
        </is>
      </c>
      <c r="E25" s="359" t="n">
        <v>2</v>
      </c>
      <c r="F25" s="359" t="inlineStr">
        <is>
          <t>-</t>
        </is>
      </c>
      <c r="G25" s="360" t="n">
        <v>2</v>
      </c>
    </row>
    <row r="26" ht="18.75" customFormat="1" customHeight="1" s="120">
      <c r="A26" s="352" t="inlineStr">
        <is>
          <t>SEWAGE TREATMENT PLANT</t>
        </is>
      </c>
      <c r="B26" s="353" t="n"/>
      <c r="C26" s="354" t="n"/>
      <c r="D26" s="354" t="n"/>
      <c r="E26" s="355">
        <f>+SUM(E27:E29)</f>
        <v/>
      </c>
      <c r="F26" s="355">
        <f>+SUM(F27:F29)</f>
        <v/>
      </c>
      <c r="G26" s="356">
        <f>+SUM(G27:G29)</f>
        <v/>
      </c>
    </row>
    <row r="27" ht="21" customHeight="1">
      <c r="A27" s="121" t="n">
        <v>1</v>
      </c>
      <c r="B27" s="122" t="inlineStr">
        <is>
          <t>EXPAT'S</t>
        </is>
      </c>
      <c r="C27" s="123" t="inlineStr">
        <is>
          <t>A</t>
        </is>
      </c>
      <c r="D27" s="122" t="inlineStr">
        <is>
          <t xml:space="preserve">STP SUPERVISOR </t>
        </is>
      </c>
      <c r="E27" s="359" t="n">
        <v>2</v>
      </c>
      <c r="F27" s="359" t="inlineStr">
        <is>
          <t>-</t>
        </is>
      </c>
      <c r="G27" s="360">
        <f>SUM(E27:F27)</f>
        <v/>
      </c>
    </row>
    <row r="28" ht="21" customHeight="1">
      <c r="A28" s="121">
        <f>+A27+1</f>
        <v/>
      </c>
      <c r="B28" s="122" t="inlineStr">
        <is>
          <t>EXPAT'S</t>
        </is>
      </c>
      <c r="C28" s="123" t="inlineStr">
        <is>
          <t>C</t>
        </is>
      </c>
      <c r="D28" s="122" t="inlineStr">
        <is>
          <t xml:space="preserve">STP OPERATOR </t>
        </is>
      </c>
      <c r="E28" s="359" t="n">
        <v>4</v>
      </c>
      <c r="F28" s="359" t="inlineStr">
        <is>
          <t>-</t>
        </is>
      </c>
      <c r="G28" s="360">
        <f>SUM(E28:F28)</f>
        <v/>
      </c>
    </row>
    <row r="29" ht="21" customHeight="1">
      <c r="A29" s="121">
        <f>+A28+1</f>
        <v/>
      </c>
      <c r="B29" s="122" t="inlineStr">
        <is>
          <t>EXPAT'S</t>
        </is>
      </c>
      <c r="C29" s="123" t="inlineStr">
        <is>
          <t>C</t>
        </is>
      </c>
      <c r="D29" s="122" t="inlineStr">
        <is>
          <t>MULTI-SKILLED TECHNICIANS</t>
        </is>
      </c>
      <c r="E29" s="359" t="n">
        <v>2</v>
      </c>
      <c r="F29" s="359" t="inlineStr">
        <is>
          <t>-</t>
        </is>
      </c>
      <c r="G29" s="360" t="n">
        <v>0</v>
      </c>
    </row>
    <row r="30" ht="18.75" customFormat="1" customHeight="1" s="120">
      <c r="A30" s="352" t="inlineStr">
        <is>
          <t>MEP MAINTENANCE &amp; SERVICES</t>
        </is>
      </c>
      <c r="B30" s="353" t="n"/>
      <c r="C30" s="354" t="n"/>
      <c r="D30" s="354" t="n"/>
      <c r="E30" s="355">
        <f>+SUM(E31:E47)</f>
        <v/>
      </c>
      <c r="F30" s="355">
        <f>+SUM(F31:F47)</f>
        <v/>
      </c>
      <c r="G30" s="356">
        <f>+SUM(G31:G47)</f>
        <v/>
      </c>
    </row>
    <row r="31" ht="21" customHeight="1">
      <c r="A31" s="121" t="n">
        <v>1</v>
      </c>
      <c r="B31" s="122" t="inlineStr">
        <is>
          <t>S.EXPATS</t>
        </is>
      </c>
      <c r="C31" s="123" t="inlineStr">
        <is>
          <t>A</t>
        </is>
      </c>
      <c r="D31" s="122" t="inlineStr">
        <is>
          <t>FACILITIES ENGINEER</t>
        </is>
      </c>
      <c r="E31" s="359" t="n">
        <v>2</v>
      </c>
      <c r="F31" s="359" t="inlineStr">
        <is>
          <t>-</t>
        </is>
      </c>
      <c r="G31" s="360">
        <f>SUM(E31:F31)</f>
        <v/>
      </c>
    </row>
    <row r="32" ht="21" customHeight="1">
      <c r="A32" s="121">
        <f>+A31+1</f>
        <v/>
      </c>
      <c r="B32" s="122" t="inlineStr">
        <is>
          <t>EXPAT'S</t>
        </is>
      </c>
      <c r="C32" s="123" t="inlineStr">
        <is>
          <t>A</t>
        </is>
      </c>
      <c r="D32" s="122" t="inlineStr">
        <is>
          <t>SUPERVISORS MEP</t>
        </is>
      </c>
      <c r="E32" s="359" t="n">
        <v>4</v>
      </c>
      <c r="F32" s="359" t="inlineStr">
        <is>
          <t>-</t>
        </is>
      </c>
      <c r="G32" s="360">
        <f>SUM(E32:F32)</f>
        <v/>
      </c>
    </row>
    <row r="33" ht="21" customHeight="1">
      <c r="A33" s="121">
        <f>+A32+1</f>
        <v/>
      </c>
      <c r="B33" s="122" t="inlineStr">
        <is>
          <t>EXPAT'S</t>
        </is>
      </c>
      <c r="C33" s="123" t="inlineStr">
        <is>
          <t>C</t>
        </is>
      </c>
      <c r="D33" s="122" t="inlineStr">
        <is>
          <t>UTILITY/GEN</t>
        </is>
      </c>
      <c r="E33" s="359" t="n">
        <v>4</v>
      </c>
      <c r="F33" s="359" t="inlineStr">
        <is>
          <t>-</t>
        </is>
      </c>
      <c r="G33" s="360" t="n">
        <v>2</v>
      </c>
    </row>
    <row r="34" ht="21" customHeight="1">
      <c r="A34" s="121">
        <f>+A33+1</f>
        <v/>
      </c>
      <c r="B34" s="122" t="inlineStr">
        <is>
          <t>EXPAT'S</t>
        </is>
      </c>
      <c r="C34" s="123" t="inlineStr">
        <is>
          <t>C</t>
        </is>
      </c>
      <c r="D34" s="122" t="inlineStr">
        <is>
          <t>MULTI SKILLED TECH.</t>
        </is>
      </c>
      <c r="E34" s="359" t="n">
        <v>4</v>
      </c>
      <c r="F34" s="359" t="inlineStr">
        <is>
          <t>-</t>
        </is>
      </c>
      <c r="G34" s="360" t="n">
        <v>3</v>
      </c>
    </row>
    <row r="35" ht="21" customHeight="1">
      <c r="A35" s="121">
        <f>+A34+1</f>
        <v/>
      </c>
      <c r="B35" s="122" t="inlineStr">
        <is>
          <t>EXPAT'S</t>
        </is>
      </c>
      <c r="C35" s="123" t="inlineStr">
        <is>
          <t>C</t>
        </is>
      </c>
      <c r="D35" s="122" t="inlineStr">
        <is>
          <t>MECHANICAL  TECH</t>
        </is>
      </c>
      <c r="E35" s="359" t="n">
        <v>4</v>
      </c>
      <c r="F35" s="359" t="inlineStr">
        <is>
          <t>-</t>
        </is>
      </c>
      <c r="G35" s="360" t="n">
        <v>2</v>
      </c>
    </row>
    <row r="36" ht="21" customHeight="1">
      <c r="A36" s="121">
        <f>+A35+1</f>
        <v/>
      </c>
      <c r="B36" s="122" t="inlineStr">
        <is>
          <t>EXPAT'S</t>
        </is>
      </c>
      <c r="C36" s="123" t="inlineStr">
        <is>
          <t>C</t>
        </is>
      </c>
      <c r="D36" s="122" t="inlineStr">
        <is>
          <t xml:space="preserve">AC TECHNICIAN  </t>
        </is>
      </c>
      <c r="E36" s="359" t="n">
        <v>16</v>
      </c>
      <c r="F36" s="359" t="inlineStr">
        <is>
          <t>-</t>
        </is>
      </c>
      <c r="G36" s="360">
        <f>SUM(E36:F36)</f>
        <v/>
      </c>
    </row>
    <row r="37" ht="21" customHeight="1">
      <c r="A37" s="121">
        <f>+A36+1</f>
        <v/>
      </c>
      <c r="B37" s="122" t="inlineStr">
        <is>
          <t>EXPAT'S</t>
        </is>
      </c>
      <c r="C37" s="123" t="inlineStr">
        <is>
          <t>C</t>
        </is>
      </c>
      <c r="D37" s="122" t="inlineStr">
        <is>
          <t xml:space="preserve">ASSTANT AC TECHNICIAN </t>
        </is>
      </c>
      <c r="E37" s="359" t="n">
        <v>6</v>
      </c>
      <c r="F37" s="359" t="inlineStr">
        <is>
          <t>-</t>
        </is>
      </c>
      <c r="G37" s="360" t="n">
        <v>0</v>
      </c>
    </row>
    <row r="38" ht="21" customHeight="1">
      <c r="A38" s="121">
        <f>+A37+1</f>
        <v/>
      </c>
      <c r="B38" s="122" t="inlineStr">
        <is>
          <t>EXPAT'S</t>
        </is>
      </c>
      <c r="C38" s="123" t="inlineStr">
        <is>
          <t>C</t>
        </is>
      </c>
      <c r="D38" s="122" t="inlineStr">
        <is>
          <t>PLUMBER</t>
        </is>
      </c>
      <c r="E38" s="359" t="n">
        <v>14</v>
      </c>
      <c r="F38" s="359" t="inlineStr">
        <is>
          <t>-</t>
        </is>
      </c>
      <c r="G38" s="360" t="n">
        <v>10</v>
      </c>
    </row>
    <row r="39" ht="21" customHeight="1">
      <c r="A39" s="121">
        <f>+A38+1</f>
        <v/>
      </c>
      <c r="B39" s="122" t="inlineStr">
        <is>
          <t>EXPAT'S</t>
        </is>
      </c>
      <c r="C39" s="123" t="inlineStr">
        <is>
          <t>C</t>
        </is>
      </c>
      <c r="D39" s="122" t="inlineStr">
        <is>
          <t xml:space="preserve">TRADE HELPER </t>
        </is>
      </c>
      <c r="E39" s="359" t="n">
        <v>14</v>
      </c>
      <c r="F39" s="359" t="inlineStr">
        <is>
          <t>-</t>
        </is>
      </c>
      <c r="G39" s="360" t="n">
        <v>0</v>
      </c>
    </row>
    <row r="40" ht="21" customHeight="1">
      <c r="A40" s="121">
        <f>+A39+1</f>
        <v/>
      </c>
      <c r="B40" s="122" t="inlineStr">
        <is>
          <t>EXPAT'S</t>
        </is>
      </c>
      <c r="C40" s="123" t="inlineStr">
        <is>
          <t>A</t>
        </is>
      </c>
      <c r="D40" s="122" t="inlineStr">
        <is>
          <t>SUPERVISOR ELECTRICAL</t>
        </is>
      </c>
      <c r="E40" s="359" t="n">
        <v>2</v>
      </c>
      <c r="F40" s="359" t="inlineStr">
        <is>
          <t>-</t>
        </is>
      </c>
      <c r="G40" s="360">
        <f>SUM(E40:F40)</f>
        <v/>
      </c>
    </row>
    <row r="41" ht="21" customHeight="1">
      <c r="A41" s="121">
        <f>+A40+1</f>
        <v/>
      </c>
      <c r="B41" s="122" t="inlineStr">
        <is>
          <t>EXPAT'S</t>
        </is>
      </c>
      <c r="C41" s="123" t="inlineStr">
        <is>
          <t>B</t>
        </is>
      </c>
      <c r="D41" s="122" t="inlineStr">
        <is>
          <t xml:space="preserve">TEAM LEADER ELECTRICAL </t>
        </is>
      </c>
      <c r="E41" s="359" t="n">
        <v>2</v>
      </c>
      <c r="F41" s="359" t="inlineStr">
        <is>
          <t>-</t>
        </is>
      </c>
      <c r="G41" s="360" t="n">
        <v>1</v>
      </c>
    </row>
    <row r="42" ht="21" customHeight="1">
      <c r="A42" s="121">
        <f>+A41+1</f>
        <v/>
      </c>
      <c r="B42" s="122" t="inlineStr">
        <is>
          <t>EXPAT'S</t>
        </is>
      </c>
      <c r="C42" s="123" t="inlineStr">
        <is>
          <t>C</t>
        </is>
      </c>
      <c r="D42" s="122" t="inlineStr">
        <is>
          <t>ELECTRICIAN</t>
        </is>
      </c>
      <c r="E42" s="359" t="n">
        <v>18</v>
      </c>
      <c r="F42" s="359" t="inlineStr">
        <is>
          <t>-</t>
        </is>
      </c>
      <c r="G42" s="360" t="n">
        <v>10</v>
      </c>
    </row>
    <row r="43" ht="21" customHeight="1">
      <c r="A43" s="121">
        <f>+A42+1</f>
        <v/>
      </c>
      <c r="B43" s="122" t="inlineStr">
        <is>
          <t>EXPAT'S</t>
        </is>
      </c>
      <c r="C43" s="123" t="inlineStr">
        <is>
          <t>C</t>
        </is>
      </c>
      <c r="D43" s="122" t="inlineStr">
        <is>
          <t xml:space="preserve">APPLIANCE TECHNICIAN </t>
        </is>
      </c>
      <c r="E43" s="359" t="n">
        <v>2</v>
      </c>
      <c r="F43" s="359" t="inlineStr">
        <is>
          <t>-</t>
        </is>
      </c>
      <c r="G43" s="360" t="n">
        <v>0</v>
      </c>
    </row>
    <row r="44" ht="21" customHeight="1">
      <c r="A44" s="121">
        <f>+A43+1</f>
        <v/>
      </c>
      <c r="B44" s="122" t="inlineStr">
        <is>
          <t>EXPAT'S</t>
        </is>
      </c>
      <c r="C44" s="123" t="inlineStr">
        <is>
          <t>D</t>
        </is>
      </c>
      <c r="D44" s="122" t="inlineStr">
        <is>
          <t>WARE HOUSE HELPER</t>
        </is>
      </c>
      <c r="E44" s="359" t="n">
        <v>2</v>
      </c>
      <c r="F44" s="359" t="inlineStr">
        <is>
          <t>-</t>
        </is>
      </c>
      <c r="G44" s="360">
        <f>SUM(E44:F44)</f>
        <v/>
      </c>
    </row>
    <row r="45" ht="21" customHeight="1">
      <c r="A45" s="121">
        <f>+A44+1</f>
        <v/>
      </c>
      <c r="B45" s="122" t="inlineStr">
        <is>
          <t>EXPAT'S</t>
        </is>
      </c>
      <c r="C45" s="123" t="inlineStr">
        <is>
          <t>C</t>
        </is>
      </c>
      <c r="D45" s="122" t="inlineStr">
        <is>
          <t>MEWP CERTIFIED OPERATORS</t>
        </is>
      </c>
      <c r="E45" s="359" t="n">
        <v>0</v>
      </c>
      <c r="F45" s="359" t="inlineStr">
        <is>
          <t>-</t>
        </is>
      </c>
      <c r="G45" s="360">
        <f>SUM(E45:F45)</f>
        <v/>
      </c>
    </row>
    <row r="46" ht="21" customHeight="1">
      <c r="A46" s="121">
        <f>+A45+1</f>
        <v/>
      </c>
      <c r="B46" s="122" t="inlineStr">
        <is>
          <t>SAUDI'S</t>
        </is>
      </c>
      <c r="C46" s="123" t="inlineStr">
        <is>
          <t>B</t>
        </is>
      </c>
      <c r="D46" s="122" t="inlineStr">
        <is>
          <t>IT ENGINEER</t>
        </is>
      </c>
      <c r="E46" s="359" t="n">
        <v>1</v>
      </c>
      <c r="F46" s="359" t="n">
        <v>1</v>
      </c>
      <c r="G46" s="360">
        <f>SUM(E46:F46)</f>
        <v/>
      </c>
    </row>
    <row r="47" ht="21" customHeight="1">
      <c r="A47" s="121">
        <f>+A46+1</f>
        <v/>
      </c>
      <c r="B47" s="122" t="inlineStr">
        <is>
          <t>EXPAT'S</t>
        </is>
      </c>
      <c r="C47" s="123" t="inlineStr">
        <is>
          <t>C</t>
        </is>
      </c>
      <c r="D47" s="122" t="inlineStr">
        <is>
          <t>LV TECHNICIAN (CCTV/IT )</t>
        </is>
      </c>
      <c r="E47" s="359" t="n">
        <v>2</v>
      </c>
      <c r="F47" s="359" t="inlineStr">
        <is>
          <t>-</t>
        </is>
      </c>
      <c r="G47" s="360">
        <f>SUM(E47:F47)</f>
        <v/>
      </c>
    </row>
    <row r="48" ht="18.75" customFormat="1" customHeight="1" s="120">
      <c r="A48" s="352" t="inlineStr">
        <is>
          <t>CIVIL MAINTENANCE &amp; SERVICES</t>
        </is>
      </c>
      <c r="B48" s="353" t="n"/>
      <c r="C48" s="354" t="n"/>
      <c r="D48" s="354" t="n"/>
      <c r="E48" s="355">
        <f>+SUM(E49:E50)</f>
        <v/>
      </c>
      <c r="F48" s="355">
        <f>+SUM(F49:F50)</f>
        <v/>
      </c>
      <c r="G48" s="356">
        <f>+SUM(G49:G50)</f>
        <v/>
      </c>
    </row>
    <row r="49" ht="21" customHeight="1">
      <c r="A49" s="121" t="n">
        <v>1</v>
      </c>
      <c r="B49" s="122" t="inlineStr">
        <is>
          <t>EXPAT'S</t>
        </is>
      </c>
      <c r="C49" s="123" t="inlineStr">
        <is>
          <t>A</t>
        </is>
      </c>
      <c r="D49" s="122" t="inlineStr">
        <is>
          <t>CIVIL SUPERVISOR</t>
        </is>
      </c>
      <c r="E49" s="359" t="n">
        <v>2</v>
      </c>
      <c r="F49" s="359" t="inlineStr">
        <is>
          <t>-</t>
        </is>
      </c>
      <c r="G49" s="360">
        <f>SUM(E49:F49)</f>
        <v/>
      </c>
    </row>
    <row r="50" ht="21" customHeight="1">
      <c r="A50" s="121">
        <f>+A49+1</f>
        <v/>
      </c>
      <c r="B50" s="122" t="inlineStr">
        <is>
          <t>EXPAT'S</t>
        </is>
      </c>
      <c r="C50" s="123" t="inlineStr">
        <is>
          <t>C</t>
        </is>
      </c>
      <c r="D50" s="122" t="inlineStr">
        <is>
          <t>MASON</t>
        </is>
      </c>
      <c r="E50" s="359" t="n">
        <v>2</v>
      </c>
      <c r="F50" s="359" t="inlineStr">
        <is>
          <t>-</t>
        </is>
      </c>
      <c r="G50" s="360">
        <f>SUM(E50:F50)</f>
        <v/>
      </c>
    </row>
    <row r="51" ht="18.75" customFormat="1" customHeight="1" s="120">
      <c r="A51" s="352" t="inlineStr">
        <is>
          <t>CARPENTRY SERVICES</t>
        </is>
      </c>
      <c r="B51" s="353" t="n"/>
      <c r="C51" s="354" t="n"/>
      <c r="D51" s="354" t="n"/>
      <c r="E51" s="355">
        <f>+SUM(E52:E53)</f>
        <v/>
      </c>
      <c r="F51" s="355">
        <f>+SUM(F52:F53)</f>
        <v/>
      </c>
      <c r="G51" s="356">
        <f>+SUM(G52:G53)</f>
        <v/>
      </c>
    </row>
    <row r="52" ht="21" customHeight="1">
      <c r="A52" s="121" t="n">
        <v>1</v>
      </c>
      <c r="B52" s="122" t="inlineStr">
        <is>
          <t>EXPAT'S</t>
        </is>
      </c>
      <c r="C52" s="123" t="inlineStr">
        <is>
          <t>C</t>
        </is>
      </c>
      <c r="D52" s="122" t="inlineStr">
        <is>
          <t>CARPENTER</t>
        </is>
      </c>
      <c r="E52" s="359" t="n">
        <v>8</v>
      </c>
      <c r="F52" s="359" t="inlineStr">
        <is>
          <t>-</t>
        </is>
      </c>
      <c r="G52" s="360" t="n">
        <v>6</v>
      </c>
    </row>
    <row r="53" ht="21" customHeight="1">
      <c r="A53" s="121">
        <f>+A52+1</f>
        <v/>
      </c>
      <c r="B53" s="122" t="inlineStr">
        <is>
          <t>EXPAT'S</t>
        </is>
      </c>
      <c r="C53" s="123" t="inlineStr">
        <is>
          <t>C</t>
        </is>
      </c>
      <c r="D53" s="122" t="inlineStr">
        <is>
          <t>PAINTER/HANDYMAN (CIVIL)</t>
        </is>
      </c>
      <c r="E53" s="359" t="n">
        <v>4</v>
      </c>
      <c r="F53" s="359" t="inlineStr">
        <is>
          <t>-</t>
        </is>
      </c>
      <c r="G53" s="360">
        <f>SUM(E53:F53)</f>
        <v/>
      </c>
    </row>
    <row r="54" ht="18.75" customFormat="1" customHeight="1" s="120">
      <c r="A54" s="352" t="inlineStr">
        <is>
          <t>LANDSCAPE  SERVICES</t>
        </is>
      </c>
      <c r="B54" s="353" t="n"/>
      <c r="C54" s="354" t="n"/>
      <c r="D54" s="354" t="n"/>
      <c r="E54" s="355">
        <f>+SUM(E55:E56)</f>
        <v/>
      </c>
      <c r="F54" s="355">
        <f>+SUM(F55:F56)</f>
        <v/>
      </c>
      <c r="G54" s="356">
        <f>+SUM(G55:G56)</f>
        <v/>
      </c>
    </row>
    <row r="55" ht="21" customHeight="1">
      <c r="A55" s="121" t="n">
        <v>1</v>
      </c>
      <c r="B55" s="122" t="inlineStr">
        <is>
          <t>EXPAT'S</t>
        </is>
      </c>
      <c r="C55" s="123" t="inlineStr">
        <is>
          <t>A</t>
        </is>
      </c>
      <c r="D55" s="122" t="inlineStr">
        <is>
          <t>LANDSCAPE SUPERVISOR</t>
        </is>
      </c>
      <c r="E55" s="361" t="n">
        <v>2</v>
      </c>
      <c r="F55" s="361" t="inlineStr">
        <is>
          <t>-</t>
        </is>
      </c>
      <c r="G55" s="360">
        <f>SUM(E55:F55)</f>
        <v/>
      </c>
    </row>
    <row r="56" ht="21" customHeight="1">
      <c r="A56" s="121">
        <f>+A55+1</f>
        <v/>
      </c>
      <c r="B56" s="122" t="inlineStr">
        <is>
          <t>EXPAT'S</t>
        </is>
      </c>
      <c r="C56" s="123" t="inlineStr">
        <is>
          <t>D</t>
        </is>
      </c>
      <c r="D56" s="122" t="inlineStr">
        <is>
          <t>GARDENER</t>
        </is>
      </c>
      <c r="E56" s="359" t="n">
        <v>20</v>
      </c>
      <c r="F56" s="359" t="inlineStr">
        <is>
          <t>-</t>
        </is>
      </c>
      <c r="G56" s="360">
        <f>SUM(E56:F56)</f>
        <v/>
      </c>
    </row>
    <row r="57" ht="18.75" customFormat="1" customHeight="1" s="120">
      <c r="A57" s="352" t="inlineStr">
        <is>
          <t>IRRIGATION SYSTEMS</t>
        </is>
      </c>
      <c r="B57" s="353" t="n"/>
      <c r="C57" s="354" t="n"/>
      <c r="D57" s="354" t="n"/>
      <c r="E57" s="355">
        <f>+SUM(E58)</f>
        <v/>
      </c>
      <c r="F57" s="355">
        <f>+SUM(F58)</f>
        <v/>
      </c>
      <c r="G57" s="356">
        <f>+SUM(G58)</f>
        <v/>
      </c>
    </row>
    <row r="58" ht="21" customHeight="1">
      <c r="A58" s="121" t="n">
        <v>1</v>
      </c>
      <c r="B58" s="122" t="inlineStr">
        <is>
          <t>EXPAT'S</t>
        </is>
      </c>
      <c r="C58" s="123" t="inlineStr">
        <is>
          <t>C</t>
        </is>
      </c>
      <c r="D58" s="122" t="inlineStr">
        <is>
          <t>IRRIGATION TECHNICIAN</t>
        </is>
      </c>
      <c r="E58" s="359" t="n">
        <v>2</v>
      </c>
      <c r="F58" s="359" t="inlineStr">
        <is>
          <t>-</t>
        </is>
      </c>
      <c r="G58" s="360">
        <f>SUM(E58:F58)</f>
        <v/>
      </c>
    </row>
    <row r="59" ht="18.75" customFormat="1" customHeight="1" s="120">
      <c r="A59" s="352" t="inlineStr">
        <is>
          <t>FIRE PROTECTION AND SAFETY SERVICES</t>
        </is>
      </c>
      <c r="B59" s="353" t="n"/>
      <c r="C59" s="354" t="n"/>
      <c r="D59" s="354" t="n"/>
      <c r="E59" s="355">
        <f>+SUM(E60:E63)</f>
        <v/>
      </c>
      <c r="F59" s="355">
        <f>+SUM(F60:F63)</f>
        <v/>
      </c>
      <c r="G59" s="356">
        <f>+SUM(G60:G63)</f>
        <v/>
      </c>
    </row>
    <row r="60" ht="21" customHeight="1">
      <c r="A60" s="121" t="n">
        <v>1</v>
      </c>
      <c r="B60" s="122" t="inlineStr">
        <is>
          <t>EXPAT'S</t>
        </is>
      </c>
      <c r="C60" s="123" t="inlineStr">
        <is>
          <t>B</t>
        </is>
      </c>
      <c r="D60" s="122" t="inlineStr">
        <is>
          <t>FIRE PROTECTION ENGINEER</t>
        </is>
      </c>
      <c r="E60" s="359" t="n">
        <v>2</v>
      </c>
      <c r="F60" s="359" t="inlineStr">
        <is>
          <t>-</t>
        </is>
      </c>
      <c r="G60" s="360" t="n">
        <v>1</v>
      </c>
    </row>
    <row r="61" ht="21" customHeight="1">
      <c r="A61" s="121">
        <f>+A60+1</f>
        <v/>
      </c>
      <c r="B61" s="122" t="inlineStr">
        <is>
          <t>EXPAT'S</t>
        </is>
      </c>
      <c r="C61" s="123" t="inlineStr">
        <is>
          <t>C</t>
        </is>
      </c>
      <c r="D61" s="122" t="inlineStr">
        <is>
          <t>SUPERVISOR FIRE ALARM</t>
        </is>
      </c>
      <c r="E61" s="359" t="n">
        <v>0</v>
      </c>
      <c r="F61" s="359" t="inlineStr">
        <is>
          <t>-</t>
        </is>
      </c>
      <c r="G61" s="360">
        <f>SUM(E61:F61)</f>
        <v/>
      </c>
    </row>
    <row r="62" ht="21" customHeight="1">
      <c r="A62" s="121">
        <f>+A61+1</f>
        <v/>
      </c>
      <c r="B62" s="122" t="inlineStr">
        <is>
          <t>EXPAT'S</t>
        </is>
      </c>
      <c r="C62" s="123" t="inlineStr">
        <is>
          <t>C</t>
        </is>
      </c>
      <c r="D62" s="122" t="inlineStr">
        <is>
          <t>FIRE FIGHTING TEAM LEADER</t>
        </is>
      </c>
      <c r="E62" s="359" t="n">
        <v>2</v>
      </c>
      <c r="F62" s="359" t="inlineStr">
        <is>
          <t>-</t>
        </is>
      </c>
      <c r="G62" s="360" t="n">
        <v>1</v>
      </c>
    </row>
    <row r="63" ht="21" customHeight="1">
      <c r="A63" s="121">
        <f>+A62+1</f>
        <v/>
      </c>
      <c r="B63" s="122" t="inlineStr">
        <is>
          <t>EXPAT'S</t>
        </is>
      </c>
      <c r="C63" s="123" t="inlineStr">
        <is>
          <t>C</t>
        </is>
      </c>
      <c r="D63" s="122" t="inlineStr">
        <is>
          <t>FIRE ALARM TECH</t>
        </is>
      </c>
      <c r="E63" s="359" t="n">
        <v>6</v>
      </c>
      <c r="F63" s="359" t="inlineStr">
        <is>
          <t>-</t>
        </is>
      </c>
      <c r="G63" s="360" t="n">
        <v>5</v>
      </c>
    </row>
    <row r="64" ht="18.75" customFormat="1" customHeight="1" s="120">
      <c r="A64" s="352" t="inlineStr">
        <is>
          <t>SECURITY SERVICES</t>
        </is>
      </c>
      <c r="B64" s="353" t="n"/>
      <c r="C64" s="354" t="n"/>
      <c r="D64" s="354" t="n"/>
      <c r="E64" s="355">
        <f>+SUM(E65:E69)</f>
        <v/>
      </c>
      <c r="F64" s="355">
        <f>+SUM(F65:F69)</f>
        <v/>
      </c>
      <c r="G64" s="356">
        <f>+SUM(G65:G69)</f>
        <v/>
      </c>
    </row>
    <row r="65" ht="21" customHeight="1">
      <c r="A65" s="121" t="n">
        <v>1</v>
      </c>
      <c r="B65" s="122" t="inlineStr">
        <is>
          <t>SAUDI'S</t>
        </is>
      </c>
      <c r="C65" s="123" t="inlineStr">
        <is>
          <t>A</t>
        </is>
      </c>
      <c r="D65" s="122" t="inlineStr">
        <is>
          <t>SECURITY MANAGER</t>
        </is>
      </c>
      <c r="E65" s="361" t="inlineStr">
        <is>
          <t>-</t>
        </is>
      </c>
      <c r="F65" s="361" t="n">
        <v>1</v>
      </c>
      <c r="G65" s="360" t="n">
        <v>0</v>
      </c>
    </row>
    <row r="66" ht="21" customHeight="1">
      <c r="A66" s="121">
        <f>+A65+1</f>
        <v/>
      </c>
      <c r="B66" s="122" t="inlineStr">
        <is>
          <t>SAUDI'S</t>
        </is>
      </c>
      <c r="C66" s="123" t="inlineStr">
        <is>
          <t>A</t>
        </is>
      </c>
      <c r="D66" s="122" t="inlineStr">
        <is>
          <t>SECURITY SUPERVISOR</t>
        </is>
      </c>
      <c r="E66" s="361" t="inlineStr">
        <is>
          <t>-</t>
        </is>
      </c>
      <c r="F66" s="361" t="n">
        <v>8</v>
      </c>
      <c r="G66" s="360" t="n">
        <v>3</v>
      </c>
    </row>
    <row r="67" ht="21" customHeight="1">
      <c r="A67" s="121">
        <f>+A66+1</f>
        <v/>
      </c>
      <c r="B67" s="122" t="inlineStr">
        <is>
          <t>SAUDI'S</t>
        </is>
      </c>
      <c r="C67" s="123" t="inlineStr">
        <is>
          <t>C</t>
        </is>
      </c>
      <c r="D67" s="122" t="inlineStr">
        <is>
          <t xml:space="preserve">SECURITY ADMIN </t>
        </is>
      </c>
      <c r="E67" s="359" t="inlineStr">
        <is>
          <t>-</t>
        </is>
      </c>
      <c r="F67" s="359" t="n">
        <v>8</v>
      </c>
      <c r="G67" s="360" t="n">
        <v>3</v>
      </c>
    </row>
    <row r="68" ht="21" customHeight="1">
      <c r="A68" s="121">
        <f>+A67+1</f>
        <v/>
      </c>
      <c r="B68" s="122" t="inlineStr">
        <is>
          <t>SAUDI'S</t>
        </is>
      </c>
      <c r="C68" s="123" t="inlineStr">
        <is>
          <t>C</t>
        </is>
      </c>
      <c r="D68" s="122" t="inlineStr">
        <is>
          <t>MANNED SECURITY WATCHMAN/GUARDS</t>
        </is>
      </c>
      <c r="E68" s="359" t="inlineStr">
        <is>
          <t>-</t>
        </is>
      </c>
      <c r="F68" s="359" t="n">
        <v>60</v>
      </c>
      <c r="G68" s="360" t="n">
        <v>35</v>
      </c>
    </row>
    <row r="69" ht="21" customHeight="1">
      <c r="A69" s="121">
        <f>+A68+1</f>
        <v/>
      </c>
      <c r="B69" s="122" t="inlineStr">
        <is>
          <t>SAUDI'S</t>
        </is>
      </c>
      <c r="C69" s="123" t="inlineStr">
        <is>
          <t>D</t>
        </is>
      </c>
      <c r="D69" s="122" t="inlineStr">
        <is>
          <t>MANNED SECURITY PATROLS</t>
        </is>
      </c>
      <c r="E69" s="359" t="inlineStr">
        <is>
          <t>-</t>
        </is>
      </c>
      <c r="F69" s="359" t="n">
        <v>8</v>
      </c>
      <c r="G69" s="360" t="n">
        <v>0</v>
      </c>
    </row>
    <row r="70" ht="18.75" customFormat="1" customHeight="1" s="120">
      <c r="A70" s="352" t="inlineStr">
        <is>
          <t xml:space="preserve">RECREATION SERVICES  </t>
        </is>
      </c>
      <c r="B70" s="353" t="n"/>
      <c r="C70" s="354" t="n"/>
      <c r="D70" s="354" t="n"/>
      <c r="E70" s="355">
        <f>+SUM(E71:E72)</f>
        <v/>
      </c>
      <c r="F70" s="355">
        <f>+SUM(F71:F72)</f>
        <v/>
      </c>
      <c r="G70" s="356">
        <f>+SUM(G71:G72)</f>
        <v/>
      </c>
    </row>
    <row r="71" ht="21" customHeight="1">
      <c r="A71" s="121" t="n">
        <v>1</v>
      </c>
      <c r="B71" s="122" t="inlineStr">
        <is>
          <t>EXPAT'S</t>
        </is>
      </c>
      <c r="C71" s="123" t="inlineStr">
        <is>
          <t>B</t>
        </is>
      </c>
      <c r="D71" s="122" t="inlineStr">
        <is>
          <t xml:space="preserve">RECREATION INCHARGE </t>
        </is>
      </c>
      <c r="E71" s="361" t="n">
        <v>1</v>
      </c>
      <c r="F71" s="361" t="inlineStr">
        <is>
          <t>-</t>
        </is>
      </c>
      <c r="G71" s="360">
        <f>SUM(E71:F71)</f>
        <v/>
      </c>
    </row>
    <row r="72" ht="21" customHeight="1">
      <c r="A72" s="121">
        <f>+A71+1</f>
        <v/>
      </c>
      <c r="B72" s="122" t="inlineStr">
        <is>
          <t>EXPAT'S</t>
        </is>
      </c>
      <c r="C72" s="123" t="inlineStr">
        <is>
          <t>C</t>
        </is>
      </c>
      <c r="D72" s="122" t="inlineStr">
        <is>
          <t xml:space="preserve">RECREATION COORDINATOR </t>
        </is>
      </c>
      <c r="E72" s="361" t="n">
        <v>1</v>
      </c>
      <c r="F72" s="361" t="inlineStr">
        <is>
          <t>-</t>
        </is>
      </c>
      <c r="G72" s="360">
        <f>SUM(E72:F72)</f>
        <v/>
      </c>
    </row>
    <row r="73" ht="18.75" customFormat="1" customHeight="1" s="120">
      <c r="A73" s="352" t="inlineStr">
        <is>
          <t>CAMP MANAGEMENT</t>
        </is>
      </c>
      <c r="B73" s="353" t="n"/>
      <c r="C73" s="354" t="n"/>
      <c r="D73" s="354" t="n"/>
      <c r="E73" s="355">
        <f>+SUM(E74:E89)</f>
        <v/>
      </c>
      <c r="F73" s="355">
        <f>+SUM(F74:F89)</f>
        <v/>
      </c>
      <c r="G73" s="356">
        <f>+SUM(G74:G89)</f>
        <v/>
      </c>
    </row>
    <row r="74" ht="21" customHeight="1">
      <c r="A74" s="121" t="n">
        <v>1</v>
      </c>
      <c r="B74" s="122" t="inlineStr">
        <is>
          <t>S.EXPATS</t>
        </is>
      </c>
      <c r="C74" s="123" t="inlineStr">
        <is>
          <t>A</t>
        </is>
      </c>
      <c r="D74" s="124" t="inlineStr">
        <is>
          <t>FACILITY MANAGER</t>
        </is>
      </c>
      <c r="E74" s="359" t="n">
        <v>1</v>
      </c>
      <c r="F74" s="359" t="inlineStr">
        <is>
          <t>-</t>
        </is>
      </c>
      <c r="G74" s="360" t="n">
        <v>0</v>
      </c>
    </row>
    <row r="75" ht="21" customHeight="1">
      <c r="A75" s="121">
        <f>+A74+1</f>
        <v/>
      </c>
      <c r="B75" s="122" t="inlineStr">
        <is>
          <t>S.EXPATS</t>
        </is>
      </c>
      <c r="C75" s="123" t="inlineStr">
        <is>
          <t>A</t>
        </is>
      </c>
      <c r="D75" s="124" t="inlineStr">
        <is>
          <t>HARD SERVICES MANAGERS</t>
        </is>
      </c>
      <c r="E75" s="359" t="n">
        <v>1</v>
      </c>
      <c r="F75" s="359" t="inlineStr">
        <is>
          <t>-</t>
        </is>
      </c>
      <c r="G75" s="360">
        <f>SUM(E75:F75)</f>
        <v/>
      </c>
    </row>
    <row r="76" ht="21" customHeight="1">
      <c r="A76" s="121">
        <f>+A75+1</f>
        <v/>
      </c>
      <c r="B76" s="122" t="inlineStr">
        <is>
          <t>EXPAT'S</t>
        </is>
      </c>
      <c r="C76" s="123" t="inlineStr">
        <is>
          <t>A</t>
        </is>
      </c>
      <c r="D76" s="124" t="inlineStr">
        <is>
          <t>SOFT SERVICES MANAGERS</t>
        </is>
      </c>
      <c r="E76" s="359" t="n">
        <v>1</v>
      </c>
      <c r="F76" s="359" t="inlineStr">
        <is>
          <t>-</t>
        </is>
      </c>
      <c r="G76" s="360">
        <f>SUM(E76:F76)</f>
        <v/>
      </c>
    </row>
    <row r="77" ht="21" customHeight="1">
      <c r="A77" s="121">
        <f>+A76+1</f>
        <v/>
      </c>
      <c r="B77" s="122" t="inlineStr">
        <is>
          <t>S.EXPATS</t>
        </is>
      </c>
      <c r="C77" s="123" t="inlineStr">
        <is>
          <t>A</t>
        </is>
      </c>
      <c r="D77" s="124" t="inlineStr">
        <is>
          <t xml:space="preserve">OFFICE MANAGER/HR MANAGER </t>
        </is>
      </c>
      <c r="E77" s="359" t="n">
        <v>1</v>
      </c>
      <c r="F77" s="359" t="inlineStr">
        <is>
          <t>-</t>
        </is>
      </c>
      <c r="G77" s="360">
        <f>SUM(E77:F77)</f>
        <v/>
      </c>
    </row>
    <row r="78" ht="21" customHeight="1">
      <c r="A78" s="121">
        <f>+A77+1</f>
        <v/>
      </c>
      <c r="B78" s="122" t="inlineStr">
        <is>
          <t>EXPAT'S</t>
        </is>
      </c>
      <c r="C78" s="123" t="inlineStr">
        <is>
          <t>C</t>
        </is>
      </c>
      <c r="D78" s="124" t="inlineStr">
        <is>
          <t>HARD SERVICE COORDINATORS</t>
        </is>
      </c>
      <c r="E78" s="359" t="n">
        <v>1</v>
      </c>
      <c r="F78" s="359" t="inlineStr">
        <is>
          <t>-</t>
        </is>
      </c>
      <c r="G78" s="360">
        <f>SUM(E78:F78)</f>
        <v/>
      </c>
    </row>
    <row r="79" ht="21" customHeight="1">
      <c r="A79" s="121">
        <f>+A78+1</f>
        <v/>
      </c>
      <c r="B79" s="122" t="inlineStr">
        <is>
          <t>EXPAT'S</t>
        </is>
      </c>
      <c r="C79" s="123" t="inlineStr">
        <is>
          <t>D</t>
        </is>
      </c>
      <c r="D79" s="124" t="inlineStr">
        <is>
          <t>SOFT SERVICE COORDINATORS</t>
        </is>
      </c>
      <c r="E79" s="359" t="n">
        <v>1</v>
      </c>
      <c r="F79" s="359" t="inlineStr">
        <is>
          <t>-</t>
        </is>
      </c>
      <c r="G79" s="360">
        <f>SUM(E79:F79)</f>
        <v/>
      </c>
    </row>
    <row r="80" ht="21" customHeight="1">
      <c r="A80" s="121">
        <f>+A79+1</f>
        <v/>
      </c>
      <c r="B80" s="122" t="inlineStr">
        <is>
          <t>EXPAT'S</t>
        </is>
      </c>
      <c r="C80" s="123" t="inlineStr">
        <is>
          <t>A</t>
        </is>
      </c>
      <c r="D80" s="124" t="inlineStr">
        <is>
          <t>ADMINISTRATORS</t>
        </is>
      </c>
      <c r="E80" s="359" t="n">
        <v>2</v>
      </c>
      <c r="F80" s="359" t="inlineStr">
        <is>
          <t>-</t>
        </is>
      </c>
      <c r="G80" s="360">
        <f>SUM(E80:F80)</f>
        <v/>
      </c>
    </row>
    <row r="81" ht="21" customHeight="1">
      <c r="A81" s="121">
        <f>+A80+1</f>
        <v/>
      </c>
      <c r="B81" s="122" t="inlineStr">
        <is>
          <t>SAUDI'S</t>
        </is>
      </c>
      <c r="C81" s="123" t="inlineStr">
        <is>
          <t>A</t>
        </is>
      </c>
      <c r="D81" s="124" t="inlineStr">
        <is>
          <t xml:space="preserve">IMAM FOR MOSQUE </t>
        </is>
      </c>
      <c r="E81" s="359" t="n">
        <v>1</v>
      </c>
      <c r="F81" s="359" t="n">
        <v>1</v>
      </c>
      <c r="G81" s="360">
        <f>SUM(E81:F81)</f>
        <v/>
      </c>
    </row>
    <row r="82" ht="21" customHeight="1">
      <c r="A82" s="121">
        <f>+A81+1</f>
        <v/>
      </c>
      <c r="B82" s="122" t="inlineStr">
        <is>
          <t>EXPAT'S</t>
        </is>
      </c>
      <c r="C82" s="123" t="inlineStr">
        <is>
          <t>C</t>
        </is>
      </c>
      <c r="D82" s="124" t="inlineStr">
        <is>
          <t>WARE HOUSE INCHARGE</t>
        </is>
      </c>
      <c r="E82" s="359" t="n">
        <v>1</v>
      </c>
      <c r="F82" s="359" t="inlineStr">
        <is>
          <t>-</t>
        </is>
      </c>
      <c r="G82" s="360">
        <f>SUM(E82:F82)</f>
        <v/>
      </c>
    </row>
    <row r="83" ht="21" customHeight="1">
      <c r="A83" s="121">
        <f>+A82+1</f>
        <v/>
      </c>
      <c r="B83" s="122" t="inlineStr">
        <is>
          <t>EXPAT'S</t>
        </is>
      </c>
      <c r="C83" s="123" t="inlineStr">
        <is>
          <t>C</t>
        </is>
      </c>
      <c r="D83" s="124" t="inlineStr">
        <is>
          <t>CAFM/HELP DESK OPERATOR</t>
        </is>
      </c>
      <c r="E83" s="359" t="n">
        <v>3</v>
      </c>
      <c r="F83" s="359" t="inlineStr">
        <is>
          <t>-</t>
        </is>
      </c>
      <c r="G83" s="360">
        <f>SUM(E83:F83)</f>
        <v/>
      </c>
    </row>
    <row r="84" ht="21" customHeight="1">
      <c r="A84" s="121">
        <f>+A83+1</f>
        <v/>
      </c>
      <c r="B84" s="122" t="inlineStr">
        <is>
          <t>EXPAT'S</t>
        </is>
      </c>
      <c r="C84" s="123" t="inlineStr">
        <is>
          <t>B</t>
        </is>
      </c>
      <c r="D84" s="124" t="inlineStr">
        <is>
          <t>ACCOMODATION INCHARGE</t>
        </is>
      </c>
      <c r="E84" s="359" t="n">
        <v>1</v>
      </c>
      <c r="F84" s="359" t="inlineStr">
        <is>
          <t>-</t>
        </is>
      </c>
      <c r="G84" s="360">
        <f>SUM(E84:F84)</f>
        <v/>
      </c>
    </row>
    <row r="85" ht="21" customHeight="1">
      <c r="A85" s="121">
        <f>+A84+1</f>
        <v/>
      </c>
      <c r="B85" s="122" t="inlineStr">
        <is>
          <t>EXPAT'S</t>
        </is>
      </c>
      <c r="C85" s="123" t="inlineStr">
        <is>
          <t>B</t>
        </is>
      </c>
      <c r="D85" s="124" t="inlineStr">
        <is>
          <t xml:space="preserve">ID ISSUING INCHARGE </t>
        </is>
      </c>
      <c r="E85" s="359" t="n">
        <v>2</v>
      </c>
      <c r="F85" s="359" t="inlineStr">
        <is>
          <t>-</t>
        </is>
      </c>
      <c r="G85" s="360">
        <f>SUM(E85:F85)</f>
        <v/>
      </c>
    </row>
    <row r="86" ht="21" customHeight="1">
      <c r="A86" s="121">
        <f>+A85+1</f>
        <v/>
      </c>
      <c r="B86" s="122" t="inlineStr">
        <is>
          <t>EXPAT'S</t>
        </is>
      </c>
      <c r="C86" s="123" t="inlineStr">
        <is>
          <t>B</t>
        </is>
      </c>
      <c r="D86" s="124" t="inlineStr">
        <is>
          <t xml:space="preserve">ACCOMODATION ADMIN </t>
        </is>
      </c>
      <c r="E86" s="359" t="n">
        <v>4</v>
      </c>
      <c r="F86" s="359" t="inlineStr">
        <is>
          <t>-</t>
        </is>
      </c>
      <c r="G86" s="360">
        <f>SUM(E86:F86)</f>
        <v/>
      </c>
    </row>
    <row r="87" ht="21" customHeight="1">
      <c r="A87" s="121">
        <f>+A86+1</f>
        <v/>
      </c>
      <c r="B87" s="122" t="inlineStr">
        <is>
          <t>EXPAT'S</t>
        </is>
      </c>
      <c r="C87" s="123" t="inlineStr">
        <is>
          <t>C</t>
        </is>
      </c>
      <c r="D87" s="124" t="inlineStr">
        <is>
          <t xml:space="preserve">KEY CUSTODIAN </t>
        </is>
      </c>
      <c r="E87" s="359" t="n">
        <v>2</v>
      </c>
      <c r="F87" s="359" t="inlineStr">
        <is>
          <t>-</t>
        </is>
      </c>
      <c r="G87" s="360">
        <f>SUM(E87:F87)</f>
        <v/>
      </c>
    </row>
    <row r="88" ht="21" customHeight="1">
      <c r="A88" s="121">
        <f>+A87+1</f>
        <v/>
      </c>
      <c r="B88" s="122" t="inlineStr">
        <is>
          <t>EXPAT'S</t>
        </is>
      </c>
      <c r="C88" s="123" t="inlineStr">
        <is>
          <t>C</t>
        </is>
      </c>
      <c r="D88" s="124" t="inlineStr">
        <is>
          <t>DOCUMENT CONTROLLER</t>
        </is>
      </c>
      <c r="E88" s="359" t="n">
        <v>2</v>
      </c>
      <c r="F88" s="359" t="inlineStr">
        <is>
          <t>-</t>
        </is>
      </c>
      <c r="G88" s="360" t="n">
        <v>1</v>
      </c>
    </row>
    <row r="89" ht="21" customHeight="1">
      <c r="A89" s="121">
        <f>+A88+1</f>
        <v/>
      </c>
      <c r="B89" s="122" t="inlineStr">
        <is>
          <t>EXPAT'S</t>
        </is>
      </c>
      <c r="C89" s="123" t="inlineStr">
        <is>
          <t>B</t>
        </is>
      </c>
      <c r="D89" s="124" t="inlineStr">
        <is>
          <t>PROCUREMENT OFFICER</t>
        </is>
      </c>
      <c r="E89" s="359" t="n">
        <v>1</v>
      </c>
      <c r="F89" s="359" t="inlineStr">
        <is>
          <t>-</t>
        </is>
      </c>
      <c r="G89" s="360">
        <f>SUM(E89:F89)</f>
        <v/>
      </c>
    </row>
    <row r="90" ht="18.75" customFormat="1" customHeight="1" s="120">
      <c r="A90" s="352" t="inlineStr">
        <is>
          <t>GOVERNMENT LIAISON SERVICES</t>
        </is>
      </c>
      <c r="B90" s="353" t="n"/>
      <c r="C90" s="354" t="n"/>
      <c r="D90" s="354" t="n"/>
      <c r="E90" s="355">
        <f>+SUM(E91)</f>
        <v/>
      </c>
      <c r="F90" s="355">
        <f>+SUM(F91)</f>
        <v/>
      </c>
      <c r="G90" s="356">
        <f>+SUM(G91)</f>
        <v/>
      </c>
    </row>
    <row r="91" ht="21" customHeight="1">
      <c r="A91" s="121" t="n">
        <v>1</v>
      </c>
      <c r="B91" s="122" t="inlineStr">
        <is>
          <t>SAUDI'S</t>
        </is>
      </c>
      <c r="C91" s="123" t="inlineStr">
        <is>
          <t>B</t>
        </is>
      </c>
      <c r="D91" s="124" t="inlineStr">
        <is>
          <t>RELATIONSHIP OFFICER</t>
        </is>
      </c>
      <c r="E91" s="359" t="inlineStr">
        <is>
          <t>-</t>
        </is>
      </c>
      <c r="F91" s="359" t="n">
        <v>1</v>
      </c>
      <c r="G91" s="360">
        <f>SUM(E91:F91)</f>
        <v/>
      </c>
    </row>
    <row r="92" ht="18.75" customFormat="1" customHeight="1" s="120">
      <c r="A92" s="352" t="inlineStr">
        <is>
          <t>HOUSEKEEPING &amp; JANITORIAL SERVICES</t>
        </is>
      </c>
      <c r="B92" s="353" t="n"/>
      <c r="C92" s="354" t="n"/>
      <c r="D92" s="354" t="n"/>
      <c r="E92" s="355">
        <f>+SUM(E93:E101)</f>
        <v/>
      </c>
      <c r="F92" s="355">
        <f>+SUM(F93:F101)</f>
        <v/>
      </c>
      <c r="G92" s="356">
        <f>+SUM(G93:G101)</f>
        <v/>
      </c>
    </row>
    <row r="93" ht="21" customHeight="1">
      <c r="A93" s="121" t="n">
        <v>1</v>
      </c>
      <c r="B93" s="122" t="inlineStr">
        <is>
          <t>EXPAT'S</t>
        </is>
      </c>
      <c r="C93" s="123" t="inlineStr">
        <is>
          <t>C</t>
        </is>
      </c>
      <c r="D93" s="122" t="inlineStr">
        <is>
          <t>CLEANING SUPERVISOR</t>
        </is>
      </c>
      <c r="E93" s="359" t="n">
        <v>12</v>
      </c>
      <c r="F93" s="359" t="inlineStr">
        <is>
          <t>-</t>
        </is>
      </c>
      <c r="G93" s="360" t="n">
        <v>10</v>
      </c>
    </row>
    <row r="94" ht="21" customHeight="1">
      <c r="A94" s="121">
        <f>+A93+1</f>
        <v/>
      </c>
      <c r="B94" s="122" t="inlineStr">
        <is>
          <t>EXPAT'S</t>
        </is>
      </c>
      <c r="C94" s="123" t="inlineStr">
        <is>
          <t>C</t>
        </is>
      </c>
      <c r="D94" s="122" t="inlineStr">
        <is>
          <t xml:space="preserve">HOUSEKEEPRS -MALE </t>
        </is>
      </c>
      <c r="E94" s="359" t="n">
        <v>92</v>
      </c>
      <c r="F94" s="359" t="inlineStr">
        <is>
          <t>-</t>
        </is>
      </c>
      <c r="G94" s="360">
        <f>SUM(E94:F94)</f>
        <v/>
      </c>
    </row>
    <row r="95" ht="21" customHeight="1">
      <c r="A95" s="121">
        <f>+A94+1</f>
        <v/>
      </c>
      <c r="B95" s="122" t="inlineStr">
        <is>
          <t>EXPAT'S</t>
        </is>
      </c>
      <c r="C95" s="123" t="inlineStr">
        <is>
          <t>C</t>
        </is>
      </c>
      <c r="D95" s="122" t="inlineStr">
        <is>
          <t xml:space="preserve">CLEANERS-MALE </t>
        </is>
      </c>
      <c r="E95" s="359" t="n">
        <v>16</v>
      </c>
      <c r="F95" s="359" t="inlineStr">
        <is>
          <t>-</t>
        </is>
      </c>
      <c r="G95" s="360">
        <f>SUM(E95:F95)</f>
        <v/>
      </c>
    </row>
    <row r="96" ht="21" customHeight="1">
      <c r="A96" s="121">
        <f>+A95+1</f>
        <v/>
      </c>
      <c r="B96" s="122" t="inlineStr">
        <is>
          <t>EXPAT'S</t>
        </is>
      </c>
      <c r="C96" s="123" t="inlineStr">
        <is>
          <t>C</t>
        </is>
      </c>
      <c r="D96" s="122" t="inlineStr">
        <is>
          <t>TEA BOY FM OPERATION OFFICE</t>
        </is>
      </c>
      <c r="E96" s="359" t="n">
        <v>2</v>
      </c>
      <c r="F96" s="359" t="inlineStr">
        <is>
          <t>-</t>
        </is>
      </c>
      <c r="G96" s="360">
        <f>SUM(E96:F96)</f>
        <v/>
      </c>
    </row>
    <row r="97" ht="21" customHeight="1">
      <c r="A97" s="121">
        <f>+A96+1</f>
        <v/>
      </c>
      <c r="B97" s="122" t="inlineStr">
        <is>
          <t>EXPAT'S</t>
        </is>
      </c>
      <c r="C97" s="123" t="inlineStr">
        <is>
          <t>C</t>
        </is>
      </c>
      <c r="D97" s="122" t="inlineStr">
        <is>
          <t xml:space="preserve">TEAM LEADER MESS HALL </t>
        </is>
      </c>
      <c r="E97" s="359" t="n">
        <v>2</v>
      </c>
      <c r="F97" s="359" t="inlineStr">
        <is>
          <t>-</t>
        </is>
      </c>
      <c r="G97" s="360" t="n">
        <v>0</v>
      </c>
    </row>
    <row r="98" ht="21" customHeight="1">
      <c r="A98" s="121">
        <f>+A97+1</f>
        <v/>
      </c>
      <c r="B98" s="122" t="inlineStr">
        <is>
          <t>EXPAT'S</t>
        </is>
      </c>
      <c r="C98" s="123" t="inlineStr">
        <is>
          <t>C</t>
        </is>
      </c>
      <c r="D98" s="122" t="inlineStr">
        <is>
          <t>LITTER PICKER SUPERVISOR</t>
        </is>
      </c>
      <c r="E98" s="359" t="n">
        <v>2</v>
      </c>
      <c r="F98" s="359" t="inlineStr">
        <is>
          <t>-</t>
        </is>
      </c>
      <c r="G98" s="360" t="n">
        <v>0</v>
      </c>
    </row>
    <row r="99" ht="21" customHeight="1">
      <c r="A99" s="121">
        <f>+A98+1</f>
        <v/>
      </c>
      <c r="B99" s="122" t="inlineStr">
        <is>
          <t>EXPAT'S</t>
        </is>
      </c>
      <c r="C99" s="123" t="inlineStr">
        <is>
          <t>C</t>
        </is>
      </c>
      <c r="D99" s="122" t="inlineStr">
        <is>
          <t xml:space="preserve">LITTER PICKER </t>
        </is>
      </c>
      <c r="E99" s="359" t="n">
        <v>10</v>
      </c>
      <c r="F99" s="359" t="inlineStr">
        <is>
          <t>-</t>
        </is>
      </c>
      <c r="G99" s="360" t="n">
        <v>10</v>
      </c>
    </row>
    <row r="100" ht="21" customHeight="1">
      <c r="A100" s="121">
        <f>+A99+1</f>
        <v/>
      </c>
      <c r="B100" s="122" t="inlineStr">
        <is>
          <t>EXPAT'S</t>
        </is>
      </c>
      <c r="C100" s="123" t="inlineStr">
        <is>
          <t>C</t>
        </is>
      </c>
      <c r="D100" s="122" t="inlineStr">
        <is>
          <t>ROAD SWEEPER DRIVER</t>
        </is>
      </c>
      <c r="E100" s="359" t="n">
        <v>1</v>
      </c>
      <c r="F100" s="359" t="inlineStr">
        <is>
          <t>-</t>
        </is>
      </c>
      <c r="G100" s="360">
        <f>SUM(E100:F100)</f>
        <v/>
      </c>
    </row>
    <row r="101" ht="21" customHeight="1">
      <c r="A101" s="121">
        <f>+A100+1</f>
        <v/>
      </c>
      <c r="B101" s="122" t="inlineStr">
        <is>
          <t>EXPAT'S</t>
        </is>
      </c>
      <c r="C101" s="123" t="inlineStr">
        <is>
          <t>C</t>
        </is>
      </c>
      <c r="D101" s="122" t="inlineStr">
        <is>
          <t>BARBER</t>
        </is>
      </c>
      <c r="E101" s="359" t="n">
        <v>4</v>
      </c>
      <c r="F101" s="359" t="inlineStr">
        <is>
          <t>-</t>
        </is>
      </c>
      <c r="G101" s="360">
        <f>SUM(E101:F101)</f>
        <v/>
      </c>
    </row>
    <row r="102" ht="18.75" customFormat="1" customHeight="1" s="120">
      <c r="A102" s="352" t="inlineStr">
        <is>
          <t>LAUNDRY SERVICES</t>
        </is>
      </c>
      <c r="B102" s="353" t="n"/>
      <c r="C102" s="354" t="n"/>
      <c r="D102" s="354" t="n"/>
      <c r="E102" s="355">
        <f>+SUM(E103:E106)</f>
        <v/>
      </c>
      <c r="F102" s="355">
        <f>+SUM(F103:F106)</f>
        <v/>
      </c>
      <c r="G102" s="356">
        <f>+SUM(G103:G106)</f>
        <v/>
      </c>
    </row>
    <row r="103" ht="21" customHeight="1">
      <c r="A103" s="121" t="n">
        <v>1</v>
      </c>
      <c r="B103" s="122" t="inlineStr">
        <is>
          <t>EXPAT'S</t>
        </is>
      </c>
      <c r="C103" s="123" t="inlineStr">
        <is>
          <t>A</t>
        </is>
      </c>
      <c r="D103" s="122" t="inlineStr">
        <is>
          <t>LAUNDRY SUPERVISOR</t>
        </is>
      </c>
      <c r="E103" s="359" t="n">
        <v>2</v>
      </c>
      <c r="F103" s="359" t="inlineStr">
        <is>
          <t>-</t>
        </is>
      </c>
      <c r="G103" s="360">
        <f>SUM(E103:F103)</f>
        <v/>
      </c>
    </row>
    <row r="104" ht="21" customHeight="1">
      <c r="A104" s="121">
        <f>+A103+1</f>
        <v/>
      </c>
      <c r="B104" s="122" t="inlineStr">
        <is>
          <t>EXPAT'S</t>
        </is>
      </c>
      <c r="C104" s="123" t="inlineStr">
        <is>
          <t>C</t>
        </is>
      </c>
      <c r="D104" s="122" t="inlineStr">
        <is>
          <t>LAUNDRY TEAM LEADER</t>
        </is>
      </c>
      <c r="E104" s="359" t="n">
        <v>2</v>
      </c>
      <c r="F104" s="359" t="inlineStr">
        <is>
          <t>-</t>
        </is>
      </c>
      <c r="G104" s="360">
        <f>SUM(E104:F104)</f>
        <v/>
      </c>
    </row>
    <row r="105" ht="21" customHeight="1">
      <c r="A105" s="121">
        <f>+A104+1</f>
        <v/>
      </c>
      <c r="B105" s="122" t="inlineStr">
        <is>
          <t>EXPAT'S</t>
        </is>
      </c>
      <c r="C105" s="123" t="inlineStr">
        <is>
          <t>C</t>
        </is>
      </c>
      <c r="D105" s="122" t="inlineStr">
        <is>
          <t>LAUNDRY OPERATIVES</t>
        </is>
      </c>
      <c r="E105" s="359" t="n">
        <v>36</v>
      </c>
      <c r="F105" s="359" t="inlineStr">
        <is>
          <t>-</t>
        </is>
      </c>
      <c r="G105" s="360">
        <f>SUM(E105:F105)</f>
        <v/>
      </c>
    </row>
    <row r="106" ht="21" customHeight="1">
      <c r="A106" s="121">
        <f>+A105+1</f>
        <v/>
      </c>
      <c r="B106" s="122" t="inlineStr">
        <is>
          <t>EXPAT'S</t>
        </is>
      </c>
      <c r="C106" s="123" t="inlineStr">
        <is>
          <t>C</t>
        </is>
      </c>
      <c r="D106" s="122" t="inlineStr">
        <is>
          <t xml:space="preserve">LAUNDRY VEHCILE DRIVER </t>
        </is>
      </c>
      <c r="E106" s="359" t="n">
        <v>2</v>
      </c>
      <c r="F106" s="359" t="inlineStr">
        <is>
          <t>-</t>
        </is>
      </c>
      <c r="G106" s="360" t="n">
        <v>0</v>
      </c>
    </row>
    <row r="107" ht="17.25" customHeight="1">
      <c r="A107" s="125" t="n"/>
      <c r="B107" s="125" t="n"/>
      <c r="C107" s="126" t="n"/>
      <c r="D107" s="125" t="n"/>
      <c r="E107" s="363">
        <f>+E4+E12+E17+E20+E24+E26+E30+E48+E51+E54+E57+E59+E64+E70+E73+E90+E92+E102</f>
        <v/>
      </c>
      <c r="F107" s="363">
        <f>+F4+F12+F17+F20+F24+F26+F30+F48+F51+F54+F57+F59+F64+F70+F73+F90+F92+F102</f>
        <v/>
      </c>
      <c r="G107" s="390">
        <f>+G4+G12+G17+G20+G24+G26+G30+G48+G51+G54+G57+G59+G64+G70+G73+G90+G92+G102</f>
        <v/>
      </c>
    </row>
    <row r="111" ht="15" customHeight="1">
      <c r="G111" s="513" t="n"/>
    </row>
    <row r="112" ht="15" customFormat="1" customHeight="1" s="348">
      <c r="C112" s="365" t="n"/>
      <c r="G112" s="513" t="n"/>
    </row>
    <row r="113" ht="15" customFormat="1" customHeight="1" s="348">
      <c r="C113" s="365" t="n"/>
    </row>
    <row r="114" ht="15" customFormat="1" customHeight="1" s="348">
      <c r="C114" s="365" t="n"/>
    </row>
    <row r="115" ht="15" customFormat="1" customHeight="1" s="348">
      <c r="C115" s="365" t="n"/>
    </row>
    <row r="116" ht="15" customFormat="1" customHeight="1" s="348">
      <c r="C116" s="365" t="n"/>
    </row>
    <row r="117" ht="15" customFormat="1" customHeight="1" s="348">
      <c r="C117" s="365" t="n"/>
    </row>
    <row r="120" ht="15" customFormat="1" customHeight="1" s="348">
      <c r="C120" s="365" t="n"/>
    </row>
    <row r="121" ht="15" customFormat="1" customHeight="1" s="348">
      <c r="C121" s="365" t="n"/>
    </row>
    <row r="122" ht="15" customFormat="1" customHeight="1" s="348">
      <c r="C122" s="365" t="n"/>
    </row>
    <row r="123" ht="15" customFormat="1" customHeight="1" s="348">
      <c r="C123" s="365" t="n"/>
    </row>
    <row r="124" ht="15" customFormat="1" customHeight="1" s="348">
      <c r="C124" s="365" t="n"/>
    </row>
    <row r="125" ht="15" customFormat="1" customHeight="1" s="348">
      <c r="C125" s="365" t="n"/>
    </row>
    <row r="126" ht="15" customFormat="1" customHeight="1" s="348">
      <c r="C126" s="365" t="n"/>
    </row>
    <row r="127" ht="15" customFormat="1" customHeight="1" s="348">
      <c r="C127" s="365" t="n"/>
    </row>
    <row r="128" ht="15" customFormat="1" customHeight="1" s="348">
      <c r="C128" s="365" t="n"/>
    </row>
    <row r="129" ht="15" customFormat="1" customHeight="1" s="348">
      <c r="C129" s="365" t="n"/>
    </row>
    <row r="130" ht="15" customFormat="1" customHeight="1" s="348">
      <c r="C130" s="365" t="n"/>
    </row>
    <row r="132" ht="15" customFormat="1" customHeight="1" s="348">
      <c r="C132" s="365" t="n"/>
    </row>
    <row r="133" ht="15" customFormat="1" customHeight="1" s="348">
      <c r="C133" s="365" t="n"/>
    </row>
    <row r="134" ht="15" customFormat="1" customHeight="1" s="348">
      <c r="C134" s="365" t="n"/>
    </row>
    <row r="135" ht="15" customFormat="1" customHeight="1" s="348">
      <c r="C135" s="365" t="n"/>
    </row>
    <row r="136" ht="15" customFormat="1" customHeight="1" s="348">
      <c r="C136" s="365" t="n"/>
    </row>
    <row r="137" ht="15" customFormat="1" customHeight="1" s="348">
      <c r="C137" s="365" t="n"/>
    </row>
    <row r="138" ht="15" customFormat="1" customHeight="1" s="348">
      <c r="C138" s="365" t="n"/>
    </row>
    <row r="139" ht="15" customFormat="1" customHeight="1" s="348">
      <c r="C139" s="365" t="n"/>
    </row>
    <row r="140" ht="15" customFormat="1" customHeight="1" s="348">
      <c r="C140" s="365" t="n"/>
    </row>
    <row r="141" ht="15" customFormat="1" customHeight="1" s="348">
      <c r="C141" s="365" t="n"/>
    </row>
    <row r="142" ht="15" customFormat="1" customHeight="1" s="348">
      <c r="C142" s="365" t="n"/>
    </row>
    <row r="143" ht="15" customFormat="1" customHeight="1" s="348">
      <c r="C143" s="365" t="n"/>
    </row>
    <row r="145" ht="15" customFormat="1" customHeight="1" s="348">
      <c r="C145" s="365" t="n"/>
    </row>
    <row r="146" ht="15" customFormat="1" customHeight="1" s="348">
      <c r="C146" s="365" t="n"/>
    </row>
    <row r="147" ht="15" customFormat="1" customHeight="1" s="348">
      <c r="C147" s="365" t="n"/>
    </row>
    <row r="148" ht="15" customFormat="1" customHeight="1" s="348">
      <c r="C148" s="365" t="n"/>
    </row>
    <row r="149" ht="15" customFormat="1" customHeight="1" s="348">
      <c r="C149" s="365" t="n"/>
    </row>
    <row r="150" ht="15" customFormat="1" customHeight="1" s="348">
      <c r="C150" s="365" t="n"/>
    </row>
    <row r="151" ht="15" customFormat="1" customHeight="1" s="348">
      <c r="C151" s="365" t="n"/>
    </row>
    <row r="152" ht="15" customFormat="1" customHeight="1" s="348">
      <c r="C152" s="365" t="n"/>
    </row>
    <row r="153" ht="15" customFormat="1" customHeight="1" s="348">
      <c r="C153" s="365" t="n"/>
    </row>
    <row r="154" ht="15" customFormat="1" customHeight="1" s="348">
      <c r="C154" s="365" t="n"/>
    </row>
    <row r="155" ht="15" customFormat="1" customHeight="1" s="348">
      <c r="C155" s="365" t="n"/>
    </row>
  </sheetData>
  <conditionalFormatting sqref="B4 B5:C11 B12 B13:C16 B17 B18:C19 B20 B21:C23 B24 B25:C25 B26 B27:C29 B30 B31:C47 B48 B49:C50 B51 B52:C53 B54 B55:C56 B57 B58:C58 B59 B60:C63 B64 B65:C69 B70 B71:C72 B73 B74:C89 B90 B91:C91 B92 B93:C101 B102 B103:C106">
    <cfRule type="containsText" priority="10" operator="containsText" dxfId="6" text="SAUDI'S">
      <formula>NOT(ISERROR(SEARCH("SAUDI'S",B4)))</formula>
    </cfRule>
  </conditionalFormatting>
  <conditionalFormatting sqref="D103:D106">
    <cfRule type="expression" priority="11" dxfId="3">
      <formula>IF(#REF!="CLOSED",1)</formula>
    </cfRule>
    <cfRule type="expression" priority="12" dxfId="2">
      <formula>IF(#REF!="OPEN",1)</formula>
    </cfRule>
    <cfRule type="expression" priority="13" dxfId="3">
      <formula>IF(#REF!="CLOSED",1)</formula>
    </cfRule>
    <cfRule type="expression" priority="14" dxfId="2">
      <formula>IF(#REF!="OPEN",1)</formula>
    </cfRule>
  </conditionalFormatting>
  <dataValidations count="1">
    <dataValidation sqref="B5:B25 B27:B29 B31:B47 B49:B50 B52:B91 B93:B101 B103:B106 GV5:GV25 GV27:GV29 GV31:GV47 GV49:GV50 GV52:GV91 GV93:GV101 GV103:GV106 HW110:HW113 QR5:QR25 QR27:QR29 QR31:QR47 QR49:QR50 QR52:QR91 QR93:QR101 QR103:QR106 RS110:RS113 AAN5:AAN25 AAN27:AAN29 AAN31:AAN47 AAN49:AAN50 AAN52:AAN91 AAN93:AAN101 AAN103:AAN106 ABO110:ABO113 AKJ5:AKJ25 AKJ27:AKJ29 AKJ31:AKJ47 AKJ49:AKJ50 AKJ52:AKJ91 AKJ93:AKJ101 AKJ103:AKJ106 ALK110:ALK113 AUF5:AUF25 AUF27:AUF29 AUF31:AUF47 AUF49:AUF50 AUF52:AUF91 AUF93:AUF101 AUF103:AUF106 AVG110:AVG113 BEB5:BEB25 BEB27:BEB29 BEB31:BEB47 BEB49:BEB50 BEB52:BEB91 BEB93:BEB101 BEB103:BEB106 BFC110:BFC113 BNX5:BNX25 BNX27:BNX29 BNX31:BNX47 BNX49:BNX50 BNX52:BNX91 BNX93:BNX101 BNX103:BNX106 BOY110:BOY113 BXT5:BXT25 BXT27:BXT29 BXT31:BXT47 BXT49:BXT50 BXT52:BXT91 BXT93:BXT101 BXT103:BXT106 BYU110:BYU113 CHP5:CHP25 CHP27:CHP29 CHP31:CHP47 CHP49:CHP50 CHP52:CHP91 CHP93:CHP101 CHP103:CHP106 CIQ110:CIQ113 CRL5:CRL25 CRL27:CRL29 CRL31:CRL47 CRL49:CRL50 CRL52:CRL91 CRL93:CRL101 CRL103:CRL106 CSM110:CSM113 DBH5:DBH25 DBH27:DBH29 DBH31:DBH47 DBH49:DBH50 DBH52:DBH91 DBH93:DBH101 DBH103:DBH106 DCI110:DCI113 DLD5:DLD25 DLD27:DLD29 DLD31:DLD47 DLD49:DLD50 DLD52:DLD91 DLD93:DLD101 DLD103:DLD106 DME110:DME113 DUZ5:DUZ25 DUZ27:DUZ29 DUZ31:DUZ47 DUZ49:DUZ50 DUZ52:DUZ91 DUZ93:DUZ101 DUZ103:DUZ106 DWA110:DWA113 EEV5:EEV25 EEV27:EEV29 EEV31:EEV47 EEV49:EEV50 EEV52:EEV91 EEV93:EEV101 EEV103:EEV106 EFW110:EFW113 EOR5:EOR25 EOR27:EOR29 EOR31:EOR47 EOR49:EOR50 EOR52:EOR91 EOR93:EOR101 EOR103:EOR106 EPS110:EPS113 EYN5:EYN25 EYN27:EYN29 EYN31:EYN47 EYN49:EYN50 EYN52:EYN91 EYN93:EYN101 EYN103:EYN106 EZO110:EZO113 FIJ5:FIJ25 FIJ27:FIJ29 FIJ31:FIJ47 FIJ49:FIJ50 FIJ52:FIJ91 FIJ93:FIJ101 FIJ103:FIJ106 FJK110:FJK113 FSF5:FSF25 FSF27:FSF29 FSF31:FSF47 FSF49:FSF50 FSF52:FSF91 FSF93:FSF101 FSF103:FSF106 FTG110:FTG113 GCB5:GCB25 GCB27:GCB29 GCB31:GCB47 GCB49:GCB50 GCB52:GCB91 GCB93:GCB101 GCB103:GCB106 GDC110:GDC113 GLX5:GLX25 GLX27:GLX29 GLX31:GLX47 GLX49:GLX50 GLX52:GLX91 GLX93:GLX101 GLX103:GLX106 GMY110:GMY113 GVT5:GVT25 GVT27:GVT29 GVT31:GVT47 GVT49:GVT50 GVT52:GVT91 GVT93:GVT101 GVT103:GVT106 GWU110:GWU113 HFP5:HFP25 HFP27:HFP29 HFP31:HFP47 HFP49:HFP50 HFP52:HFP91 HFP93:HFP101 HFP103:HFP106 HGQ110:HGQ113 HPL5:HPL25 HPL27:HPL29 HPL31:HPL47 HPL49:HPL50 HPL52:HPL91 HPL93:HPL101 HPL103:HPL106 HQM110:HQM113 HZH5:HZH25 HZH27:HZH29 HZH31:HZH47 HZH49:HZH50 HZH52:HZH91 HZH93:HZH101 HZH103:HZH106 IAI110:IAI113 IJD5:IJD25 IJD27:IJD29 IJD31:IJD47 IJD49:IJD50 IJD52:IJD91 IJD93:IJD101 IJD103:IJD106 IKE110:IKE113 ISZ5:ISZ25 ISZ27:ISZ29 ISZ31:ISZ47 ISZ49:ISZ50 ISZ52:ISZ91 ISZ93:ISZ101 ISZ103:ISZ106 IUA110:IUA113 JCV5:JCV25 JCV27:JCV29 JCV31:JCV47 JCV49:JCV50 JCV52:JCV91 JCV93:JCV101 JCV103:JCV106 JDW110:JDW113 JMR5:JMR25 JMR27:JMR29 JMR31:JMR47 JMR49:JMR50 JMR52:JMR91 JMR93:JMR101 JMR103:JMR106 JNS110:JNS113 JWN5:JWN25 JWN27:JWN29 JWN31:JWN47 JWN49:JWN50 JWN52:JWN91 JWN93:JWN101 JWN103:JWN106 JXO110:JXO113 KGJ5:KGJ25 KGJ27:KGJ29 KGJ31:KGJ47 KGJ49:KGJ50 KGJ52:KGJ91 KGJ93:KGJ101 KGJ103:KGJ106 KHK110:KHK113 KQF5:KQF25 KQF27:KQF29 KQF31:KQF47 KQF49:KQF50 KQF52:KQF91 KQF93:KQF101 KQF103:KQF106 KRG110:KRG113 LAB5:LAB25 LAB27:LAB29 LAB31:LAB47 LAB49:LAB50 LAB52:LAB91 LAB93:LAB101 LAB103:LAB106 LBC110:LBC113 LJX5:LJX25 LJX27:LJX29 LJX31:LJX47 LJX49:LJX50 LJX52:LJX91 LJX93:LJX101 LJX103:LJX106 LKY110:LKY113 LTT5:LTT25 LTT27:LTT29 LTT31:LTT47 LTT49:LTT50 LTT52:LTT91 LTT93:LTT101 LTT103:LTT106 LUU110:LUU113 MDP5:MDP25 MDP27:MDP29 MDP31:MDP47 MDP49:MDP50 MDP52:MDP91 MDP93:MDP101 MDP103:MDP106 MEQ110:MEQ113 MNL5:MNL25 MNL27:MNL29 MNL31:MNL47 MNL49:MNL50 MNL52:MNL91 MNL93:MNL101 MNL103:MNL106 MOM110:MOM113 MXH5:MXH25 MXH27:MXH29 MXH31:MXH47 MXH49:MXH50 MXH52:MXH91 MXH93:MXH101 MXH103:MXH106 MYI110:MYI113 NHD5:NHD25 NHD27:NHD29 NHD31:NHD47 NHD49:NHD50 NHD52:NHD91 NHD93:NHD101 NHD103:NHD106 NIE110:NIE113 NQZ5:NQZ25 NQZ27:NQZ29 NQZ31:NQZ47 NQZ49:NQZ50 NQZ52:NQZ91 NQZ93:NQZ101 NQZ103:NQZ106 NSA110:NSA113 OAV5:OAV25 OAV27:OAV29 OAV31:OAV47 OAV49:OAV50 OAV52:OAV91 OAV93:OAV101 OAV103:OAV106 OBW110:OBW113 OKR5:OKR25 OKR27:OKR29 OKR31:OKR47 OKR49:OKR50 OKR52:OKR91 OKR93:OKR101 OKR103:OKR106 OLS110:OLS113 OUN5:OUN25 OUN27:OUN29 OUN31:OUN47 OUN49:OUN50 OUN52:OUN91 OUN93:OUN101 OUN103:OUN106 OVO110:OVO113 PEJ5:PEJ25 PEJ27:PEJ29 PEJ31:PEJ47 PEJ49:PEJ50 PEJ52:PEJ91 PEJ93:PEJ101 PEJ103:PEJ106 PFK110:PFK113 POF5:POF25 POF27:POF29 POF31:POF47 POF49:POF50 POF52:POF91 POF93:POF101 POF103:POF106 PPG110:PPG113 PYB5:PYB25 PYB27:PYB29 PYB31:PYB47 PYB49:PYB50 PYB52:PYB91 PYB93:PYB101 PYB103:PYB106 PZC110:PZC113 QHX5:QHX25 QHX27:QHX29 QHX31:QHX47 QHX49:QHX50 QHX52:QHX91 QHX93:QHX101 QHX103:QHX106 QIY110:QIY113 QRT5:QRT25 QRT27:QRT29 QRT31:QRT47 QRT49:QRT50 QRT52:QRT91 QRT93:QRT101 QRT103:QRT106 QSU110:QSU113 RBP5:RBP25 RBP27:RBP29 RBP31:RBP47 RBP49:RBP50 RBP52:RBP91 RBP93:RBP101 RBP103:RBP106 RCQ110:RCQ113 RLL5:RLL25 RLL27:RLL29 RLL31:RLL47 RLL49:RLL50 RLL52:RLL91 RLL93:RLL101 RLL103:RLL106 RMM110:RMM113 RVH5:RVH25 RVH27:RVH29 RVH31:RVH47 RVH49:RVH50 RVH52:RVH91 RVH93:RVH101 RVH103:RVH106 RWI110:RWI113 SFD5:SFD25 SFD27:SFD29 SFD31:SFD47 SFD49:SFD50 SFD52:SFD91 SFD93:SFD101 SFD103:SFD106 SGE110:SGE113 SOZ5:SOZ25 SOZ27:SOZ29 SOZ31:SOZ47 SOZ49:SOZ50 SOZ52:SOZ91 SOZ93:SOZ101 SOZ103:SOZ106 SQA110:SQA113 SYV5:SYV25 SYV27:SYV29 SYV31:SYV47 SYV49:SYV50 SYV52:SYV91 SYV93:SYV101 SYV103:SYV106 SZW110:SZW113 TIR5:TIR25 TIR27:TIR29 TIR31:TIR47 TIR49:TIR50 TIR52:TIR91 TIR93:TIR101 TIR103:TIR106 TJS110:TJS113 TSN5:TSN25 TSN27:TSN29 TSN31:TSN47 TSN49:TSN50 TSN52:TSN91 TSN93:TSN101 TSN103:TSN106 TTO110:TTO113 UCJ5:UCJ25 UCJ27:UCJ29 UCJ31:UCJ47 UCJ49:UCJ50 UCJ52:UCJ91 UCJ93:UCJ101 UCJ103:UCJ106 UDK110:UDK113 UMF5:UMF25 UMF27:UMF29 UMF31:UMF47 UMF49:UMF50 UMF52:UMF91 UMF93:UMF101 UMF103:UMF106 UNG110:UNG113 UWB5:UWB25 UWB27:UWB29 UWB31:UWB47 UWB49:UWB50 UWB52:UWB91 UWB93:UWB101 UWB103:UWB106 UXC110:UXC113 VFX5:VFX25 VFX27:VFX29 VFX31:VFX47 VFX49:VFX50 VFX52:VFX91 VFX93:VFX101 VFX103:VFX106 VGY110:VGY113 VPT5:VPT25 VPT27:VPT29 VPT31:VPT47 VPT49:VPT50 VPT52:VPT91 VPT93:VPT101 VPT103:VPT106 VQU110:VQU113 VZP5:VZP25 VZP27:VZP29 VZP31:VZP47 VZP49:VZP50 VZP52:VZP91 VZP93:VZP101 VZP103:VZP106 WAQ110:WAQ113 WJL5:WJL25 WJL27:WJL29 WJL31:WJL47 WJL49:WJL50 WJL52:WJL91 WJL93:WJL101 WJL103:WJL106 WKM110:WKM113 WTH5:WTH25 WTH27:WTH29 WTH31:WTH47 WTH49:WTH50 WTH52:WTH91 WTH93:WTH101 WTH103:WTH106 WUI110:WUI113" showDropDown="0" showInputMessage="1" showErrorMessage="1" allowBlank="1" type="list">
      <formula1>#REF!</formula1>
      <formula2>0</formula2>
    </dataValidation>
  </dataValidations>
  <pageMargins left="0.7" right="0.7" top="0.75" bottom="0.75" header="0.511811023622047" footer="0.511811023622047"/>
  <pageSetup orientation="portrait" paperSize="9" fitToHeight="0" horizontalDpi="300" verticalDpi="300"/>
</worksheet>
</file>

<file path=xl/worksheets/sheet4.xml><?xml version="1.0" encoding="utf-8"?>
<worksheet xmlns="http://schemas.openxmlformats.org/spreadsheetml/2006/main">
  <sheetPr>
    <tabColor rgb="FFF6C6AD"/>
    <outlinePr summaryBelow="1" summaryRight="1"/>
    <pageSetUpPr fitToPage="1"/>
  </sheetPr>
  <dimension ref="A1:T797"/>
  <sheetViews>
    <sheetView zoomScale="70" zoomScaleNormal="70" workbookViewId="0">
      <pane ySplit="3" topLeftCell="A613" activePane="bottomLeft" state="frozen"/>
      <selection pane="bottomLeft" activeCell="E624" sqref="E624"/>
    </sheetView>
  </sheetViews>
  <sheetFormatPr baseColWidth="8" defaultColWidth="9.375" defaultRowHeight="15.75"/>
  <cols>
    <col width="27.875" customWidth="1" style="128" min="1" max="1"/>
    <col width="14.75" customWidth="1" style="129" min="2" max="3"/>
    <col width="14.75" customWidth="1" style="130" min="4" max="4"/>
    <col width="39.375" customWidth="1" style="128" min="5" max="5"/>
    <col width="18.75" customWidth="1" style="128" min="6" max="6"/>
    <col width="14.75" customWidth="1" style="128" min="7" max="8"/>
    <col width="14.75" customWidth="1" style="129" min="9" max="9"/>
    <col width="20.5" bestFit="1" customWidth="1" style="514" min="10" max="10"/>
    <col width="23.125" customWidth="1" style="129" min="11" max="11"/>
    <col width="35.375" customWidth="1" style="131" min="12" max="12"/>
    <col width="1" customWidth="1" style="128" min="13" max="13"/>
    <col width="29.375" customWidth="1" style="132" min="14" max="14"/>
    <col width="10.75" customWidth="1" style="132" min="15" max="16"/>
    <col width="1.25" customWidth="1" style="132" min="17" max="17"/>
    <col width="9.375" customWidth="1" style="132" min="18" max="18"/>
    <col width="9.375" customWidth="1" style="132" min="19" max="16384"/>
  </cols>
  <sheetData>
    <row r="1" ht="74.25" customHeight="1">
      <c r="A1" s="469" t="inlineStr">
        <is>
          <t>ON-SITE WORKFORCE-UPPER PLATEU- QIDDIYA CITY</t>
        </is>
      </c>
      <c r="B1" s="427" t="n"/>
      <c r="C1" s="427" t="n"/>
      <c r="D1" s="427" t="n"/>
      <c r="E1" s="427" t="n"/>
      <c r="F1" s="427" t="n"/>
      <c r="G1" s="427" t="n"/>
      <c r="H1" s="427" t="n"/>
      <c r="I1" s="427" t="n"/>
      <c r="J1" s="427" t="n"/>
      <c r="K1" s="427" t="n"/>
      <c r="L1" s="427" t="n"/>
      <c r="N1" s="454" t="inlineStr">
        <is>
          <t xml:space="preserve">PROJECT WORKFORCE SUMMARY </t>
        </is>
      </c>
      <c r="O1" s="455" t="n"/>
      <c r="P1" s="444" t="n"/>
      <c r="Q1" s="128" t="n"/>
      <c r="R1" s="128" t="n"/>
      <c r="S1" s="128" t="n"/>
      <c r="T1" s="128" t="n"/>
    </row>
    <row r="2" ht="0.75" customHeight="1">
      <c r="B2" s="128" t="n"/>
      <c r="C2" s="128" t="n"/>
      <c r="D2" s="128" t="n"/>
      <c r="I2" s="128" t="n"/>
      <c r="J2" s="515" t="n"/>
      <c r="K2" s="128" t="n"/>
      <c r="L2" s="128" t="n"/>
      <c r="N2" s="128" t="n"/>
      <c r="O2" s="128" t="n"/>
      <c r="P2" s="128" t="n"/>
      <c r="Q2" s="128" t="n"/>
      <c r="R2" s="128" t="n"/>
      <c r="S2" s="128" t="n"/>
      <c r="T2" s="128" t="n"/>
    </row>
    <row r="3" ht="26.25" customHeight="1">
      <c r="A3" s="133" t="inlineStr">
        <is>
          <t>Position</t>
        </is>
      </c>
      <c r="B3" s="9" t="inlineStr">
        <is>
          <t>Contractual Requirement</t>
        </is>
      </c>
      <c r="C3" s="9" t="inlineStr">
        <is>
          <t>On-Site Availability</t>
        </is>
      </c>
      <c r="D3" s="9" t="inlineStr">
        <is>
          <t>Vacant Position</t>
        </is>
      </c>
      <c r="E3" s="134" t="inlineStr">
        <is>
          <t>Emaployee Name</t>
        </is>
      </c>
      <c r="F3" s="11" t="inlineStr">
        <is>
          <t>Decipline</t>
        </is>
      </c>
      <c r="G3" s="12" t="inlineStr">
        <is>
          <t>ID</t>
        </is>
      </c>
      <c r="H3" s="11" t="inlineStr">
        <is>
          <t>Iqama</t>
        </is>
      </c>
      <c r="I3" s="12" t="inlineStr">
        <is>
          <t>Status</t>
        </is>
      </c>
      <c r="J3" s="494" t="inlineStr">
        <is>
          <t xml:space="preserve"> Deployement Date</t>
        </is>
      </c>
      <c r="K3" s="12" t="inlineStr">
        <is>
          <t>Sponsor</t>
        </is>
      </c>
      <c r="L3" s="12" t="inlineStr">
        <is>
          <t>Remarks/Notes</t>
        </is>
      </c>
      <c r="N3" s="425" t="inlineStr">
        <is>
          <t>Date</t>
        </is>
      </c>
      <c r="O3" s="495">
        <f>TODAY()</f>
        <v/>
      </c>
      <c r="P3" s="444" t="n"/>
      <c r="Q3" s="128" t="n"/>
      <c r="R3" s="128" t="n"/>
      <c r="S3" s="128" t="n"/>
      <c r="T3" s="128" t="n"/>
    </row>
    <row r="4" ht="15.75" customHeight="1">
      <c r="A4" s="441" t="inlineStr">
        <is>
          <t>Relationship Officer</t>
        </is>
      </c>
      <c r="B4" s="440" t="n">
        <v>1</v>
      </c>
      <c r="C4" s="449">
        <f>COUNTIF(E4,"&lt;&gt;")</f>
        <v/>
      </c>
      <c r="D4" s="463">
        <f>C4-B4</f>
        <v/>
      </c>
      <c r="E4" s="135" t="n"/>
      <c r="F4" s="136" t="inlineStr">
        <is>
          <t>Site Management</t>
        </is>
      </c>
      <c r="G4" s="460" t="inlineStr">
        <is>
          <t>-</t>
        </is>
      </c>
      <c r="H4" s="460" t="inlineStr">
        <is>
          <t>-</t>
        </is>
      </c>
      <c r="I4" s="425" t="inlineStr">
        <is>
          <t>Vacant</t>
        </is>
      </c>
      <c r="J4" s="499" t="n"/>
      <c r="K4" s="425" t="inlineStr">
        <is>
          <t>-</t>
        </is>
      </c>
      <c r="L4" s="425" t="inlineStr">
        <is>
          <t>-</t>
        </is>
      </c>
      <c r="N4" s="137" t="n"/>
      <c r="O4" s="497" t="n"/>
      <c r="P4" s="498" t="n"/>
      <c r="Q4" s="128" t="n"/>
      <c r="R4" s="128" t="n"/>
      <c r="S4" s="128" t="n"/>
      <c r="T4" s="128" t="n"/>
    </row>
    <row r="5" ht="15.75" customHeight="1">
      <c r="A5" s="470" t="inlineStr">
        <is>
          <t>Facility Manager</t>
        </is>
      </c>
      <c r="B5" s="442" t="n">
        <v>1</v>
      </c>
      <c r="C5" s="449">
        <f>COUNTIF(E5,"&lt;&gt;")</f>
        <v/>
      </c>
      <c r="D5" s="463">
        <f>C5-B5</f>
        <v/>
      </c>
      <c r="E5" s="460" t="inlineStr">
        <is>
          <t>Khaleel Shaik</t>
        </is>
      </c>
      <c r="F5" s="136" t="inlineStr">
        <is>
          <t>Site Management</t>
        </is>
      </c>
      <c r="G5" s="460" t="n">
        <v>702975</v>
      </c>
      <c r="H5" s="460" t="n">
        <v>2565258676</v>
      </c>
      <c r="I5" s="425" t="inlineStr">
        <is>
          <t>Approved</t>
        </is>
      </c>
      <c r="J5" s="496" t="n">
        <v>45985</v>
      </c>
      <c r="K5" s="425" t="inlineStr">
        <is>
          <t>FMCO</t>
        </is>
      </c>
      <c r="L5" s="425" t="inlineStr">
        <is>
          <t>-</t>
        </is>
      </c>
      <c r="N5" s="457" t="inlineStr">
        <is>
          <t>Approved</t>
        </is>
      </c>
      <c r="O5" s="457">
        <f>COUNTIF(I4:I519,"approved")</f>
        <v/>
      </c>
      <c r="P5" s="444" t="n"/>
      <c r="Q5" s="128" t="n"/>
      <c r="R5" s="128" t="n"/>
      <c r="S5" s="128" t="n"/>
      <c r="T5" s="128" t="n"/>
    </row>
    <row r="6" ht="15.75" customHeight="1">
      <c r="A6" s="470" t="inlineStr">
        <is>
          <t>Hard Service Manager</t>
        </is>
      </c>
      <c r="B6" s="442" t="n">
        <v>1</v>
      </c>
      <c r="C6" s="449">
        <f>COUNTIF(E6,"&lt;&gt;")</f>
        <v/>
      </c>
      <c r="D6" s="463">
        <f>C6-B6</f>
        <v/>
      </c>
      <c r="E6" s="460" t="inlineStr">
        <is>
          <t>Taimoor Ali</t>
        </is>
      </c>
      <c r="F6" s="138" t="inlineStr">
        <is>
          <t>Site Management</t>
        </is>
      </c>
      <c r="G6" s="139" t="inlineStr">
        <is>
          <t>-</t>
        </is>
      </c>
      <c r="H6" s="139" t="n">
        <v>2366128730</v>
      </c>
      <c r="I6" s="425" t="inlineStr">
        <is>
          <t>Approved</t>
        </is>
      </c>
      <c r="J6" s="496" t="n">
        <v>46208</v>
      </c>
      <c r="K6" s="425" t="inlineStr">
        <is>
          <t>AL-FALAK VISA</t>
        </is>
      </c>
      <c r="L6" s="425" t="inlineStr">
        <is>
          <t>-</t>
        </is>
      </c>
      <c r="N6" s="468" t="inlineStr">
        <is>
          <t>Rejected</t>
        </is>
      </c>
      <c r="O6" s="468">
        <f>COUNTIF(I4:I333,"Rejected")</f>
        <v/>
      </c>
      <c r="P6" s="444" t="n"/>
      <c r="Q6" s="128" t="n"/>
      <c r="R6" s="128" t="n"/>
      <c r="S6" s="128" t="n"/>
      <c r="T6" s="128" t="n"/>
    </row>
    <row r="7" ht="15.75" customHeight="1">
      <c r="A7" s="470" t="inlineStr">
        <is>
          <t>Soft Service Manager</t>
        </is>
      </c>
      <c r="B7" s="442" t="n">
        <v>1</v>
      </c>
      <c r="C7" s="449">
        <f>COUNTIF(E7,"&lt;&gt;")</f>
        <v/>
      </c>
      <c r="D7" s="463">
        <f>C7-B7</f>
        <v/>
      </c>
      <c r="E7" s="460" t="inlineStr">
        <is>
          <t>Mubeen Mushtaque</t>
        </is>
      </c>
      <c r="F7" s="138" t="inlineStr">
        <is>
          <t>Site Management</t>
        </is>
      </c>
      <c r="G7" s="140" t="inlineStr">
        <is>
          <t>C00447</t>
        </is>
      </c>
      <c r="H7" s="141" t="n">
        <v>2580444889</v>
      </c>
      <c r="I7" s="425" t="inlineStr">
        <is>
          <t>Approved</t>
        </is>
      </c>
      <c r="J7" s="496" t="n">
        <v>45907</v>
      </c>
      <c r="K7" s="142" t="inlineStr">
        <is>
          <t>MEHAN VISA</t>
        </is>
      </c>
      <c r="L7" s="425" t="inlineStr">
        <is>
          <t>-</t>
        </is>
      </c>
      <c r="N7" s="467" t="inlineStr">
        <is>
          <t xml:space="preserve">Vacant Positions </t>
        </is>
      </c>
      <c r="O7" s="467">
        <f>COUNTIF(I4:I156,"Vacant")+COUNTIF(I161:I519,"Vacant")</f>
        <v/>
      </c>
      <c r="P7" s="444" t="n"/>
      <c r="Q7" s="128" t="n"/>
      <c r="R7" s="128" t="n"/>
      <c r="S7" s="128" t="n"/>
      <c r="T7" s="128" t="n"/>
    </row>
    <row r="8" ht="15.75" customHeight="1">
      <c r="A8" s="440" t="inlineStr">
        <is>
          <t>Office/HR Manager</t>
        </is>
      </c>
      <c r="B8" s="440" t="n">
        <v>1</v>
      </c>
      <c r="C8" s="440">
        <f>COUNTIF(E8,"&lt;&gt;")</f>
        <v/>
      </c>
      <c r="D8" s="450">
        <f>C8-B8</f>
        <v/>
      </c>
      <c r="E8" s="135" t="n"/>
      <c r="F8" s="136" t="inlineStr">
        <is>
          <t>Site Management</t>
        </is>
      </c>
      <c r="G8" s="425" t="inlineStr">
        <is>
          <t>-</t>
        </is>
      </c>
      <c r="H8" s="29" t="inlineStr">
        <is>
          <t>-</t>
        </is>
      </c>
      <c r="I8" s="425" t="inlineStr">
        <is>
          <t>Vacant</t>
        </is>
      </c>
      <c r="J8" s="499" t="n"/>
      <c r="K8" s="425" t="inlineStr">
        <is>
          <t>-</t>
        </is>
      </c>
      <c r="L8" s="425" t="inlineStr">
        <is>
          <t>-</t>
        </is>
      </c>
      <c r="N8" s="457" t="inlineStr">
        <is>
          <t>Total Workforce on Site</t>
        </is>
      </c>
      <c r="O8" s="457">
        <f>COUNTIF(E4:E30,"&lt;&gt;")+COUNTIF(E35:E156,"&lt;&gt;")+COUNTIF(E161:E397,"&lt;&gt;")+COUNTIF(E402:E410,"&lt;&gt;")+COUNTIF(E415:E424,"&lt;&gt;")+COUNTIF(E429:E513,"&lt;&gt;")+COUNTIF(E518:E519,"&lt;&gt;")</f>
        <v/>
      </c>
      <c r="P8" s="444" t="n"/>
      <c r="Q8" s="128" t="n"/>
      <c r="R8" s="128" t="n"/>
      <c r="S8" s="128" t="n"/>
      <c r="T8" s="128" t="n"/>
    </row>
    <row r="9" ht="15.75" customHeight="1">
      <c r="A9" s="440" t="inlineStr">
        <is>
          <t>Hard Service Coordinator</t>
        </is>
      </c>
      <c r="B9" s="440" t="n">
        <v>1</v>
      </c>
      <c r="C9" s="440">
        <f>COUNTIF(E9,"&lt;&gt;")</f>
        <v/>
      </c>
      <c r="D9" s="450">
        <f>C9-B9</f>
        <v/>
      </c>
      <c r="E9" s="135" t="n"/>
      <c r="F9" s="136" t="inlineStr">
        <is>
          <t>Site Management</t>
        </is>
      </c>
      <c r="G9" s="425" t="inlineStr">
        <is>
          <t>-</t>
        </is>
      </c>
      <c r="H9" s="29" t="inlineStr">
        <is>
          <t>-</t>
        </is>
      </c>
      <c r="I9" s="425" t="inlineStr">
        <is>
          <t>Vacant</t>
        </is>
      </c>
      <c r="J9" s="499" t="n"/>
      <c r="K9" s="425" t="inlineStr">
        <is>
          <t>-</t>
        </is>
      </c>
      <c r="L9" s="425" t="inlineStr">
        <is>
          <t>-</t>
        </is>
      </c>
      <c r="N9" s="128" t="n"/>
      <c r="O9" s="128" t="n"/>
      <c r="P9" s="128" t="n"/>
      <c r="Q9" s="128" t="n"/>
      <c r="R9" s="128" t="n"/>
      <c r="S9" s="128" t="n"/>
      <c r="T9" s="128" t="n"/>
    </row>
    <row r="10" ht="15.75" customHeight="1">
      <c r="A10" s="470" t="inlineStr">
        <is>
          <t>Soft Service Coordinator</t>
        </is>
      </c>
      <c r="B10" s="442" t="n">
        <v>1</v>
      </c>
      <c r="C10" s="449">
        <f>COUNTIF(E10,"&lt;&gt;")</f>
        <v/>
      </c>
      <c r="D10" s="463">
        <f>C10-B10</f>
        <v/>
      </c>
      <c r="E10" s="460" t="inlineStr">
        <is>
          <t>Mohamed Ashfak</t>
        </is>
      </c>
      <c r="F10" s="136" t="inlineStr">
        <is>
          <t>Site Management</t>
        </is>
      </c>
      <c r="G10" s="460" t="n">
        <v>703486</v>
      </c>
      <c r="H10" s="460" t="n">
        <v>2584952150</v>
      </c>
      <c r="I10" s="425" t="inlineStr">
        <is>
          <t>Approved</t>
        </is>
      </c>
      <c r="J10" s="496" t="n">
        <v>45586</v>
      </c>
      <c r="K10" s="425" t="inlineStr">
        <is>
          <t>FMCO</t>
        </is>
      </c>
      <c r="L10" s="425" t="inlineStr">
        <is>
          <t>-</t>
        </is>
      </c>
      <c r="N10" s="443" t="inlineStr">
        <is>
          <t>Back-End/Additional Staff</t>
        </is>
      </c>
      <c r="O10" s="443">
        <f>COUNTIF(E524:E633,"&lt;&gt;")</f>
        <v/>
      </c>
      <c r="P10" s="444" t="n"/>
      <c r="Q10" s="128" t="n"/>
      <c r="R10" s="128" t="n"/>
      <c r="S10" s="128" t="n"/>
      <c r="T10" s="128" t="n"/>
    </row>
    <row r="11" ht="15.75" customHeight="1">
      <c r="A11" s="470" t="inlineStr">
        <is>
          <t>Project Admin</t>
        </is>
      </c>
      <c r="B11" s="442" t="n">
        <v>2</v>
      </c>
      <c r="C11" s="449">
        <f>COUNTIF(E11:E12,"&lt;&gt;")</f>
        <v/>
      </c>
      <c r="D11" s="432">
        <f>C11-B11</f>
        <v/>
      </c>
      <c r="E11" s="460" t="inlineStr">
        <is>
          <t>Bushra Rasheed</t>
        </is>
      </c>
      <c r="F11" s="136" t="inlineStr">
        <is>
          <t>Site Management</t>
        </is>
      </c>
      <c r="G11" s="460" t="n">
        <v>218963</v>
      </c>
      <c r="H11" s="460" t="n">
        <v>2567533977</v>
      </c>
      <c r="I11" s="425" t="inlineStr">
        <is>
          <t>Approved</t>
        </is>
      </c>
      <c r="J11" s="496" t="n">
        <v>45965</v>
      </c>
      <c r="K11" s="425" t="inlineStr">
        <is>
          <t>MASSADAR VISA</t>
        </is>
      </c>
      <c r="L11" s="425" t="inlineStr">
        <is>
          <t>-</t>
        </is>
      </c>
      <c r="N11" s="128" t="n"/>
      <c r="O11" s="128" t="n"/>
      <c r="P11" s="128" t="n"/>
      <c r="Q11" s="128" t="n"/>
      <c r="R11" s="128" t="n"/>
      <c r="S11" s="128" t="n"/>
      <c r="T11" s="128" t="n"/>
    </row>
    <row r="12" ht="15.75" customHeight="1">
      <c r="A12" s="431" t="n"/>
      <c r="B12" s="431" t="n"/>
      <c r="C12" s="431" t="n"/>
      <c r="D12" s="431" t="n"/>
      <c r="E12" s="460" t="inlineStr">
        <is>
          <t>NETHAJI ANANDA KRISHNAN L</t>
        </is>
      </c>
      <c r="F12" s="136" t="inlineStr">
        <is>
          <t>Site Management</t>
        </is>
      </c>
      <c r="G12" s="460" t="inlineStr">
        <is>
          <t>-</t>
        </is>
      </c>
      <c r="H12" s="460" t="inlineStr">
        <is>
          <t>-</t>
        </is>
      </c>
      <c r="I12" s="425" t="inlineStr">
        <is>
          <t>Approved</t>
        </is>
      </c>
      <c r="J12" s="496" t="n">
        <v>46234</v>
      </c>
      <c r="K12" s="425" t="inlineStr">
        <is>
          <t>MEHAN VISA</t>
        </is>
      </c>
      <c r="L12" s="425" t="inlineStr">
        <is>
          <t>-</t>
        </is>
      </c>
      <c r="N12" s="128" t="n"/>
      <c r="O12" s="128" t="n"/>
      <c r="P12" s="128" t="n"/>
      <c r="Q12" s="128" t="n"/>
      <c r="R12" s="128" t="n"/>
      <c r="S12" s="128" t="n"/>
      <c r="T12" s="128" t="n"/>
    </row>
    <row r="13" ht="15.75" customHeight="1">
      <c r="A13" s="470" t="inlineStr">
        <is>
          <t>IMAM for Mosque</t>
        </is>
      </c>
      <c r="B13" s="442" t="n">
        <v>2</v>
      </c>
      <c r="C13" s="449">
        <f>COUNTIF(E13:E14,"&lt;&gt;")</f>
        <v/>
      </c>
      <c r="D13" s="432">
        <f>C13-B13</f>
        <v/>
      </c>
      <c r="E13" s="460" t="inlineStr">
        <is>
          <t>Abdul Aziz Khan</t>
        </is>
      </c>
      <c r="F13" s="136" t="inlineStr">
        <is>
          <t>Site Management</t>
        </is>
      </c>
      <c r="G13" s="460" t="n">
        <v>703730</v>
      </c>
      <c r="H13" s="460" t="n">
        <v>2591241886</v>
      </c>
      <c r="I13" s="425" t="inlineStr">
        <is>
          <t>Approved</t>
        </is>
      </c>
      <c r="J13" s="496" t="n">
        <v>45679</v>
      </c>
      <c r="K13" s="425" t="inlineStr">
        <is>
          <t>FMCO</t>
        </is>
      </c>
      <c r="L13" s="425" t="inlineStr">
        <is>
          <t>-</t>
        </is>
      </c>
      <c r="N13" s="128" t="n"/>
      <c r="O13" s="128" t="n"/>
      <c r="P13" s="128" t="n"/>
      <c r="Q13" s="128" t="n"/>
      <c r="R13" s="128" t="n"/>
      <c r="S13" s="128" t="n"/>
      <c r="T13" s="128" t="n"/>
    </row>
    <row r="14" ht="15.75" customHeight="1">
      <c r="A14" s="431" t="n"/>
      <c r="B14" s="431" t="n"/>
      <c r="C14" s="431" t="n"/>
      <c r="D14" s="431" t="n"/>
      <c r="E14" s="460" t="inlineStr">
        <is>
          <t>Mubarak Fahhad Alqahtani</t>
        </is>
      </c>
      <c r="F14" s="136" t="inlineStr">
        <is>
          <t>Site Management</t>
        </is>
      </c>
      <c r="G14" s="460" t="inlineStr">
        <is>
          <t>-</t>
        </is>
      </c>
      <c r="H14" s="460" t="n">
        <v>1024069872</v>
      </c>
      <c r="I14" s="425" t="inlineStr">
        <is>
          <t>Approved</t>
        </is>
      </c>
      <c r="J14" s="496" t="n">
        <v>46191</v>
      </c>
      <c r="K14" s="425" t="inlineStr">
        <is>
          <t>FMCO</t>
        </is>
      </c>
      <c r="L14" s="425" t="inlineStr">
        <is>
          <t>-</t>
        </is>
      </c>
      <c r="N14" s="128" t="n"/>
      <c r="O14" s="128" t="n"/>
      <c r="P14" s="128" t="n"/>
      <c r="Q14" s="128" t="n"/>
      <c r="R14" s="128" t="n"/>
      <c r="S14" s="128" t="n"/>
      <c r="T14" s="128" t="n"/>
    </row>
    <row r="15" ht="15.75" customHeight="1">
      <c r="A15" s="470" t="inlineStr">
        <is>
          <t>Warehouse In-Charge</t>
        </is>
      </c>
      <c r="B15" s="442" t="n">
        <v>1</v>
      </c>
      <c r="C15" s="449">
        <f>COUNTIF(E15,"&lt;&gt;")</f>
        <v/>
      </c>
      <c r="D15" s="463">
        <f>C15-B15</f>
        <v/>
      </c>
      <c r="E15" s="460" t="inlineStr">
        <is>
          <t xml:space="preserve">Shabir Tantray </t>
        </is>
      </c>
      <c r="F15" s="138" t="inlineStr">
        <is>
          <t>Site Management</t>
        </is>
      </c>
      <c r="G15" s="143" t="inlineStr">
        <is>
          <t>C01657</t>
        </is>
      </c>
      <c r="H15" s="144" t="n">
        <v>2631874472</v>
      </c>
      <c r="I15" s="425" t="inlineStr">
        <is>
          <t>Approved</t>
        </is>
      </c>
      <c r="J15" s="145" t="n"/>
      <c r="K15" s="146" t="inlineStr">
        <is>
          <t>MEHAN VISA</t>
        </is>
      </c>
      <c r="L15" s="425" t="inlineStr">
        <is>
          <t>-</t>
        </is>
      </c>
      <c r="N15" s="128" t="n"/>
      <c r="O15" s="128" t="n"/>
      <c r="P15" s="128" t="n"/>
      <c r="Q15" s="128" t="n"/>
      <c r="R15" s="128" t="n"/>
      <c r="S15" s="128" t="n"/>
      <c r="T15" s="128" t="n"/>
    </row>
    <row r="16" ht="15.75" customHeight="1">
      <c r="A16" s="470" t="inlineStr">
        <is>
          <t>CAFM/Helpdesk Operator</t>
        </is>
      </c>
      <c r="B16" s="442" t="n">
        <v>3</v>
      </c>
      <c r="C16" s="449">
        <f>COUNTIF(E16:E18,"&lt;&gt;")</f>
        <v/>
      </c>
      <c r="D16" s="432">
        <f>C16-B16</f>
        <v/>
      </c>
      <c r="E16" s="460" t="inlineStr">
        <is>
          <t>Mohammed Ayub Khan</t>
        </is>
      </c>
      <c r="F16" s="138" t="inlineStr">
        <is>
          <t>Site Management</t>
        </is>
      </c>
      <c r="G16" s="139" t="n">
        <v>700645</v>
      </c>
      <c r="H16" s="139" t="n">
        <v>2516601008</v>
      </c>
      <c r="I16" s="425" t="inlineStr">
        <is>
          <t>Approved</t>
        </is>
      </c>
      <c r="J16" s="147" t="n"/>
      <c r="K16" s="139" t="inlineStr">
        <is>
          <t>FMCO VISA</t>
        </is>
      </c>
      <c r="L16" s="425" t="inlineStr">
        <is>
          <t>-</t>
        </is>
      </c>
      <c r="N16" s="128" t="n"/>
      <c r="O16" s="128" t="n"/>
      <c r="P16" s="128" t="n"/>
      <c r="Q16" s="128" t="n"/>
      <c r="R16" s="128" t="n"/>
      <c r="S16" s="128" t="n"/>
      <c r="T16" s="128" t="n"/>
    </row>
    <row r="17" ht="15.75" customHeight="1">
      <c r="A17" s="429" t="n"/>
      <c r="B17" s="429" t="n"/>
      <c r="C17" s="429" t="n"/>
      <c r="D17" s="429" t="n"/>
      <c r="E17" s="460" t="inlineStr">
        <is>
          <t>Irshad Ahmed</t>
        </is>
      </c>
      <c r="F17" s="138" t="inlineStr">
        <is>
          <t>Site Management</t>
        </is>
      </c>
      <c r="G17" s="139" t="inlineStr">
        <is>
          <t>EM-0002731</t>
        </is>
      </c>
      <c r="H17" s="139" t="n">
        <v>2586130300</v>
      </c>
      <c r="I17" s="425" t="inlineStr">
        <is>
          <t>Approved</t>
        </is>
      </c>
      <c r="J17" s="147" t="n"/>
      <c r="K17" s="139" t="inlineStr">
        <is>
          <t>AL-FALAK VISA</t>
        </is>
      </c>
      <c r="L17" s="425" t="inlineStr">
        <is>
          <t>-</t>
        </is>
      </c>
      <c r="N17" s="128" t="n"/>
      <c r="O17" s="128" t="n"/>
      <c r="P17" s="128" t="n"/>
      <c r="Q17" s="128" t="n"/>
      <c r="R17" s="128" t="n"/>
      <c r="S17" s="128" t="n"/>
      <c r="T17" s="128" t="n"/>
    </row>
    <row r="18" ht="15.75" customHeight="1">
      <c r="A18" s="431" t="n"/>
      <c r="B18" s="431" t="n"/>
      <c r="C18" s="431" t="n"/>
      <c r="D18" s="431" t="n"/>
      <c r="E18" s="474" t="inlineStr">
        <is>
          <t>Abdul Khalid Shaikh</t>
        </is>
      </c>
      <c r="F18" s="138" t="inlineStr">
        <is>
          <t>Site Management</t>
        </is>
      </c>
      <c r="G18" s="206" t="n">
        <v>703085</v>
      </c>
      <c r="H18" s="417" t="n">
        <v>2569953538</v>
      </c>
      <c r="I18" s="425" t="inlineStr">
        <is>
          <t>Approved</t>
        </is>
      </c>
      <c r="J18" s="516" t="n"/>
      <c r="K18" s="175" t="inlineStr">
        <is>
          <t>FMCO</t>
        </is>
      </c>
      <c r="L18" s="425" t="inlineStr">
        <is>
          <t>-</t>
        </is>
      </c>
      <c r="N18" s="128" t="n"/>
      <c r="O18" s="128" t="n"/>
      <c r="P18" s="128" t="n"/>
      <c r="Q18" s="128" t="n"/>
      <c r="R18" s="128" t="n"/>
      <c r="S18" s="128" t="n"/>
      <c r="T18" s="128" t="n"/>
    </row>
    <row r="19" ht="15.75" customHeight="1">
      <c r="A19" s="470" t="inlineStr">
        <is>
          <t>Accomodation In-Charge</t>
        </is>
      </c>
      <c r="B19" s="442" t="n">
        <v>1</v>
      </c>
      <c r="C19" s="449">
        <f>COUNTIF(E19,"&lt;&gt;")</f>
        <v/>
      </c>
      <c r="D19" s="463">
        <f>C19-B19</f>
        <v/>
      </c>
      <c r="E19" s="460" t="inlineStr">
        <is>
          <t>Roshan Ramesh Patel</t>
        </is>
      </c>
      <c r="F19" s="136" t="inlineStr">
        <is>
          <t>Site Management</t>
        </is>
      </c>
      <c r="G19" s="460" t="n">
        <v>704075</v>
      </c>
      <c r="H19" s="460" t="n">
        <v>2509087173</v>
      </c>
      <c r="I19" s="425" t="inlineStr">
        <is>
          <t>Approved</t>
        </is>
      </c>
      <c r="J19" s="496" t="n">
        <v>46014</v>
      </c>
      <c r="K19" s="425" t="inlineStr">
        <is>
          <t>FMCO</t>
        </is>
      </c>
      <c r="L19" s="425" t="inlineStr">
        <is>
          <t>-</t>
        </is>
      </c>
      <c r="N19" s="128" t="n"/>
      <c r="O19" s="128" t="n"/>
      <c r="P19" s="128" t="n"/>
      <c r="Q19" s="128" t="n"/>
      <c r="R19" s="128" t="n"/>
      <c r="S19" s="128" t="n"/>
      <c r="T19" s="128" t="n"/>
    </row>
    <row r="20" ht="15.75" customHeight="1">
      <c r="A20" s="470" t="inlineStr">
        <is>
          <t>I'D Issuing In-Charge</t>
        </is>
      </c>
      <c r="B20" s="442" t="n">
        <v>2</v>
      </c>
      <c r="C20" s="449">
        <f>COUNTIF(E20:E21,"&lt;&gt;")</f>
        <v/>
      </c>
      <c r="D20" s="432">
        <f>C20-B20</f>
        <v/>
      </c>
      <c r="E20" s="135" t="n"/>
      <c r="F20" s="136" t="inlineStr">
        <is>
          <t>Site Management</t>
        </is>
      </c>
      <c r="G20" s="460" t="inlineStr">
        <is>
          <t>-</t>
        </is>
      </c>
      <c r="H20" s="460" t="inlineStr">
        <is>
          <t>-</t>
        </is>
      </c>
      <c r="I20" s="425" t="inlineStr">
        <is>
          <t>Vacant</t>
        </is>
      </c>
      <c r="J20" s="499" t="n"/>
      <c r="K20" s="425" t="inlineStr">
        <is>
          <t>-</t>
        </is>
      </c>
      <c r="L20" s="425" t="inlineStr">
        <is>
          <t>-</t>
        </is>
      </c>
      <c r="N20" s="128" t="n"/>
      <c r="O20" s="128" t="n"/>
      <c r="P20" s="128" t="n"/>
      <c r="Q20" s="128" t="n"/>
      <c r="R20" s="128" t="n"/>
      <c r="S20" s="128" t="n"/>
      <c r="T20" s="128" t="n"/>
    </row>
    <row r="21" ht="15.75" customHeight="1">
      <c r="A21" s="431" t="n"/>
      <c r="B21" s="431" t="n"/>
      <c r="C21" s="431" t="n"/>
      <c r="D21" s="431" t="n"/>
      <c r="E21" s="135" t="n"/>
      <c r="F21" s="136" t="inlineStr">
        <is>
          <t>Site Management</t>
        </is>
      </c>
      <c r="G21" s="460" t="inlineStr">
        <is>
          <t>-</t>
        </is>
      </c>
      <c r="H21" s="460" t="inlineStr">
        <is>
          <t>-</t>
        </is>
      </c>
      <c r="I21" s="425" t="inlineStr">
        <is>
          <t>Vacant</t>
        </is>
      </c>
      <c r="J21" s="499" t="n"/>
      <c r="K21" s="425" t="inlineStr">
        <is>
          <t>-</t>
        </is>
      </c>
      <c r="L21" s="425" t="inlineStr">
        <is>
          <t>-</t>
        </is>
      </c>
      <c r="N21" s="128" t="n"/>
      <c r="O21" s="128" t="n"/>
      <c r="P21" s="128" t="n"/>
      <c r="Q21" s="128" t="n"/>
      <c r="R21" s="128" t="n"/>
      <c r="S21" s="128" t="n"/>
      <c r="T21" s="128" t="n"/>
    </row>
    <row r="22" ht="15.75" customHeight="1">
      <c r="A22" s="470" t="inlineStr">
        <is>
          <t>Accomodation Admin</t>
        </is>
      </c>
      <c r="B22" s="442" t="n">
        <v>4</v>
      </c>
      <c r="C22" s="449">
        <f>COUNTIF(E22:E25,"&lt;&gt;")</f>
        <v/>
      </c>
      <c r="D22" s="432">
        <f>C22-B22</f>
        <v/>
      </c>
      <c r="E22" s="460" t="inlineStr">
        <is>
          <t>Furqan Aslam</t>
        </is>
      </c>
      <c r="F22" s="136" t="inlineStr">
        <is>
          <t>Site Management</t>
        </is>
      </c>
      <c r="G22" s="460" t="inlineStr">
        <is>
          <t>C00417</t>
        </is>
      </c>
      <c r="H22" s="460" t="n">
        <v>2580444285</v>
      </c>
      <c r="I22" s="425" t="inlineStr">
        <is>
          <t>Approved</t>
        </is>
      </c>
      <c r="J22" s="496" t="n">
        <v>45586</v>
      </c>
      <c r="K22" s="425" t="inlineStr">
        <is>
          <t>MEHAN VISA</t>
        </is>
      </c>
      <c r="L22" s="425" t="inlineStr">
        <is>
          <t>-</t>
        </is>
      </c>
      <c r="N22" s="128" t="n"/>
      <c r="O22" s="128" t="n"/>
      <c r="P22" s="128" t="n"/>
      <c r="Q22" s="128" t="n"/>
      <c r="R22" s="128" t="n"/>
      <c r="S22" s="128" t="n"/>
      <c r="T22" s="128" t="n"/>
    </row>
    <row r="23" ht="15.75" customHeight="1">
      <c r="A23" s="429" t="n"/>
      <c r="B23" s="429" t="n"/>
      <c r="C23" s="429" t="n"/>
      <c r="D23" s="429" t="n"/>
      <c r="E23" s="460" t="inlineStr">
        <is>
          <t>Mohammed Salim Chhimpa</t>
        </is>
      </c>
      <c r="F23" s="136" t="inlineStr">
        <is>
          <t>Site Management</t>
        </is>
      </c>
      <c r="G23" s="460" t="inlineStr">
        <is>
          <t>C00284</t>
        </is>
      </c>
      <c r="H23" s="460" t="n">
        <v>2580193957</v>
      </c>
      <c r="I23" s="425" t="inlineStr">
        <is>
          <t>Approved</t>
        </is>
      </c>
      <c r="J23" s="496" t="n">
        <v>45882</v>
      </c>
      <c r="K23" s="425" t="inlineStr">
        <is>
          <t>MEHAN VISA</t>
        </is>
      </c>
      <c r="L23" s="425" t="inlineStr">
        <is>
          <t>-</t>
        </is>
      </c>
      <c r="N23" s="128" t="n"/>
      <c r="O23" s="128" t="n"/>
      <c r="P23" s="128" t="n"/>
      <c r="Q23" s="128" t="n"/>
      <c r="R23" s="128" t="n"/>
      <c r="S23" s="128" t="n"/>
      <c r="T23" s="128" t="n"/>
    </row>
    <row r="24" ht="15.75" customHeight="1">
      <c r="A24" s="429" t="n"/>
      <c r="B24" s="429" t="n"/>
      <c r="C24" s="429" t="n"/>
      <c r="D24" s="429" t="n"/>
      <c r="E24" s="460" t="inlineStr">
        <is>
          <t>NASIR KHAN MURAD KHAN</t>
        </is>
      </c>
      <c r="F24" s="136" t="inlineStr">
        <is>
          <t>ACCOMODATION</t>
        </is>
      </c>
      <c r="G24" s="460" t="n">
        <v>704429</v>
      </c>
      <c r="H24" s="460" t="n">
        <v>2620316949</v>
      </c>
      <c r="I24" s="425" t="inlineStr">
        <is>
          <t>Approved</t>
        </is>
      </c>
      <c r="J24" s="496" t="n">
        <v>46239</v>
      </c>
      <c r="K24" s="425" t="inlineStr">
        <is>
          <t>FMCO</t>
        </is>
      </c>
      <c r="L24" s="425" t="inlineStr">
        <is>
          <t>-</t>
        </is>
      </c>
      <c r="N24" s="128" t="n"/>
      <c r="O24" s="128" t="n"/>
      <c r="P24" s="128" t="n"/>
      <c r="Q24" s="128" t="n"/>
      <c r="R24" s="128" t="n"/>
      <c r="S24" s="128" t="n"/>
      <c r="T24" s="128" t="n"/>
    </row>
    <row r="25" ht="15.75" customHeight="1">
      <c r="A25" s="431" t="n"/>
      <c r="B25" s="431" t="n"/>
      <c r="C25" s="431" t="n"/>
      <c r="D25" s="431" t="n"/>
      <c r="E25" s="460" t="inlineStr">
        <is>
          <t>Abdullah Shah</t>
        </is>
      </c>
      <c r="F25" s="136" t="inlineStr">
        <is>
          <t>Site Management</t>
        </is>
      </c>
      <c r="G25" s="460" t="n">
        <v>700567</v>
      </c>
      <c r="H25" s="460" t="n">
        <v>2234756175</v>
      </c>
      <c r="I25" s="425" t="inlineStr">
        <is>
          <t>Approved</t>
        </is>
      </c>
      <c r="J25" s="496" t="n">
        <v>46119</v>
      </c>
      <c r="K25" s="425" t="inlineStr">
        <is>
          <t>FMCO</t>
        </is>
      </c>
      <c r="L25" s="425" t="inlineStr">
        <is>
          <t>-</t>
        </is>
      </c>
      <c r="N25" s="128" t="n"/>
      <c r="O25" s="128" t="n"/>
      <c r="P25" s="128" t="n"/>
      <c r="Q25" s="128" t="n"/>
      <c r="R25" s="128" t="n"/>
      <c r="S25" s="128" t="n"/>
      <c r="T25" s="128" t="n"/>
    </row>
    <row r="26" ht="15.75" customHeight="1">
      <c r="A26" s="470" t="inlineStr">
        <is>
          <t>Key Custodian</t>
        </is>
      </c>
      <c r="B26" s="442" t="n">
        <v>2</v>
      </c>
      <c r="C26" s="449">
        <f>COUNTIF(E26:E27,"&lt;&gt;")</f>
        <v/>
      </c>
      <c r="D26" s="432">
        <f>C26-B26</f>
        <v/>
      </c>
      <c r="E26" s="460" t="inlineStr">
        <is>
          <t>Shahil Siddiqui</t>
        </is>
      </c>
      <c r="F26" s="136" t="inlineStr">
        <is>
          <t>Site Management</t>
        </is>
      </c>
      <c r="G26" s="460" t="inlineStr">
        <is>
          <t>EM-0001926</t>
        </is>
      </c>
      <c r="H26" s="460" t="n">
        <v>2583854811</v>
      </c>
      <c r="I26" s="425" t="inlineStr">
        <is>
          <t>Approved</t>
        </is>
      </c>
      <c r="J26" s="496" t="n">
        <v>45586</v>
      </c>
      <c r="K26" s="425" t="inlineStr">
        <is>
          <t>AL-FALAK VISA</t>
        </is>
      </c>
      <c r="L26" s="425" t="inlineStr">
        <is>
          <t>-</t>
        </is>
      </c>
      <c r="N26" s="128" t="n"/>
      <c r="O26" s="128" t="n"/>
      <c r="P26" s="128" t="n"/>
      <c r="Q26" s="128" t="n"/>
      <c r="R26" s="128" t="n"/>
      <c r="S26" s="128" t="n"/>
      <c r="T26" s="128" t="n"/>
    </row>
    <row r="27" ht="15.75" customHeight="1">
      <c r="A27" s="431" t="n"/>
      <c r="B27" s="431" t="n"/>
      <c r="C27" s="431" t="n"/>
      <c r="D27" s="431" t="n"/>
      <c r="E27" s="135" t="n"/>
      <c r="F27" s="136" t="inlineStr">
        <is>
          <t>Site Management</t>
        </is>
      </c>
      <c r="G27" s="460" t="inlineStr">
        <is>
          <t>-</t>
        </is>
      </c>
      <c r="H27" s="460" t="inlineStr">
        <is>
          <t>-</t>
        </is>
      </c>
      <c r="I27" s="425" t="inlineStr">
        <is>
          <t>Vacant</t>
        </is>
      </c>
      <c r="J27" s="499" t="n"/>
      <c r="K27" s="425" t="inlineStr">
        <is>
          <t>-</t>
        </is>
      </c>
      <c r="L27" s="425" t="inlineStr">
        <is>
          <t>-</t>
        </is>
      </c>
      <c r="N27" s="128" t="n"/>
      <c r="O27" s="128" t="n"/>
      <c r="P27" s="128" t="n"/>
      <c r="Q27" s="128" t="n"/>
      <c r="R27" s="128" t="n"/>
      <c r="S27" s="128" t="n"/>
      <c r="T27" s="128" t="n"/>
    </row>
    <row r="28" ht="15.75" customHeight="1">
      <c r="A28" s="470" t="inlineStr">
        <is>
          <t>Document Controller</t>
        </is>
      </c>
      <c r="B28" s="442" t="n">
        <v>2</v>
      </c>
      <c r="C28" s="449">
        <f>COUNTIF(E28:E29,"&lt;&gt;")</f>
        <v/>
      </c>
      <c r="D28" s="432">
        <f>C28-B28</f>
        <v/>
      </c>
      <c r="E28" s="460" t="inlineStr">
        <is>
          <t>Mohammad Shahnawaz Khan</t>
        </is>
      </c>
      <c r="F28" s="136" t="inlineStr">
        <is>
          <t>Site Management</t>
        </is>
      </c>
      <c r="G28" s="460" t="inlineStr">
        <is>
          <t>EM-0002457</t>
        </is>
      </c>
      <c r="H28" s="460" t="n">
        <v>2582814584</v>
      </c>
      <c r="I28" s="425" t="inlineStr">
        <is>
          <t>Approved</t>
        </is>
      </c>
      <c r="J28" s="496" t="n">
        <v>45599</v>
      </c>
      <c r="K28" s="425" t="inlineStr">
        <is>
          <t>AL-FALAK VISA</t>
        </is>
      </c>
      <c r="L28" s="425" t="inlineStr">
        <is>
          <t>-</t>
        </is>
      </c>
      <c r="N28" s="128" t="n"/>
      <c r="O28" s="128" t="n"/>
      <c r="P28" s="128" t="n"/>
      <c r="Q28" s="128" t="n"/>
      <c r="R28" s="128" t="n"/>
      <c r="S28" s="128" t="n"/>
      <c r="T28" s="128" t="n"/>
    </row>
    <row r="29" ht="15.75" customHeight="1">
      <c r="A29" s="431" t="n"/>
      <c r="B29" s="431" t="n"/>
      <c r="C29" s="431" t="n"/>
      <c r="D29" s="431" t="n"/>
      <c r="E29" s="460" t="inlineStr">
        <is>
          <t>MD Kausar khan</t>
        </is>
      </c>
      <c r="F29" s="138" t="inlineStr">
        <is>
          <t>Site Management</t>
        </is>
      </c>
      <c r="G29" s="146" t="inlineStr">
        <is>
          <t>C01503</t>
        </is>
      </c>
      <c r="H29" s="148" t="n">
        <v>2624885238</v>
      </c>
      <c r="I29" s="425" t="inlineStr">
        <is>
          <t>Approved</t>
        </is>
      </c>
      <c r="J29" s="496" t="n">
        <v>46137</v>
      </c>
      <c r="K29" s="146" t="inlineStr">
        <is>
          <t>MEHAN VISA</t>
        </is>
      </c>
      <c r="L29" s="425" t="inlineStr">
        <is>
          <t>-</t>
        </is>
      </c>
      <c r="N29" s="128" t="n"/>
      <c r="O29" s="128" t="n"/>
      <c r="P29" s="128" t="n"/>
      <c r="Q29" s="128" t="n"/>
      <c r="R29" s="128" t="n"/>
      <c r="S29" s="128" t="n"/>
      <c r="T29" s="128" t="n"/>
    </row>
    <row r="30" ht="15.75" customHeight="1">
      <c r="A30" s="470" t="inlineStr">
        <is>
          <t>Procuement Officer</t>
        </is>
      </c>
      <c r="B30" s="442" t="n">
        <v>1</v>
      </c>
      <c r="C30" s="449">
        <f>COUNTIF(E30,"&lt;&gt;")</f>
        <v/>
      </c>
      <c r="D30" s="463">
        <f>C30-B30</f>
        <v/>
      </c>
      <c r="E30" s="135" t="n"/>
      <c r="F30" s="136" t="inlineStr">
        <is>
          <t>Site Management</t>
        </is>
      </c>
      <c r="G30" s="460" t="inlineStr">
        <is>
          <t>-</t>
        </is>
      </c>
      <c r="H30" s="460" t="inlineStr">
        <is>
          <t>-</t>
        </is>
      </c>
      <c r="I30" s="425" t="inlineStr">
        <is>
          <t>Vacant</t>
        </is>
      </c>
      <c r="J30" s="499" t="n"/>
      <c r="K30" s="425" t="inlineStr">
        <is>
          <t>-</t>
        </is>
      </c>
      <c r="L30" s="425" t="inlineStr">
        <is>
          <t>-</t>
        </is>
      </c>
      <c r="N30" s="128" t="n"/>
      <c r="O30" s="128" t="n"/>
      <c r="P30" s="128" t="n"/>
      <c r="Q30" s="128" t="n"/>
      <c r="R30" s="128" t="n"/>
      <c r="S30" s="128" t="n"/>
      <c r="T30" s="128" t="n"/>
    </row>
    <row r="31" ht="26.25" customHeight="1">
      <c r="A31" s="36" t="inlineStr">
        <is>
          <t>Total Team 
Site Management</t>
        </is>
      </c>
      <c r="B31" s="36" t="inlineStr">
        <is>
          <t>Contractual Requirement</t>
        </is>
      </c>
      <c r="C31" s="36" t="inlineStr">
        <is>
          <t>Approved</t>
        </is>
      </c>
      <c r="D31" s="36" t="inlineStr">
        <is>
          <t>Vacant Position</t>
        </is>
      </c>
      <c r="E31" s="38" t="inlineStr">
        <is>
          <t>Rejected</t>
        </is>
      </c>
      <c r="F31" s="38" t="inlineStr">
        <is>
          <t xml:space="preserve">Additional </t>
        </is>
      </c>
      <c r="G31" s="38" t="inlineStr">
        <is>
          <t>ID</t>
        </is>
      </c>
      <c r="H31" s="38" t="inlineStr">
        <is>
          <t>Iqama</t>
        </is>
      </c>
      <c r="I31" s="39" t="n"/>
      <c r="J31" s="500" t="n"/>
      <c r="K31" s="39" t="n"/>
      <c r="L31" s="58" t="inlineStr">
        <is>
          <t>Remarks/Notes</t>
        </is>
      </c>
      <c r="N31" s="128" t="n"/>
      <c r="O31" s="128" t="n"/>
      <c r="P31" s="128" t="n"/>
      <c r="Q31" s="128" t="n"/>
      <c r="R31" s="128" t="n"/>
      <c r="S31" s="128" t="n"/>
      <c r="T31" s="128" t="n"/>
    </row>
    <row r="32" ht="15.75" customHeight="1">
      <c r="A32" s="36">
        <f>COUNTIF(E5:E30,"&lt;&gt;")</f>
        <v/>
      </c>
      <c r="B32" s="36">
        <f>SUM(B5:B30)</f>
        <v/>
      </c>
      <c r="C32" s="36">
        <f>COUNTIF(I5:I30,"Approved")</f>
        <v/>
      </c>
      <c r="D32" s="36">
        <f>COUNTIF(I4:I30,"Vacant")</f>
        <v/>
      </c>
      <c r="E32" s="38">
        <f>COUNTIF(I4:I30,"Rejected")</f>
        <v/>
      </c>
      <c r="F32" s="38">
        <f>COUNTIF(I4:I30,"Additional ")</f>
        <v/>
      </c>
      <c r="G32" s="38">
        <f>COUNTIF(G4:G30,"-")</f>
        <v/>
      </c>
      <c r="H32" s="38">
        <f>COUNTIF(H4:H30,"-")</f>
        <v/>
      </c>
      <c r="I32" s="42" t="n"/>
      <c r="J32" s="501" t="n"/>
      <c r="K32" s="42" t="n"/>
      <c r="L32" s="42" t="n"/>
      <c r="N32" s="128" t="n"/>
      <c r="O32" s="128" t="n"/>
      <c r="P32" s="128" t="n"/>
      <c r="Q32" s="128" t="n"/>
      <c r="R32" s="128" t="n"/>
      <c r="S32" s="128" t="n"/>
      <c r="T32" s="128" t="n"/>
    </row>
    <row r="33" ht="15.75" customHeight="1">
      <c r="A33" s="149" t="n"/>
      <c r="B33" s="150" t="n"/>
      <c r="C33" s="150" t="n"/>
      <c r="D33" s="150" t="n"/>
      <c r="E33" s="135" t="n"/>
      <c r="F33" s="151" t="n"/>
      <c r="G33" s="151" t="n"/>
      <c r="H33" s="151" t="n"/>
      <c r="I33" s="151" t="n"/>
      <c r="J33" s="517" t="n"/>
      <c r="K33" s="151" t="n"/>
      <c r="L33" s="152" t="n"/>
      <c r="N33" s="128" t="n"/>
      <c r="O33" s="128" t="n"/>
      <c r="P33" s="128" t="n"/>
      <c r="Q33" s="128" t="n"/>
      <c r="R33" s="128" t="n"/>
      <c r="S33" s="128" t="n"/>
      <c r="T33" s="128" t="n"/>
    </row>
    <row r="34" ht="26.25" customHeight="1">
      <c r="A34" s="133" t="inlineStr">
        <is>
          <t>Position</t>
        </is>
      </c>
      <c r="B34" s="9" t="inlineStr">
        <is>
          <t>Contractual Requirement</t>
        </is>
      </c>
      <c r="C34" s="9" t="inlineStr">
        <is>
          <t>Current Availability</t>
        </is>
      </c>
      <c r="D34" s="9" t="inlineStr">
        <is>
          <t>Vacant Position</t>
        </is>
      </c>
      <c r="E34" s="11" t="inlineStr">
        <is>
          <t>Emaployee Name</t>
        </is>
      </c>
      <c r="F34" s="11" t="inlineStr">
        <is>
          <t>Decipline</t>
        </is>
      </c>
      <c r="G34" s="12" t="inlineStr">
        <is>
          <t>ID</t>
        </is>
      </c>
      <c r="H34" s="11" t="inlineStr">
        <is>
          <t>Shift</t>
        </is>
      </c>
      <c r="I34" s="12" t="inlineStr">
        <is>
          <t>Status</t>
        </is>
      </c>
      <c r="J34" s="503" t="n"/>
      <c r="K34" s="153" t="n"/>
      <c r="L34" s="12" t="inlineStr">
        <is>
          <t>Remarks/Notes</t>
        </is>
      </c>
      <c r="N34" s="128" t="n"/>
      <c r="O34" s="128" t="n"/>
      <c r="P34" s="128" t="n"/>
      <c r="Q34" s="128" t="n"/>
      <c r="R34" s="128" t="n"/>
      <c r="S34" s="128" t="n"/>
      <c r="T34" s="128" t="n"/>
    </row>
    <row r="35" ht="15.75" customHeight="1">
      <c r="A35" s="470" t="inlineStr">
        <is>
          <t>Facility Engineer</t>
        </is>
      </c>
      <c r="B35" s="442" t="n">
        <v>2</v>
      </c>
      <c r="C35" s="449">
        <f>COUNTIF(E35:E36,"&lt;&gt;")</f>
        <v/>
      </c>
      <c r="D35" s="432">
        <f>C35-B35</f>
        <v/>
      </c>
      <c r="E35" s="460" t="inlineStr">
        <is>
          <t>Saravanan Marimuthu</t>
        </is>
      </c>
      <c r="F35" s="55" t="inlineStr">
        <is>
          <t>Hard Service</t>
        </is>
      </c>
      <c r="G35" s="64" t="inlineStr">
        <is>
          <t>EM-0002681</t>
        </is>
      </c>
      <c r="H35" s="64" t="n">
        <v>2586128874</v>
      </c>
      <c r="I35" s="425" t="inlineStr">
        <is>
          <t>Approved</t>
        </is>
      </c>
      <c r="J35" s="496" t="n">
        <v>45586</v>
      </c>
      <c r="K35" s="425" t="inlineStr">
        <is>
          <t>AL-FALAK VISA</t>
        </is>
      </c>
      <c r="L35" s="29" t="inlineStr">
        <is>
          <t>-</t>
        </is>
      </c>
      <c r="N35" s="128" t="n"/>
      <c r="O35" s="128" t="n"/>
      <c r="P35" s="128" t="n"/>
      <c r="Q35" s="128" t="n"/>
      <c r="R35" s="128" t="n"/>
      <c r="S35" s="128" t="n"/>
      <c r="T35" s="128" t="n"/>
    </row>
    <row r="36" ht="15.75" customHeight="1">
      <c r="A36" s="431" t="n"/>
      <c r="B36" s="431" t="n"/>
      <c r="C36" s="431" t="n"/>
      <c r="D36" s="431" t="n"/>
      <c r="E36" s="460" t="inlineStr">
        <is>
          <t>Amjad Zawar Shah</t>
        </is>
      </c>
      <c r="F36" s="55" t="inlineStr">
        <is>
          <t>Hard Service</t>
        </is>
      </c>
      <c r="G36" s="460" t="inlineStr">
        <is>
          <t>-</t>
        </is>
      </c>
      <c r="H36" s="154" t="n">
        <v>2384725012</v>
      </c>
      <c r="I36" s="425" t="inlineStr">
        <is>
          <t>Approved</t>
        </is>
      </c>
      <c r="J36" s="155" t="n">
        <v>46222</v>
      </c>
      <c r="K36" s="425" t="inlineStr">
        <is>
          <t>-</t>
        </is>
      </c>
      <c r="L36" s="29" t="inlineStr">
        <is>
          <t>-</t>
        </is>
      </c>
      <c r="N36" s="128" t="n"/>
      <c r="O36" s="128" t="n"/>
      <c r="P36" s="128" t="n"/>
      <c r="Q36" s="128" t="n"/>
      <c r="R36" s="128" t="n"/>
      <c r="S36" s="128" t="n"/>
      <c r="T36" s="128" t="n"/>
    </row>
    <row r="37" ht="15.75" customHeight="1">
      <c r="A37" s="470" t="inlineStr">
        <is>
          <t>Supervisor MEP</t>
        </is>
      </c>
      <c r="B37" s="442" t="n">
        <v>4</v>
      </c>
      <c r="C37" s="449">
        <f>COUNTIF(E37:E40,"&lt;&gt;")</f>
        <v/>
      </c>
      <c r="D37" s="432">
        <f>C37-B37</f>
        <v/>
      </c>
      <c r="E37" s="460" t="inlineStr">
        <is>
          <t>Mirza Arslan Baig</t>
        </is>
      </c>
      <c r="F37" s="55" t="inlineStr">
        <is>
          <t>Hard Service</t>
        </is>
      </c>
      <c r="G37" s="460" t="n">
        <v>701367</v>
      </c>
      <c r="H37" s="460" t="n">
        <v>2532029846</v>
      </c>
      <c r="I37" s="425" t="inlineStr">
        <is>
          <t>Approved</t>
        </is>
      </c>
      <c r="J37" s="496" t="n">
        <v>45472</v>
      </c>
      <c r="K37" s="425" t="inlineStr">
        <is>
          <t>FMCO</t>
        </is>
      </c>
      <c r="L37" s="29" t="inlineStr">
        <is>
          <t>-</t>
        </is>
      </c>
      <c r="N37" s="128" t="n"/>
      <c r="O37" s="128" t="n"/>
      <c r="P37" s="128" t="n"/>
      <c r="Q37" s="128" t="n"/>
      <c r="R37" s="128" t="n"/>
      <c r="S37" s="128" t="n"/>
      <c r="T37" s="128" t="n"/>
    </row>
    <row r="38" ht="15.75" customHeight="1">
      <c r="A38" s="429" t="n"/>
      <c r="B38" s="429" t="n"/>
      <c r="C38" s="429" t="n"/>
      <c r="D38" s="429" t="n"/>
      <c r="E38" s="460" t="inlineStr">
        <is>
          <t>ABDULLAH AZMI</t>
        </is>
      </c>
      <c r="F38" s="55" t="inlineStr">
        <is>
          <t>Hard Service</t>
        </is>
      </c>
      <c r="G38" s="460" t="inlineStr">
        <is>
          <t>-</t>
        </is>
      </c>
      <c r="H38" s="460" t="inlineStr">
        <is>
          <t>-</t>
        </is>
      </c>
      <c r="I38" s="425" t="inlineStr">
        <is>
          <t>Approved</t>
        </is>
      </c>
      <c r="J38" s="496" t="n">
        <v>47328</v>
      </c>
      <c r="K38" s="425" t="inlineStr">
        <is>
          <t>-</t>
        </is>
      </c>
      <c r="L38" s="29" t="inlineStr">
        <is>
          <t>-</t>
        </is>
      </c>
      <c r="N38" s="128" t="n"/>
      <c r="O38" s="128" t="n"/>
      <c r="P38" s="128" t="n"/>
      <c r="Q38" s="128" t="n"/>
      <c r="R38" s="128" t="n"/>
      <c r="S38" s="128" t="n"/>
      <c r="T38" s="128" t="n"/>
    </row>
    <row r="39" ht="15.75" customHeight="1">
      <c r="A39" s="429" t="n"/>
      <c r="B39" s="429" t="n"/>
      <c r="C39" s="429" t="n"/>
      <c r="D39" s="429" t="n"/>
      <c r="E39" s="460" t="inlineStr">
        <is>
          <t xml:space="preserve">Md Javed </t>
        </is>
      </c>
      <c r="F39" s="55" t="inlineStr">
        <is>
          <t>Hard Service</t>
        </is>
      </c>
      <c r="G39" s="460" t="n">
        <v>703883</v>
      </c>
      <c r="H39" s="460" t="n">
        <v>2582876831</v>
      </c>
      <c r="I39" s="425" t="inlineStr">
        <is>
          <t>Approved</t>
        </is>
      </c>
      <c r="J39" s="496" t="n">
        <v>46119</v>
      </c>
      <c r="K39" s="425" t="inlineStr">
        <is>
          <t>FMCO</t>
        </is>
      </c>
      <c r="L39" s="29" t="inlineStr">
        <is>
          <t>-</t>
        </is>
      </c>
      <c r="N39" s="128" t="n"/>
      <c r="O39" s="128" t="n"/>
      <c r="P39" s="128" t="n"/>
      <c r="Q39" s="128" t="n"/>
      <c r="R39" s="128" t="n"/>
      <c r="S39" s="128" t="n"/>
      <c r="T39" s="128" t="n"/>
    </row>
    <row r="40" ht="15.75" customHeight="1">
      <c r="A40" s="431" t="n"/>
      <c r="B40" s="431" t="n"/>
      <c r="C40" s="431" t="n"/>
      <c r="D40" s="431" t="n"/>
      <c r="E40" s="460" t="inlineStr">
        <is>
          <t>Abdul Majid Ansari</t>
        </is>
      </c>
      <c r="F40" s="55" t="inlineStr">
        <is>
          <t>Hard Service</t>
        </is>
      </c>
      <c r="G40" s="460" t="n">
        <v>704349</v>
      </c>
      <c r="H40" s="460" t="n">
        <v>2640204109</v>
      </c>
      <c r="I40" s="425" t="inlineStr">
        <is>
          <t>Approved</t>
        </is>
      </c>
      <c r="J40" s="496" t="n">
        <v>46219</v>
      </c>
      <c r="K40" s="425" t="inlineStr">
        <is>
          <t>FMCO</t>
        </is>
      </c>
      <c r="L40" s="29" t="inlineStr">
        <is>
          <t>-</t>
        </is>
      </c>
      <c r="N40" s="128" t="n"/>
      <c r="O40" s="128" t="n"/>
      <c r="P40" s="128" t="n"/>
      <c r="Q40" s="128" t="n"/>
      <c r="R40" s="128" t="n"/>
      <c r="S40" s="128" t="n"/>
      <c r="T40" s="128" t="n"/>
    </row>
    <row r="41" ht="15.75" customHeight="1">
      <c r="A41" s="470" t="inlineStr">
        <is>
          <t>Utility/GEN</t>
        </is>
      </c>
      <c r="B41" s="442" t="n">
        <v>4</v>
      </c>
      <c r="C41" s="449">
        <f>COUNTIF(E41:E44,"&lt;&gt;")</f>
        <v/>
      </c>
      <c r="D41" s="432">
        <f>C41-B41</f>
        <v/>
      </c>
      <c r="E41" s="460" t="inlineStr">
        <is>
          <t>Asif Ali</t>
        </is>
      </c>
      <c r="F41" s="55" t="inlineStr">
        <is>
          <t>Hard Service</t>
        </is>
      </c>
      <c r="G41" s="460" t="inlineStr">
        <is>
          <t>EM-0002674</t>
        </is>
      </c>
      <c r="H41" s="460" t="n">
        <v>2583866286</v>
      </c>
      <c r="I41" s="425" t="inlineStr">
        <is>
          <t>Approved</t>
        </is>
      </c>
      <c r="J41" s="496" t="n">
        <v>45586</v>
      </c>
      <c r="K41" s="425" t="inlineStr">
        <is>
          <t>AL-FALAK VISA</t>
        </is>
      </c>
      <c r="L41" s="29" t="inlineStr">
        <is>
          <t>-</t>
        </is>
      </c>
      <c r="N41" s="128" t="n"/>
      <c r="O41" s="128" t="n"/>
      <c r="P41" s="128" t="n"/>
      <c r="Q41" s="128" t="n"/>
      <c r="R41" s="128" t="n"/>
      <c r="S41" s="128" t="n"/>
      <c r="T41" s="128" t="n"/>
    </row>
    <row r="42" ht="15.75" customHeight="1">
      <c r="A42" s="429" t="n"/>
      <c r="B42" s="429" t="n"/>
      <c r="C42" s="429" t="n"/>
      <c r="D42" s="429" t="n"/>
      <c r="E42" s="460" t="inlineStr">
        <is>
          <t>Faisal Shekh Ayub</t>
        </is>
      </c>
      <c r="F42" s="55" t="inlineStr">
        <is>
          <t>Hard Service</t>
        </is>
      </c>
      <c r="G42" s="460" t="inlineStr">
        <is>
          <t>EM-0002675</t>
        </is>
      </c>
      <c r="H42" s="460" t="n">
        <v>2583867565</v>
      </c>
      <c r="I42" s="425" t="inlineStr">
        <is>
          <t>Approved</t>
        </is>
      </c>
      <c r="J42" s="496" t="n">
        <v>45600</v>
      </c>
      <c r="K42" s="425" t="inlineStr">
        <is>
          <t>AL-FALAK VISA</t>
        </is>
      </c>
      <c r="L42" s="29" t="inlineStr">
        <is>
          <t>-</t>
        </is>
      </c>
      <c r="N42" s="128" t="n"/>
      <c r="O42" s="128" t="n"/>
      <c r="P42" s="128" t="n"/>
      <c r="Q42" s="128" t="n"/>
      <c r="R42" s="128" t="n"/>
      <c r="S42" s="128" t="n"/>
      <c r="T42" s="128" t="n"/>
    </row>
    <row r="43" ht="15.75" customHeight="1">
      <c r="A43" s="429" t="n"/>
      <c r="B43" s="429" t="n"/>
      <c r="C43" s="429" t="n"/>
      <c r="D43" s="429" t="n"/>
      <c r="E43" s="460" t="inlineStr">
        <is>
          <t>Mohammad Shahid Hussain</t>
        </is>
      </c>
      <c r="F43" s="156" t="inlineStr">
        <is>
          <t>Hard Service</t>
        </is>
      </c>
      <c r="G43" s="460" t="inlineStr">
        <is>
          <t>EM-0002688</t>
        </is>
      </c>
      <c r="H43" s="460" t="n">
        <v>2586387769</v>
      </c>
      <c r="I43" s="425" t="inlineStr">
        <is>
          <t>Approved</t>
        </is>
      </c>
      <c r="J43" s="496" t="n">
        <v>45600</v>
      </c>
      <c r="K43" s="425" t="inlineStr">
        <is>
          <t>AL-FALAK VISA</t>
        </is>
      </c>
      <c r="L43" s="29" t="inlineStr">
        <is>
          <t>-</t>
        </is>
      </c>
      <c r="N43" s="128" t="n"/>
      <c r="O43" s="128" t="n"/>
      <c r="P43" s="128" t="n"/>
      <c r="Q43" s="128" t="n"/>
      <c r="R43" s="128" t="n"/>
      <c r="S43" s="128" t="n"/>
      <c r="T43" s="128" t="n"/>
    </row>
    <row r="44" ht="15.75" customHeight="1">
      <c r="A44" s="431" t="n"/>
      <c r="B44" s="431" t="n"/>
      <c r="C44" s="431" t="n"/>
      <c r="D44" s="431" t="n"/>
      <c r="E44" s="135" t="n"/>
      <c r="F44" s="156" t="inlineStr">
        <is>
          <t>Hard Service</t>
        </is>
      </c>
      <c r="G44" s="425" t="inlineStr">
        <is>
          <t>-</t>
        </is>
      </c>
      <c r="H44" s="29" t="inlineStr">
        <is>
          <t>-</t>
        </is>
      </c>
      <c r="I44" s="425" t="inlineStr">
        <is>
          <t>Vacant</t>
        </is>
      </c>
      <c r="J44" s="499" t="n"/>
      <c r="K44" s="425" t="inlineStr">
        <is>
          <t>-</t>
        </is>
      </c>
      <c r="L44" s="29" t="inlineStr">
        <is>
          <t>-</t>
        </is>
      </c>
      <c r="N44" s="128" t="n"/>
      <c r="O44" s="128" t="n"/>
      <c r="P44" s="128" t="n"/>
      <c r="Q44" s="128" t="n"/>
      <c r="R44" s="128" t="n"/>
      <c r="S44" s="128" t="n"/>
      <c r="T44" s="128" t="n"/>
    </row>
    <row r="45" ht="15.75" customHeight="1">
      <c r="A45" s="470" t="inlineStr">
        <is>
          <t>Multi-Skilled Technician</t>
        </is>
      </c>
      <c r="B45" s="442" t="n">
        <v>4</v>
      </c>
      <c r="C45" s="449">
        <f>COUNTIF(E45:E48,"&lt;&gt;")</f>
        <v/>
      </c>
      <c r="D45" s="432">
        <f>C45-B45</f>
        <v/>
      </c>
      <c r="E45" s="460" t="inlineStr">
        <is>
          <t>Muhammad Adeef</t>
        </is>
      </c>
      <c r="F45" s="156" t="inlineStr">
        <is>
          <t>Hard Service</t>
        </is>
      </c>
      <c r="G45" s="146" t="n">
        <v>704249</v>
      </c>
      <c r="H45" s="148" t="n">
        <v>2586991453</v>
      </c>
      <c r="I45" s="425" t="inlineStr">
        <is>
          <t>Approved</t>
        </is>
      </c>
      <c r="J45" s="496" t="n">
        <v>46146</v>
      </c>
      <c r="K45" s="146" t="inlineStr">
        <is>
          <t>FMCO</t>
        </is>
      </c>
      <c r="L45" s="29" t="inlineStr">
        <is>
          <t>-</t>
        </is>
      </c>
      <c r="N45" s="128" t="n"/>
      <c r="O45" s="128" t="n"/>
      <c r="P45" s="128" t="n"/>
      <c r="Q45" s="128" t="n"/>
      <c r="R45" s="128" t="n"/>
      <c r="S45" s="128" t="n"/>
      <c r="T45" s="128" t="n"/>
    </row>
    <row r="46" ht="15.75" customHeight="1">
      <c r="A46" s="429" t="n"/>
      <c r="B46" s="429" t="n"/>
      <c r="C46" s="429" t="n"/>
      <c r="D46" s="429" t="n"/>
      <c r="E46" s="135" t="n"/>
      <c r="F46" s="156" t="inlineStr">
        <is>
          <t>Hard Service</t>
        </is>
      </c>
      <c r="G46" s="460" t="inlineStr">
        <is>
          <t>-</t>
        </is>
      </c>
      <c r="H46" s="460" t="inlineStr">
        <is>
          <t>-</t>
        </is>
      </c>
      <c r="I46" s="425" t="inlineStr">
        <is>
          <t>Vacant</t>
        </is>
      </c>
      <c r="J46" s="499" t="n"/>
      <c r="K46" s="425" t="inlineStr">
        <is>
          <t>-</t>
        </is>
      </c>
      <c r="L46" s="29" t="inlineStr">
        <is>
          <t>-</t>
        </is>
      </c>
      <c r="N46" s="128" t="n"/>
      <c r="O46" s="128" t="n"/>
      <c r="P46" s="128" t="n"/>
      <c r="Q46" s="128" t="n"/>
      <c r="R46" s="128" t="n"/>
      <c r="S46" s="128" t="n"/>
      <c r="T46" s="128" t="n"/>
    </row>
    <row r="47" ht="15.75" customHeight="1">
      <c r="A47" s="429" t="n"/>
      <c r="B47" s="429" t="n"/>
      <c r="C47" s="429" t="n"/>
      <c r="D47" s="429" t="n"/>
      <c r="E47" s="135" t="n"/>
      <c r="F47" s="156" t="inlineStr">
        <is>
          <t>Hard Service</t>
        </is>
      </c>
      <c r="G47" s="460" t="inlineStr">
        <is>
          <t>-</t>
        </is>
      </c>
      <c r="H47" s="460" t="inlineStr">
        <is>
          <t>-</t>
        </is>
      </c>
      <c r="I47" s="425" t="inlineStr">
        <is>
          <t>Vacant</t>
        </is>
      </c>
      <c r="J47" s="499" t="n"/>
      <c r="K47" s="425" t="inlineStr">
        <is>
          <t>-</t>
        </is>
      </c>
      <c r="L47" s="29" t="inlineStr">
        <is>
          <t>-</t>
        </is>
      </c>
      <c r="N47" s="128" t="n"/>
      <c r="O47" s="128" t="n"/>
      <c r="P47" s="128" t="n"/>
      <c r="Q47" s="128" t="n"/>
      <c r="R47" s="128" t="n"/>
      <c r="S47" s="128" t="n"/>
      <c r="T47" s="128" t="n"/>
    </row>
    <row r="48" ht="15.75" customHeight="1">
      <c r="A48" s="431" t="n"/>
      <c r="B48" s="431" t="n"/>
      <c r="C48" s="431" t="n"/>
      <c r="D48" s="431" t="n"/>
      <c r="E48" s="135" t="n"/>
      <c r="F48" s="156" t="inlineStr">
        <is>
          <t>Hard Service</t>
        </is>
      </c>
      <c r="G48" s="425" t="inlineStr">
        <is>
          <t>-</t>
        </is>
      </c>
      <c r="H48" s="29" t="inlineStr">
        <is>
          <t>-</t>
        </is>
      </c>
      <c r="I48" s="425" t="inlineStr">
        <is>
          <t>Vacant</t>
        </is>
      </c>
      <c r="J48" s="499" t="n"/>
      <c r="K48" s="425" t="inlineStr">
        <is>
          <t>-</t>
        </is>
      </c>
      <c r="L48" s="29" t="inlineStr">
        <is>
          <t>-</t>
        </is>
      </c>
      <c r="N48" s="128" t="n"/>
      <c r="O48" s="128" t="n"/>
      <c r="P48" s="128" t="n"/>
      <c r="Q48" s="128" t="n"/>
      <c r="R48" s="128" t="n"/>
      <c r="S48" s="128" t="n"/>
      <c r="T48" s="128" t="n"/>
    </row>
    <row r="49" ht="15.75" customHeight="1">
      <c r="A49" s="470" t="inlineStr">
        <is>
          <t>Mechanical Technician</t>
        </is>
      </c>
      <c r="B49" s="442" t="n">
        <v>4</v>
      </c>
      <c r="C49" s="449">
        <f>COUNTIF(E49:E52,"&lt;&gt;")</f>
        <v/>
      </c>
      <c r="D49" s="432">
        <f>C49-B49</f>
        <v/>
      </c>
      <c r="E49" s="460" t="inlineStr">
        <is>
          <t>Gulsan Naver Ehasan</t>
        </is>
      </c>
      <c r="F49" s="55" t="inlineStr">
        <is>
          <t>Hard Service</t>
        </is>
      </c>
      <c r="G49" s="460" t="inlineStr">
        <is>
          <t>C00199</t>
        </is>
      </c>
      <c r="H49" s="460" t="n">
        <v>2580201909</v>
      </c>
      <c r="I49" s="425" t="inlineStr">
        <is>
          <t>Approved</t>
        </is>
      </c>
      <c r="J49" s="496" t="n">
        <v>46087</v>
      </c>
      <c r="K49" s="425" t="inlineStr">
        <is>
          <t>MEHAN VISA</t>
        </is>
      </c>
      <c r="L49" s="29" t="inlineStr">
        <is>
          <t>-</t>
        </is>
      </c>
      <c r="N49" s="128" t="n"/>
      <c r="O49" s="128" t="n"/>
      <c r="P49" s="128" t="n"/>
      <c r="Q49" s="128" t="n"/>
      <c r="R49" s="128" t="n"/>
      <c r="S49" s="128" t="n"/>
      <c r="T49" s="128" t="n"/>
    </row>
    <row r="50" ht="15.75" customHeight="1">
      <c r="A50" s="429" t="n"/>
      <c r="B50" s="429" t="n"/>
      <c r="C50" s="429" t="n"/>
      <c r="D50" s="429" t="n"/>
      <c r="E50" s="460" t="inlineStr">
        <is>
          <t>Shah Alam</t>
        </is>
      </c>
      <c r="F50" s="55" t="inlineStr">
        <is>
          <t>Hard Service</t>
        </is>
      </c>
      <c r="G50" s="460" t="n">
        <v>703011</v>
      </c>
      <c r="H50" s="460" t="n">
        <v>2566169112</v>
      </c>
      <c r="I50" s="425" t="inlineStr">
        <is>
          <t>Approved</t>
        </is>
      </c>
      <c r="J50" s="496" t="n">
        <v>46119</v>
      </c>
      <c r="K50" s="425" t="inlineStr">
        <is>
          <t>FMCO</t>
        </is>
      </c>
      <c r="L50" s="29" t="inlineStr">
        <is>
          <t>-</t>
        </is>
      </c>
      <c r="N50" s="128" t="n"/>
      <c r="O50" s="128" t="n"/>
      <c r="P50" s="128" t="n"/>
      <c r="Q50" s="128" t="n"/>
      <c r="R50" s="128" t="n"/>
      <c r="S50" s="128" t="n"/>
      <c r="T50" s="128" t="n"/>
    </row>
    <row r="51" ht="15.75" customHeight="1">
      <c r="A51" s="429" t="n"/>
      <c r="B51" s="429" t="n"/>
      <c r="C51" s="429" t="n"/>
      <c r="D51" s="429" t="n"/>
      <c r="E51" s="460" t="inlineStr">
        <is>
          <t>Mohammmed Imtiyaz</t>
        </is>
      </c>
      <c r="F51" s="55" t="inlineStr">
        <is>
          <t>Hard Service</t>
        </is>
      </c>
      <c r="G51" s="460" t="n">
        <v>701159</v>
      </c>
      <c r="H51" s="460" t="n">
        <v>2526385659</v>
      </c>
      <c r="I51" s="425" t="inlineStr">
        <is>
          <t>Approved</t>
        </is>
      </c>
      <c r="J51" s="496" t="n">
        <v>46119</v>
      </c>
      <c r="K51" s="425" t="inlineStr">
        <is>
          <t>FMCO</t>
        </is>
      </c>
      <c r="L51" s="29" t="inlineStr">
        <is>
          <t>-</t>
        </is>
      </c>
      <c r="N51" s="128" t="n"/>
      <c r="O51" s="128" t="n"/>
      <c r="P51" s="128" t="n"/>
      <c r="Q51" s="128" t="n"/>
      <c r="R51" s="128" t="n"/>
      <c r="S51" s="128" t="n"/>
      <c r="T51" s="128" t="n"/>
    </row>
    <row r="52" ht="15.75" customHeight="1">
      <c r="A52" s="431" t="n"/>
      <c r="B52" s="431" t="n"/>
      <c r="C52" s="431" t="n"/>
      <c r="D52" s="431" t="n"/>
      <c r="E52" s="460" t="inlineStr">
        <is>
          <t>Pramod Kizhakke Chirayil</t>
        </is>
      </c>
      <c r="F52" s="55" t="inlineStr">
        <is>
          <t>Hard Service</t>
        </is>
      </c>
      <c r="G52" s="139" t="inlineStr">
        <is>
          <t>-</t>
        </is>
      </c>
      <c r="H52" s="157" t="n">
        <v>2638972964</v>
      </c>
      <c r="I52" s="425" t="inlineStr">
        <is>
          <t>Approved</t>
        </is>
      </c>
      <c r="J52" s="496" t="n">
        <v>46207</v>
      </c>
      <c r="K52" s="158" t="inlineStr">
        <is>
          <t xml:space="preserve">RAMZ </t>
        </is>
      </c>
      <c r="L52" s="29" t="inlineStr">
        <is>
          <t>-</t>
        </is>
      </c>
      <c r="N52" s="128" t="n"/>
      <c r="O52" s="128" t="n"/>
      <c r="P52" s="128" t="n"/>
      <c r="Q52" s="128" t="n"/>
      <c r="R52" s="128" t="n"/>
      <c r="S52" s="128" t="n"/>
      <c r="T52" s="128" t="n"/>
    </row>
    <row r="53" ht="15.75" customHeight="1">
      <c r="A53" s="470" t="inlineStr">
        <is>
          <t>AC Technician</t>
        </is>
      </c>
      <c r="B53" s="442" t="n">
        <v>16</v>
      </c>
      <c r="C53" s="449">
        <f>COUNTIF(E53:E64,"&lt;&gt;")</f>
        <v/>
      </c>
      <c r="D53" s="432">
        <f>C53-B53</f>
        <v/>
      </c>
      <c r="E53" s="460" t="inlineStr">
        <is>
          <t>Muhammad Zia-Ur Rehman</t>
        </is>
      </c>
      <c r="F53" s="55" t="inlineStr">
        <is>
          <t>Hard Service</t>
        </is>
      </c>
      <c r="G53" s="460" t="inlineStr">
        <is>
          <t>C00710</t>
        </is>
      </c>
      <c r="H53" s="460" t="n">
        <v>2582102121</v>
      </c>
      <c r="I53" s="425" t="inlineStr">
        <is>
          <t>Approved</t>
        </is>
      </c>
      <c r="J53" s="496" t="n">
        <v>45586</v>
      </c>
      <c r="K53" s="425" t="inlineStr">
        <is>
          <t>MEHAN VISA</t>
        </is>
      </c>
      <c r="L53" s="29" t="inlineStr">
        <is>
          <t>-</t>
        </is>
      </c>
      <c r="N53" s="128" t="n"/>
      <c r="O53" s="128" t="n"/>
      <c r="P53" s="128" t="n"/>
      <c r="Q53" s="128" t="n"/>
      <c r="R53" s="128" t="n"/>
      <c r="S53" s="128" t="n"/>
      <c r="T53" s="128" t="n"/>
    </row>
    <row r="54" ht="15.75" customHeight="1">
      <c r="A54" s="429" t="n"/>
      <c r="B54" s="429" t="n"/>
      <c r="C54" s="429" t="n"/>
      <c r="D54" s="429" t="n"/>
      <c r="E54" s="460" t="inlineStr">
        <is>
          <t>Mohammad Masoom Raza</t>
        </is>
      </c>
      <c r="F54" s="55" t="inlineStr">
        <is>
          <t>Hard Service</t>
        </is>
      </c>
      <c r="G54" s="460" t="inlineStr">
        <is>
          <t>C00762</t>
        </is>
      </c>
      <c r="H54" s="460" t="n">
        <v>2583232232</v>
      </c>
      <c r="I54" s="425" t="inlineStr">
        <is>
          <t>Approved</t>
        </is>
      </c>
      <c r="J54" s="496" t="n">
        <v>45586</v>
      </c>
      <c r="K54" s="425" t="inlineStr">
        <is>
          <t>MEHAN VISA</t>
        </is>
      </c>
      <c r="L54" s="29" t="inlineStr">
        <is>
          <t>-</t>
        </is>
      </c>
      <c r="N54" s="128" t="n"/>
      <c r="O54" s="128" t="n"/>
      <c r="P54" s="128" t="n"/>
      <c r="Q54" s="128" t="n"/>
      <c r="R54" s="128" t="n"/>
      <c r="S54" s="128" t="n"/>
      <c r="T54" s="128" t="n"/>
    </row>
    <row r="55" ht="15.75" customHeight="1">
      <c r="A55" s="429" t="n"/>
      <c r="B55" s="429" t="n"/>
      <c r="C55" s="429" t="n"/>
      <c r="D55" s="429" t="n"/>
      <c r="E55" s="460" t="inlineStr">
        <is>
          <t>Roman Khan</t>
        </is>
      </c>
      <c r="F55" s="55" t="inlineStr">
        <is>
          <t>Hard Service</t>
        </is>
      </c>
      <c r="G55" s="460" t="inlineStr">
        <is>
          <t>C00778</t>
        </is>
      </c>
      <c r="H55" s="460" t="n">
        <v>2584343319</v>
      </c>
      <c r="I55" s="425" t="inlineStr">
        <is>
          <t>Approved</t>
        </is>
      </c>
      <c r="J55" s="496" t="n">
        <v>45586</v>
      </c>
      <c r="K55" s="425" t="inlineStr">
        <is>
          <t>MEHAN VISA</t>
        </is>
      </c>
      <c r="L55" s="29" t="inlineStr">
        <is>
          <t>-</t>
        </is>
      </c>
      <c r="N55" s="128" t="n"/>
      <c r="O55" s="128" t="n"/>
      <c r="P55" s="128" t="n"/>
      <c r="Q55" s="128" t="n"/>
      <c r="R55" s="128" t="n"/>
      <c r="S55" s="128" t="n"/>
      <c r="T55" s="128" t="n"/>
    </row>
    <row r="56" ht="15.75" customHeight="1">
      <c r="A56" s="429" t="n"/>
      <c r="B56" s="429" t="n"/>
      <c r="C56" s="429" t="n"/>
      <c r="D56" s="429" t="n"/>
      <c r="E56" s="460" t="inlineStr">
        <is>
          <t>Mohammad Shahnawaz Alam</t>
        </is>
      </c>
      <c r="F56" s="55" t="inlineStr">
        <is>
          <t>Hard Service</t>
        </is>
      </c>
      <c r="G56" s="460" t="inlineStr">
        <is>
          <t>EM-0002662</t>
        </is>
      </c>
      <c r="H56" s="460" t="n">
        <v>2581031768</v>
      </c>
      <c r="I56" s="425" t="inlineStr">
        <is>
          <t>Approved</t>
        </is>
      </c>
      <c r="J56" s="496" t="n">
        <v>45720</v>
      </c>
      <c r="K56" s="425" t="inlineStr">
        <is>
          <t>AL-FALAK VISA</t>
        </is>
      </c>
      <c r="L56" s="29" t="inlineStr">
        <is>
          <t>-</t>
        </is>
      </c>
      <c r="N56" s="128" t="n"/>
      <c r="O56" s="128" t="n"/>
      <c r="P56" s="128" t="n"/>
      <c r="Q56" s="128" t="n"/>
      <c r="R56" s="128" t="n"/>
      <c r="S56" s="128" t="n"/>
      <c r="T56" s="128" t="n"/>
    </row>
    <row r="57" ht="15.75" customHeight="1">
      <c r="A57" s="429" t="n"/>
      <c r="B57" s="429" t="n"/>
      <c r="C57" s="429" t="n"/>
      <c r="D57" s="429" t="n"/>
      <c r="E57" s="460" t="inlineStr">
        <is>
          <t>Sarfraj Ahamad</t>
        </is>
      </c>
      <c r="F57" s="55" t="inlineStr">
        <is>
          <t>Hard Service</t>
        </is>
      </c>
      <c r="G57" s="460" t="inlineStr">
        <is>
          <t>EM-0002708</t>
        </is>
      </c>
      <c r="H57" s="460" t="n">
        <v>2587449030</v>
      </c>
      <c r="I57" s="425" t="inlineStr">
        <is>
          <t>Approved</t>
        </is>
      </c>
      <c r="J57" s="496" t="n">
        <v>45600</v>
      </c>
      <c r="K57" s="425" t="inlineStr">
        <is>
          <t>AL-FALAK VISA</t>
        </is>
      </c>
      <c r="L57" s="29" t="inlineStr">
        <is>
          <t>-</t>
        </is>
      </c>
      <c r="N57" s="128" t="n"/>
      <c r="O57" s="128" t="n"/>
      <c r="P57" s="128" t="n"/>
      <c r="Q57" s="128" t="n"/>
      <c r="R57" s="128" t="n"/>
      <c r="S57" s="128" t="n"/>
      <c r="T57" s="128" t="n"/>
    </row>
    <row r="58" ht="15.75" customHeight="1">
      <c r="A58" s="429" t="n"/>
      <c r="B58" s="429" t="n"/>
      <c r="C58" s="429" t="n"/>
      <c r="D58" s="429" t="n"/>
      <c r="E58" s="460" t="inlineStr">
        <is>
          <t>Abu Talha</t>
        </is>
      </c>
      <c r="F58" s="55" t="inlineStr">
        <is>
          <t>Hard Service</t>
        </is>
      </c>
      <c r="G58" s="460" t="n">
        <v>703931</v>
      </c>
      <c r="H58" s="460" t="n">
        <v>2586438729</v>
      </c>
      <c r="I58" s="425" t="inlineStr">
        <is>
          <t>Approved</t>
        </is>
      </c>
      <c r="J58" s="496" t="n">
        <v>45599</v>
      </c>
      <c r="K58" s="425" t="inlineStr">
        <is>
          <t>FMCO</t>
        </is>
      </c>
      <c r="L58" s="29" t="inlineStr">
        <is>
          <t>-</t>
        </is>
      </c>
      <c r="N58" s="128" t="n"/>
      <c r="O58" s="128" t="n"/>
      <c r="P58" s="128" t="n"/>
      <c r="Q58" s="128" t="n"/>
      <c r="R58" s="128" t="n"/>
      <c r="S58" s="128" t="n"/>
      <c r="T58" s="128" t="n"/>
    </row>
    <row r="59" ht="15.75" customHeight="1">
      <c r="A59" s="429" t="n"/>
      <c r="B59" s="429" t="n"/>
      <c r="C59" s="429" t="n"/>
      <c r="D59" s="429" t="n"/>
      <c r="E59" s="460" t="inlineStr">
        <is>
          <t>Sahjad Husain</t>
        </is>
      </c>
      <c r="F59" s="55" t="inlineStr">
        <is>
          <t>Hard Service</t>
        </is>
      </c>
      <c r="G59" s="460" t="inlineStr">
        <is>
          <t>C01370</t>
        </is>
      </c>
      <c r="H59" s="460" t="n">
        <v>2618058305</v>
      </c>
      <c r="I59" s="425" t="inlineStr">
        <is>
          <t>Approved</t>
        </is>
      </c>
      <c r="J59" s="496" t="n">
        <v>45954</v>
      </c>
      <c r="K59" s="425" t="inlineStr">
        <is>
          <t>MEHAN VISA</t>
        </is>
      </c>
      <c r="L59" s="29" t="inlineStr">
        <is>
          <t>-</t>
        </is>
      </c>
      <c r="N59" s="128" t="n"/>
      <c r="O59" s="128" t="n"/>
      <c r="P59" s="128" t="n"/>
      <c r="Q59" s="128" t="n"/>
      <c r="R59" s="128" t="n"/>
      <c r="S59" s="128" t="n"/>
      <c r="T59" s="128" t="n"/>
    </row>
    <row r="60" ht="15.75" customHeight="1">
      <c r="A60" s="429" t="n"/>
      <c r="B60" s="429" t="n"/>
      <c r="C60" s="429" t="n"/>
      <c r="D60" s="429" t="n"/>
      <c r="E60" s="460" t="inlineStr">
        <is>
          <t>Kawsar Alam</t>
        </is>
      </c>
      <c r="F60" s="55" t="inlineStr">
        <is>
          <t>Hard Service</t>
        </is>
      </c>
      <c r="G60" s="139" t="inlineStr">
        <is>
          <t>-</t>
        </is>
      </c>
      <c r="H60" s="157" t="n">
        <v>2571571682</v>
      </c>
      <c r="I60" s="425" t="inlineStr">
        <is>
          <t>Approved</t>
        </is>
      </c>
      <c r="J60" s="496" t="n">
        <v>46207</v>
      </c>
      <c r="K60" s="158" t="inlineStr">
        <is>
          <t xml:space="preserve">RAMZ </t>
        </is>
      </c>
      <c r="L60" s="29" t="inlineStr">
        <is>
          <t>-</t>
        </is>
      </c>
      <c r="N60" s="128" t="n"/>
      <c r="O60" s="128" t="n"/>
      <c r="P60" s="128" t="n"/>
      <c r="Q60" s="128" t="n"/>
      <c r="R60" s="128" t="n"/>
      <c r="S60" s="128" t="n"/>
      <c r="T60" s="128" t="n"/>
    </row>
    <row r="61" ht="15.75" customHeight="1">
      <c r="A61" s="429" t="n"/>
      <c r="B61" s="429" t="n"/>
      <c r="C61" s="429" t="n"/>
      <c r="D61" s="429" t="n"/>
      <c r="E61" s="460" t="inlineStr">
        <is>
          <t>Tamim Shihab Khan</t>
        </is>
      </c>
      <c r="F61" s="55" t="inlineStr">
        <is>
          <t>Hard Service</t>
        </is>
      </c>
      <c r="G61" s="139" t="inlineStr">
        <is>
          <t>-</t>
        </is>
      </c>
      <c r="H61" s="157" t="n">
        <v>2604894358</v>
      </c>
      <c r="I61" s="425" t="inlineStr">
        <is>
          <t>Approved</t>
        </is>
      </c>
      <c r="J61" s="496" t="n">
        <v>46207</v>
      </c>
      <c r="K61" s="158" t="inlineStr">
        <is>
          <t xml:space="preserve">RAMZ </t>
        </is>
      </c>
      <c r="L61" s="29" t="inlineStr">
        <is>
          <t>-</t>
        </is>
      </c>
      <c r="N61" s="128" t="n"/>
      <c r="O61" s="128" t="n"/>
      <c r="P61" s="128" t="n"/>
      <c r="Q61" s="128" t="n"/>
      <c r="R61" s="128" t="n"/>
      <c r="S61" s="128" t="n"/>
      <c r="T61" s="128" t="n"/>
    </row>
    <row r="62" ht="15.75" customHeight="1">
      <c r="A62" s="429" t="n"/>
      <c r="B62" s="429" t="n"/>
      <c r="C62" s="429" t="n"/>
      <c r="D62" s="429" t="n"/>
      <c r="E62" s="460" t="inlineStr">
        <is>
          <t>Rayhan Islam</t>
        </is>
      </c>
      <c r="F62" s="55" t="inlineStr">
        <is>
          <t>Hard Service</t>
        </is>
      </c>
      <c r="G62" s="139" t="inlineStr">
        <is>
          <t>-</t>
        </is>
      </c>
      <c r="H62" s="157" t="n">
        <v>2591438425</v>
      </c>
      <c r="I62" s="425" t="inlineStr">
        <is>
          <t>Approved</t>
        </is>
      </c>
      <c r="J62" s="496" t="n">
        <v>46209</v>
      </c>
      <c r="K62" s="158" t="inlineStr">
        <is>
          <t xml:space="preserve">RAMZ </t>
        </is>
      </c>
      <c r="L62" s="29" t="inlineStr">
        <is>
          <t>-</t>
        </is>
      </c>
      <c r="N62" s="128" t="n"/>
      <c r="O62" s="128" t="n"/>
      <c r="P62" s="128" t="n"/>
      <c r="Q62" s="128" t="n"/>
      <c r="R62" s="128" t="n"/>
      <c r="S62" s="128" t="n"/>
      <c r="T62" s="128" t="n"/>
    </row>
    <row r="63" ht="15.75" customHeight="1">
      <c r="A63" s="429" t="n"/>
      <c r="B63" s="429" t="n"/>
      <c r="C63" s="429" t="n"/>
      <c r="D63" s="429" t="n"/>
      <c r="E63" s="460" t="inlineStr">
        <is>
          <t>Md Nasir Uddin</t>
        </is>
      </c>
      <c r="F63" s="55" t="inlineStr">
        <is>
          <t>Hard Service</t>
        </is>
      </c>
      <c r="G63" s="139" t="inlineStr">
        <is>
          <t>-</t>
        </is>
      </c>
      <c r="H63" s="157" t="n">
        <v>2620030672</v>
      </c>
      <c r="I63" s="425" t="inlineStr">
        <is>
          <t>Approved</t>
        </is>
      </c>
      <c r="J63" s="496" t="n">
        <v>46207</v>
      </c>
      <c r="K63" s="158" t="inlineStr">
        <is>
          <t xml:space="preserve">RAMZ </t>
        </is>
      </c>
      <c r="L63" s="29" t="inlineStr">
        <is>
          <t>-</t>
        </is>
      </c>
      <c r="N63" s="128" t="n"/>
      <c r="O63" s="128" t="n"/>
      <c r="P63" s="128" t="n"/>
      <c r="Q63" s="128" t="n"/>
      <c r="R63" s="128" t="n"/>
      <c r="S63" s="128" t="n"/>
      <c r="T63" s="128" t="n"/>
    </row>
    <row r="64" ht="15.75" customHeight="1">
      <c r="A64" s="429" t="n"/>
      <c r="B64" s="429" t="n"/>
      <c r="C64" s="429" t="n"/>
      <c r="D64" s="429" t="n"/>
      <c r="E64" s="460" t="inlineStr">
        <is>
          <t>Maruf Ahamad</t>
        </is>
      </c>
      <c r="F64" s="55" t="inlineStr">
        <is>
          <t>Hard Service</t>
        </is>
      </c>
      <c r="G64" s="139" t="inlineStr">
        <is>
          <t>-</t>
        </is>
      </c>
      <c r="H64" s="439" t="n">
        <v>2536547298</v>
      </c>
      <c r="I64" s="425" t="inlineStr">
        <is>
          <t>Approved</t>
        </is>
      </c>
      <c r="J64" s="496" t="n">
        <v>46207</v>
      </c>
      <c r="K64" s="158" t="inlineStr">
        <is>
          <t xml:space="preserve">RAMZ </t>
        </is>
      </c>
      <c r="L64" s="29" t="inlineStr">
        <is>
          <t>-</t>
        </is>
      </c>
      <c r="N64" s="128" t="n"/>
      <c r="O64" s="128" t="n"/>
      <c r="P64" s="128" t="n"/>
      <c r="Q64" s="128" t="n"/>
      <c r="R64" s="128" t="n"/>
      <c r="S64" s="128" t="n"/>
      <c r="T64" s="128" t="n"/>
    </row>
    <row r="65" ht="15.75" customHeight="1">
      <c r="A65" s="429" t="n"/>
      <c r="B65" s="429" t="n"/>
      <c r="C65" s="429" t="n"/>
      <c r="D65" s="429" t="n"/>
      <c r="E65" s="291" t="n"/>
      <c r="F65" s="55" t="inlineStr">
        <is>
          <t>Hard Service</t>
        </is>
      </c>
      <c r="G65" s="291" t="n"/>
      <c r="H65" s="291" t="n"/>
      <c r="I65" s="425" t="inlineStr">
        <is>
          <t>Vacant</t>
        </is>
      </c>
      <c r="J65" s="518" t="n"/>
      <c r="K65" s="232" t="n"/>
      <c r="L65" s="29" t="inlineStr">
        <is>
          <t>-</t>
        </is>
      </c>
      <c r="N65" s="128" t="n"/>
      <c r="O65" s="128" t="n"/>
      <c r="P65" s="128" t="n"/>
      <c r="Q65" s="128" t="n"/>
      <c r="R65" s="128" t="n"/>
      <c r="S65" s="128" t="n"/>
      <c r="T65" s="128" t="n"/>
    </row>
    <row r="66" ht="15.75" customHeight="1">
      <c r="A66" s="429" t="n"/>
      <c r="B66" s="429" t="n"/>
      <c r="C66" s="429" t="n"/>
      <c r="D66" s="429" t="n"/>
      <c r="E66" s="291" t="n"/>
      <c r="F66" s="55" t="inlineStr">
        <is>
          <t>Hard Service</t>
        </is>
      </c>
      <c r="G66" s="291" t="n"/>
      <c r="H66" s="291" t="n"/>
      <c r="I66" s="425" t="inlineStr">
        <is>
          <t>Vacant</t>
        </is>
      </c>
      <c r="J66" s="518" t="n"/>
      <c r="K66" s="232" t="n"/>
      <c r="L66" s="29" t="inlineStr">
        <is>
          <t>-</t>
        </is>
      </c>
      <c r="N66" s="128" t="n"/>
      <c r="O66" s="128" t="n"/>
      <c r="P66" s="128" t="n"/>
      <c r="Q66" s="128" t="n"/>
      <c r="R66" s="128" t="n"/>
      <c r="S66" s="128" t="n"/>
      <c r="T66" s="128" t="n"/>
    </row>
    <row r="67" ht="15.75" customHeight="1">
      <c r="A67" s="429" t="n"/>
      <c r="B67" s="429" t="n"/>
      <c r="C67" s="429" t="n"/>
      <c r="D67" s="429" t="n"/>
      <c r="E67" s="291" t="n"/>
      <c r="F67" s="55" t="inlineStr">
        <is>
          <t>Hard Service</t>
        </is>
      </c>
      <c r="G67" s="291" t="n"/>
      <c r="H67" s="291" t="n"/>
      <c r="I67" s="425" t="inlineStr">
        <is>
          <t>Vacant</t>
        </is>
      </c>
      <c r="J67" s="518" t="n"/>
      <c r="K67" s="232" t="n"/>
      <c r="L67" s="29" t="inlineStr">
        <is>
          <t>-</t>
        </is>
      </c>
      <c r="N67" s="128" t="n"/>
      <c r="O67" s="128" t="n"/>
      <c r="P67" s="128" t="n"/>
      <c r="Q67" s="128" t="n"/>
      <c r="R67" s="128" t="n"/>
      <c r="S67" s="128" t="n"/>
      <c r="T67" s="128" t="n"/>
    </row>
    <row r="68" ht="15.75" customHeight="1">
      <c r="A68" s="431" t="n"/>
      <c r="B68" s="431" t="n"/>
      <c r="C68" s="431" t="n"/>
      <c r="D68" s="431" t="n"/>
      <c r="E68" s="291" t="n"/>
      <c r="F68" s="55" t="inlineStr">
        <is>
          <t>Hard Service</t>
        </is>
      </c>
      <c r="G68" s="291" t="n"/>
      <c r="H68" s="291" t="n"/>
      <c r="I68" s="425" t="inlineStr">
        <is>
          <t>Vacant</t>
        </is>
      </c>
      <c r="J68" s="518" t="n"/>
      <c r="K68" s="232" t="n"/>
      <c r="L68" s="29" t="inlineStr">
        <is>
          <t>-</t>
        </is>
      </c>
      <c r="N68" s="128" t="n"/>
      <c r="O68" s="128" t="n"/>
      <c r="P68" s="128" t="n"/>
      <c r="Q68" s="128" t="n"/>
      <c r="R68" s="128" t="n"/>
      <c r="S68" s="128" t="n"/>
      <c r="T68" s="128" t="n"/>
    </row>
    <row r="69" ht="15.75" customHeight="1">
      <c r="A69" s="440" t="inlineStr">
        <is>
          <t>Assitant AC Techncian</t>
        </is>
      </c>
      <c r="B69" s="440" t="n">
        <v>6</v>
      </c>
      <c r="C69" s="440">
        <f>COUNTIF(E69:E74,"&lt;&gt;")</f>
        <v/>
      </c>
      <c r="D69" s="441">
        <f>C69-B69</f>
        <v/>
      </c>
      <c r="E69" s="460" t="inlineStr">
        <is>
          <t>Mohd Tarik Mohd Asalam</t>
        </is>
      </c>
      <c r="F69" s="55" t="inlineStr">
        <is>
          <t>Hard Service</t>
        </is>
      </c>
      <c r="G69" s="460" t="inlineStr">
        <is>
          <t>C01321</t>
        </is>
      </c>
      <c r="H69" s="460" t="n">
        <v>2617065988</v>
      </c>
      <c r="I69" s="425" t="inlineStr">
        <is>
          <t>Approved</t>
        </is>
      </c>
      <c r="J69" s="496" t="n">
        <v>46079</v>
      </c>
      <c r="K69" s="425" t="inlineStr">
        <is>
          <t>MEHAN VISA</t>
        </is>
      </c>
      <c r="L69" s="29" t="inlineStr">
        <is>
          <t>-</t>
        </is>
      </c>
      <c r="N69" s="128" t="n"/>
      <c r="O69" s="128" t="n"/>
      <c r="P69" s="128" t="n"/>
      <c r="Q69" s="128" t="n"/>
      <c r="R69" s="128" t="n"/>
      <c r="S69" s="128" t="n"/>
      <c r="T69" s="128" t="n"/>
    </row>
    <row r="70" ht="15.75" customHeight="1">
      <c r="A70" s="429" t="n"/>
      <c r="B70" s="429" t="n"/>
      <c r="C70" s="429" t="n"/>
      <c r="D70" s="429" t="n"/>
      <c r="E70" s="135" t="n"/>
      <c r="F70" s="55" t="inlineStr">
        <is>
          <t>Hard Service</t>
        </is>
      </c>
      <c r="G70" s="425" t="inlineStr">
        <is>
          <t>-</t>
        </is>
      </c>
      <c r="H70" s="29" t="inlineStr">
        <is>
          <t>-</t>
        </is>
      </c>
      <c r="I70" s="425" t="inlineStr">
        <is>
          <t>Vacant</t>
        </is>
      </c>
      <c r="J70" s="425" t="inlineStr">
        <is>
          <t>-</t>
        </is>
      </c>
      <c r="K70" s="425" t="inlineStr">
        <is>
          <t>-</t>
        </is>
      </c>
      <c r="L70" s="29" t="inlineStr">
        <is>
          <t>-</t>
        </is>
      </c>
      <c r="N70" s="128" t="n"/>
      <c r="O70" s="128" t="n"/>
      <c r="P70" s="128" t="n"/>
      <c r="Q70" s="128" t="n"/>
      <c r="R70" s="128" t="n"/>
      <c r="S70" s="128" t="n"/>
      <c r="T70" s="128" t="n"/>
    </row>
    <row r="71" ht="15.75" customHeight="1">
      <c r="A71" s="429" t="n"/>
      <c r="B71" s="429" t="n"/>
      <c r="C71" s="429" t="n"/>
      <c r="D71" s="429" t="n"/>
      <c r="E71" s="135" t="n"/>
      <c r="F71" s="55" t="inlineStr">
        <is>
          <t>Hard Service</t>
        </is>
      </c>
      <c r="G71" s="425" t="inlineStr">
        <is>
          <t>-</t>
        </is>
      </c>
      <c r="H71" s="29" t="inlineStr">
        <is>
          <t>-</t>
        </is>
      </c>
      <c r="I71" s="425" t="inlineStr">
        <is>
          <t>Vacant</t>
        </is>
      </c>
      <c r="J71" s="425" t="inlineStr">
        <is>
          <t>-</t>
        </is>
      </c>
      <c r="K71" s="425" t="inlineStr">
        <is>
          <t>-</t>
        </is>
      </c>
      <c r="L71" s="29" t="inlineStr">
        <is>
          <t>-</t>
        </is>
      </c>
      <c r="N71" s="128" t="n"/>
      <c r="O71" s="128" t="n"/>
      <c r="P71" s="128" t="n"/>
      <c r="Q71" s="128" t="n"/>
      <c r="R71" s="128" t="n"/>
      <c r="S71" s="128" t="n"/>
      <c r="T71" s="128" t="n"/>
    </row>
    <row r="72" ht="15.75" customHeight="1">
      <c r="A72" s="429" t="n"/>
      <c r="B72" s="429" t="n"/>
      <c r="C72" s="429" t="n"/>
      <c r="D72" s="429" t="n"/>
      <c r="E72" s="135" t="n"/>
      <c r="F72" s="55" t="inlineStr">
        <is>
          <t>Hard Service</t>
        </is>
      </c>
      <c r="G72" s="425" t="inlineStr">
        <is>
          <t>-</t>
        </is>
      </c>
      <c r="H72" s="29" t="inlineStr">
        <is>
          <t>-</t>
        </is>
      </c>
      <c r="I72" s="425" t="inlineStr">
        <is>
          <t>Vacant</t>
        </is>
      </c>
      <c r="J72" s="425" t="inlineStr">
        <is>
          <t>-</t>
        </is>
      </c>
      <c r="K72" s="425" t="inlineStr">
        <is>
          <t>-</t>
        </is>
      </c>
      <c r="L72" s="29" t="inlineStr">
        <is>
          <t>-</t>
        </is>
      </c>
      <c r="N72" s="128" t="n"/>
      <c r="O72" s="128" t="n"/>
      <c r="P72" s="128" t="n"/>
      <c r="Q72" s="128" t="n"/>
      <c r="R72" s="128" t="n"/>
      <c r="S72" s="128" t="n"/>
      <c r="T72" s="128" t="n"/>
    </row>
    <row r="73" ht="15.75" customHeight="1">
      <c r="A73" s="429" t="n"/>
      <c r="B73" s="429" t="n"/>
      <c r="C73" s="429" t="n"/>
      <c r="D73" s="429" t="n"/>
      <c r="E73" s="135" t="n"/>
      <c r="F73" s="55" t="inlineStr">
        <is>
          <t>Hard Service</t>
        </is>
      </c>
      <c r="G73" s="425" t="inlineStr">
        <is>
          <t>-</t>
        </is>
      </c>
      <c r="H73" s="29" t="inlineStr">
        <is>
          <t>-</t>
        </is>
      </c>
      <c r="I73" s="425" t="inlineStr">
        <is>
          <t>Vacant</t>
        </is>
      </c>
      <c r="J73" s="425" t="inlineStr">
        <is>
          <t>-</t>
        </is>
      </c>
      <c r="K73" s="425" t="inlineStr">
        <is>
          <t>-</t>
        </is>
      </c>
      <c r="L73" s="29" t="inlineStr">
        <is>
          <t>-</t>
        </is>
      </c>
      <c r="N73" s="128" t="n"/>
      <c r="O73" s="128" t="n"/>
      <c r="P73" s="128" t="n"/>
      <c r="Q73" s="128" t="n"/>
      <c r="R73" s="128" t="n"/>
      <c r="S73" s="128" t="n"/>
      <c r="T73" s="128" t="n"/>
    </row>
    <row r="74" ht="15.75" customHeight="1">
      <c r="A74" s="431" t="n"/>
      <c r="B74" s="431" t="n"/>
      <c r="C74" s="431" t="n"/>
      <c r="D74" s="431" t="n"/>
      <c r="E74" s="135" t="n"/>
      <c r="F74" s="55" t="inlineStr">
        <is>
          <t>Hard Service</t>
        </is>
      </c>
      <c r="G74" s="425" t="inlineStr">
        <is>
          <t>-</t>
        </is>
      </c>
      <c r="H74" s="29" t="inlineStr">
        <is>
          <t>-</t>
        </is>
      </c>
      <c r="I74" s="425" t="inlineStr">
        <is>
          <t>Vacant</t>
        </is>
      </c>
      <c r="J74" s="425" t="inlineStr">
        <is>
          <t>-</t>
        </is>
      </c>
      <c r="K74" s="425" t="inlineStr">
        <is>
          <t>-</t>
        </is>
      </c>
      <c r="L74" s="29" t="inlineStr">
        <is>
          <t>-</t>
        </is>
      </c>
      <c r="N74" s="128" t="n"/>
      <c r="O74" s="128" t="n"/>
      <c r="P74" s="128" t="n"/>
      <c r="Q74" s="128" t="n"/>
      <c r="R74" s="128" t="n"/>
      <c r="S74" s="128" t="n"/>
      <c r="T74" s="128" t="n"/>
    </row>
    <row r="75" ht="15.75" customHeight="1">
      <c r="A75" s="470" t="inlineStr">
        <is>
          <t>Plumber</t>
        </is>
      </c>
      <c r="B75" s="442" t="n">
        <v>14</v>
      </c>
      <c r="C75" s="449" t="n">
        <v>14</v>
      </c>
      <c r="D75" s="432">
        <f>C75-B75</f>
        <v/>
      </c>
      <c r="E75" s="460" t="inlineStr">
        <is>
          <t>Mohammad Azad</t>
        </is>
      </c>
      <c r="F75" s="55" t="inlineStr">
        <is>
          <t>Hard Service</t>
        </is>
      </c>
      <c r="G75" s="460" t="n">
        <v>703907</v>
      </c>
      <c r="H75" s="460" t="n">
        <v>2587607231</v>
      </c>
      <c r="I75" s="425" t="inlineStr">
        <is>
          <t>Approved</t>
        </is>
      </c>
      <c r="J75" s="496" t="n">
        <v>45586</v>
      </c>
      <c r="K75" s="425" t="inlineStr">
        <is>
          <t>FMCO</t>
        </is>
      </c>
      <c r="L75" s="29" t="inlineStr">
        <is>
          <t>-</t>
        </is>
      </c>
      <c r="N75" s="128" t="n"/>
      <c r="O75" s="128" t="n"/>
      <c r="P75" s="128" t="n"/>
      <c r="Q75" s="128" t="n"/>
      <c r="R75" s="128" t="n"/>
      <c r="S75" s="128" t="n"/>
      <c r="T75" s="128" t="n"/>
    </row>
    <row r="76" ht="15.75" customHeight="1">
      <c r="A76" s="429" t="n"/>
      <c r="B76" s="429" t="n"/>
      <c r="C76" s="429" t="n"/>
      <c r="D76" s="429" t="n"/>
      <c r="E76" s="460" t="inlineStr">
        <is>
          <t>Nouman Rasheed</t>
        </is>
      </c>
      <c r="F76" s="55" t="inlineStr">
        <is>
          <t>Hard Service</t>
        </is>
      </c>
      <c r="G76" s="460" t="inlineStr">
        <is>
          <t>C00467</t>
        </is>
      </c>
      <c r="H76" s="460" t="n">
        <v>2581349749</v>
      </c>
      <c r="I76" s="425" t="inlineStr">
        <is>
          <t>Approved</t>
        </is>
      </c>
      <c r="J76" s="496" t="n">
        <v>45720</v>
      </c>
      <c r="K76" s="425" t="inlineStr">
        <is>
          <t>MEHAN VISA</t>
        </is>
      </c>
      <c r="L76" s="29" t="inlineStr">
        <is>
          <t>-</t>
        </is>
      </c>
      <c r="N76" s="128" t="n"/>
      <c r="O76" s="128" t="n"/>
      <c r="P76" s="128" t="n"/>
      <c r="Q76" s="128" t="n"/>
      <c r="R76" s="128" t="n"/>
      <c r="S76" s="128" t="n"/>
      <c r="T76" s="128" t="n"/>
    </row>
    <row r="77" ht="15.75" customHeight="1">
      <c r="A77" s="429" t="n"/>
      <c r="B77" s="429" t="n"/>
      <c r="C77" s="429" t="n"/>
      <c r="D77" s="429" t="n"/>
      <c r="E77" s="460" t="inlineStr">
        <is>
          <t>Mohammad Kasim</t>
        </is>
      </c>
      <c r="F77" s="55" t="inlineStr">
        <is>
          <t>Hard Service</t>
        </is>
      </c>
      <c r="G77" s="460" t="inlineStr">
        <is>
          <t>C00819</t>
        </is>
      </c>
      <c r="H77" s="460" t="n">
        <v>2584702100</v>
      </c>
      <c r="I77" s="425" t="inlineStr">
        <is>
          <t>Approved</t>
        </is>
      </c>
      <c r="J77" s="496" t="n">
        <v>45586</v>
      </c>
      <c r="K77" s="425" t="inlineStr">
        <is>
          <t>MEHAN VISA</t>
        </is>
      </c>
      <c r="L77" s="29" t="inlineStr">
        <is>
          <t>-</t>
        </is>
      </c>
      <c r="N77" s="128" t="n"/>
      <c r="O77" s="128" t="n"/>
      <c r="P77" s="128" t="n"/>
      <c r="Q77" s="128" t="n"/>
      <c r="R77" s="128" t="n"/>
      <c r="S77" s="128" t="n"/>
      <c r="T77" s="128" t="n"/>
    </row>
    <row r="78" ht="15.75" customHeight="1">
      <c r="A78" s="429" t="n"/>
      <c r="B78" s="429" t="n"/>
      <c r="C78" s="429" t="n"/>
      <c r="D78" s="429" t="n"/>
      <c r="E78" s="460" t="inlineStr">
        <is>
          <t>Famin Ahmed Faruk Ahmed</t>
        </is>
      </c>
      <c r="F78" s="55" t="inlineStr">
        <is>
          <t>Hard Service</t>
        </is>
      </c>
      <c r="G78" s="139" t="inlineStr">
        <is>
          <t>-</t>
        </is>
      </c>
      <c r="H78" s="157" t="n">
        <v>2629084688</v>
      </c>
      <c r="I78" s="425" t="inlineStr">
        <is>
          <t>Approved</t>
        </is>
      </c>
      <c r="J78" s="496" t="n">
        <v>46207</v>
      </c>
      <c r="K78" s="158" t="inlineStr">
        <is>
          <t xml:space="preserve">RAMZ </t>
        </is>
      </c>
      <c r="L78" s="29" t="inlineStr">
        <is>
          <t>-</t>
        </is>
      </c>
      <c r="N78" s="128" t="n"/>
      <c r="O78" s="128" t="n"/>
      <c r="P78" s="128" t="n"/>
      <c r="Q78" s="128" t="n"/>
      <c r="R78" s="128" t="n"/>
      <c r="S78" s="128" t="n"/>
      <c r="T78" s="128" t="n"/>
    </row>
    <row r="79" ht="15.75" customHeight="1">
      <c r="A79" s="429" t="n"/>
      <c r="B79" s="429" t="n"/>
      <c r="C79" s="429" t="n"/>
      <c r="D79" s="429" t="n"/>
      <c r="E79" s="460" t="inlineStr">
        <is>
          <t>Md Bayzid Mia Maksodul Haq</t>
        </is>
      </c>
      <c r="F79" s="55" t="inlineStr">
        <is>
          <t>Hard Service</t>
        </is>
      </c>
      <c r="G79" s="139" t="inlineStr">
        <is>
          <t>-</t>
        </is>
      </c>
      <c r="H79" s="157" t="n">
        <v>2633355181</v>
      </c>
      <c r="I79" s="425" t="inlineStr">
        <is>
          <t>Approved</t>
        </is>
      </c>
      <c r="J79" s="496" t="n">
        <v>46207</v>
      </c>
      <c r="K79" s="158" t="inlineStr">
        <is>
          <t xml:space="preserve">RAMZ </t>
        </is>
      </c>
      <c r="L79" s="29" t="inlineStr">
        <is>
          <t>-</t>
        </is>
      </c>
      <c r="N79" s="128" t="n"/>
      <c r="O79" s="128" t="n"/>
      <c r="P79" s="128" t="n"/>
      <c r="Q79" s="128" t="n"/>
      <c r="R79" s="128" t="n"/>
      <c r="S79" s="128" t="n"/>
      <c r="T79" s="128" t="n"/>
    </row>
    <row r="80" ht="15.75" customHeight="1">
      <c r="A80" s="429" t="n"/>
      <c r="B80" s="429" t="n"/>
      <c r="C80" s="429" t="n"/>
      <c r="D80" s="429" t="n"/>
      <c r="E80" s="460" t="inlineStr">
        <is>
          <t>Md Joynal Abedin Hazi Abul Kasem</t>
        </is>
      </c>
      <c r="F80" s="55" t="inlineStr">
        <is>
          <t>Hard Service</t>
        </is>
      </c>
      <c r="G80" s="139" t="inlineStr">
        <is>
          <t>-</t>
        </is>
      </c>
      <c r="H80" s="157" t="n">
        <v>2633414566</v>
      </c>
      <c r="I80" s="425" t="inlineStr">
        <is>
          <t>Approved</t>
        </is>
      </c>
      <c r="J80" s="496" t="n">
        <v>46207</v>
      </c>
      <c r="K80" s="158" t="inlineStr">
        <is>
          <t xml:space="preserve">RAMZ </t>
        </is>
      </c>
      <c r="L80" s="29" t="inlineStr">
        <is>
          <t>-</t>
        </is>
      </c>
      <c r="N80" s="128" t="n"/>
      <c r="O80" s="128" t="n"/>
      <c r="P80" s="128" t="n"/>
      <c r="Q80" s="128" t="n"/>
      <c r="R80" s="128" t="n"/>
      <c r="S80" s="128" t="n"/>
      <c r="T80" s="128" t="n"/>
    </row>
    <row r="81" ht="15.75" customHeight="1">
      <c r="A81" s="429" t="n"/>
      <c r="B81" s="429" t="n"/>
      <c r="C81" s="429" t="n"/>
      <c r="D81" s="429" t="n"/>
      <c r="E81" s="460" t="inlineStr">
        <is>
          <t>Md Foredujjaman</t>
        </is>
      </c>
      <c r="F81" s="55" t="inlineStr">
        <is>
          <t>Hard Service</t>
        </is>
      </c>
      <c r="G81" s="139" t="inlineStr">
        <is>
          <t>-</t>
        </is>
      </c>
      <c r="H81" s="157" t="n">
        <v>2629090578</v>
      </c>
      <c r="I81" s="425" t="inlineStr">
        <is>
          <t>Approved</t>
        </is>
      </c>
      <c r="J81" s="496" t="n">
        <v>46207</v>
      </c>
      <c r="K81" s="158" t="inlineStr">
        <is>
          <t xml:space="preserve">RAMZ </t>
        </is>
      </c>
      <c r="L81" s="29" t="inlineStr">
        <is>
          <t>-</t>
        </is>
      </c>
      <c r="N81" s="128" t="n"/>
      <c r="O81" s="128" t="n"/>
      <c r="P81" s="128" t="n"/>
      <c r="Q81" s="128" t="n"/>
      <c r="R81" s="128" t="n"/>
      <c r="S81" s="128" t="n"/>
      <c r="T81" s="128" t="n"/>
    </row>
    <row r="82" ht="15.75" customHeight="1">
      <c r="A82" s="429" t="n"/>
      <c r="B82" s="429" t="n"/>
      <c r="C82" s="429" t="n"/>
      <c r="D82" s="429" t="n"/>
      <c r="E82" s="460" t="inlineStr">
        <is>
          <t>SAJAN</t>
        </is>
      </c>
      <c r="F82" s="55" t="inlineStr">
        <is>
          <t>Hard Service</t>
        </is>
      </c>
      <c r="G82" s="425" t="inlineStr">
        <is>
          <t>-</t>
        </is>
      </c>
      <c r="H82" s="29" t="inlineStr">
        <is>
          <t>-</t>
        </is>
      </c>
      <c r="I82" s="425" t="inlineStr">
        <is>
          <t>Approved</t>
        </is>
      </c>
      <c r="J82" s="496" t="inlineStr">
        <is>
          <t>27-Jul-26</t>
        </is>
      </c>
      <c r="K82" s="425" t="inlineStr">
        <is>
          <t>-</t>
        </is>
      </c>
      <c r="L82" s="29" t="inlineStr">
        <is>
          <t>-</t>
        </is>
      </c>
      <c r="N82" s="128" t="n"/>
      <c r="O82" s="128" t="n"/>
      <c r="P82" s="128" t="n"/>
      <c r="Q82" s="128" t="n"/>
      <c r="R82" s="128" t="n"/>
      <c r="S82" s="128" t="n"/>
      <c r="T82" s="128" t="n"/>
    </row>
    <row r="83" ht="15.75" customHeight="1">
      <c r="A83" s="429" t="n"/>
      <c r="B83" s="429" t="n"/>
      <c r="C83" s="429" t="n"/>
      <c r="D83" s="429" t="n"/>
      <c r="E83" s="460" t="inlineStr">
        <is>
          <t>MD SHAMSHER MD MOHIUDDIN</t>
        </is>
      </c>
      <c r="F83" s="55" t="inlineStr">
        <is>
          <t>Hard Service</t>
        </is>
      </c>
      <c r="G83" s="425" t="inlineStr">
        <is>
          <t>-</t>
        </is>
      </c>
      <c r="H83" s="29" t="inlineStr">
        <is>
          <t>-</t>
        </is>
      </c>
      <c r="I83" s="425" t="inlineStr">
        <is>
          <t>Approved</t>
        </is>
      </c>
      <c r="J83" s="496" t="inlineStr">
        <is>
          <t>27-Jul-26</t>
        </is>
      </c>
      <c r="K83" s="425" t="inlineStr">
        <is>
          <t>-</t>
        </is>
      </c>
      <c r="L83" s="29" t="inlineStr">
        <is>
          <t>-</t>
        </is>
      </c>
      <c r="N83" s="128" t="n"/>
      <c r="O83" s="128" t="n"/>
      <c r="P83" s="128" t="n"/>
      <c r="Q83" s="128" t="n"/>
      <c r="R83" s="128" t="n"/>
      <c r="S83" s="128" t="n"/>
      <c r="T83" s="128" t="n"/>
    </row>
    <row r="84" ht="15.75" customHeight="1">
      <c r="A84" s="429" t="n"/>
      <c r="B84" s="429" t="n"/>
      <c r="C84" s="429" t="n"/>
      <c r="D84" s="429" t="n"/>
      <c r="E84" s="460" t="inlineStr">
        <is>
          <t>RAFIQUE ANSARI</t>
        </is>
      </c>
      <c r="F84" s="55" t="inlineStr">
        <is>
          <t>Hard Service</t>
        </is>
      </c>
      <c r="G84" s="425" t="inlineStr">
        <is>
          <t>-</t>
        </is>
      </c>
      <c r="H84" s="29" t="inlineStr">
        <is>
          <t>-</t>
        </is>
      </c>
      <c r="I84" s="425" t="inlineStr">
        <is>
          <t>Approved</t>
        </is>
      </c>
      <c r="J84" s="496" t="inlineStr">
        <is>
          <t>30-Jul-26</t>
        </is>
      </c>
      <c r="K84" s="425" t="inlineStr">
        <is>
          <t>-</t>
        </is>
      </c>
      <c r="L84" s="29" t="inlineStr">
        <is>
          <t>-</t>
        </is>
      </c>
      <c r="N84" s="128" t="n"/>
      <c r="O84" s="128" t="n"/>
      <c r="P84" s="128" t="n"/>
      <c r="Q84" s="128" t="n"/>
      <c r="R84" s="128" t="n"/>
      <c r="S84" s="128" t="n"/>
      <c r="T84" s="128" t="n"/>
    </row>
    <row r="85" ht="15.75" customHeight="1">
      <c r="A85" s="429" t="n"/>
      <c r="B85" s="429" t="n"/>
      <c r="C85" s="429" t="n"/>
      <c r="D85" s="429" t="n"/>
      <c r="E85" s="460" t="inlineStr">
        <is>
          <t>ARMAN ALI</t>
        </is>
      </c>
      <c r="F85" s="55" t="inlineStr">
        <is>
          <t>Hard Service</t>
        </is>
      </c>
      <c r="G85" s="425" t="inlineStr">
        <is>
          <t>-</t>
        </is>
      </c>
      <c r="H85" s="29" t="inlineStr">
        <is>
          <t>-</t>
        </is>
      </c>
      <c r="I85" s="425" t="inlineStr">
        <is>
          <t>Approved</t>
        </is>
      </c>
      <c r="J85" s="496" t="n">
        <v>46235</v>
      </c>
      <c r="K85" s="425" t="inlineStr">
        <is>
          <t>-</t>
        </is>
      </c>
      <c r="L85" s="29" t="inlineStr">
        <is>
          <t>-</t>
        </is>
      </c>
      <c r="N85" s="128" t="n"/>
      <c r="O85" s="128" t="n"/>
      <c r="P85" s="128" t="n"/>
      <c r="Q85" s="128" t="n"/>
      <c r="R85" s="128" t="n"/>
      <c r="S85" s="128" t="n"/>
      <c r="T85" s="128" t="n"/>
    </row>
    <row r="86" ht="15.75" customHeight="1">
      <c r="A86" s="429" t="n"/>
      <c r="B86" s="429" t="n"/>
      <c r="C86" s="429" t="n"/>
      <c r="D86" s="429" t="n"/>
      <c r="E86" s="460" t="inlineStr">
        <is>
          <t>CHANDBABU MUSLIM ANSARI</t>
        </is>
      </c>
      <c r="F86" s="50" t="inlineStr">
        <is>
          <t>Hard Service</t>
        </is>
      </c>
      <c r="G86" s="425" t="inlineStr">
        <is>
          <t>-</t>
        </is>
      </c>
      <c r="H86" s="29" t="inlineStr">
        <is>
          <t>-</t>
        </is>
      </c>
      <c r="I86" s="425" t="inlineStr">
        <is>
          <t>Approved</t>
        </is>
      </c>
      <c r="J86" s="519" t="n">
        <v>46235</v>
      </c>
      <c r="K86" s="425" t="inlineStr">
        <is>
          <t>-</t>
        </is>
      </c>
      <c r="L86" s="29" t="inlineStr">
        <is>
          <t>-</t>
        </is>
      </c>
      <c r="N86" s="128" t="n"/>
      <c r="O86" s="128" t="n"/>
      <c r="P86" s="128" t="n"/>
      <c r="Q86" s="128" t="n"/>
      <c r="R86" s="128" t="n"/>
      <c r="S86" s="128" t="n"/>
      <c r="T86" s="128" t="n"/>
    </row>
    <row r="87" ht="15.75" customHeight="1">
      <c r="A87" s="429" t="n"/>
      <c r="B87" s="429" t="n"/>
      <c r="C87" s="429" t="n"/>
      <c r="D87" s="429" t="n"/>
      <c r="E87" s="460" t="inlineStr">
        <is>
          <t>ARMAN ALI</t>
        </is>
      </c>
      <c r="F87" s="50" t="inlineStr">
        <is>
          <t>Hard Service</t>
        </is>
      </c>
      <c r="G87" s="425" t="n">
        <v>704414</v>
      </c>
      <c r="H87" s="29" t="inlineStr">
        <is>
          <t>2641678541</t>
        </is>
      </c>
      <c r="I87" s="425" t="inlineStr">
        <is>
          <t>Approved</t>
        </is>
      </c>
      <c r="J87" s="519" t="n">
        <v>46235</v>
      </c>
      <c r="K87" s="425" t="inlineStr">
        <is>
          <t>FMCO</t>
        </is>
      </c>
      <c r="L87" s="29" t="n"/>
      <c r="N87" s="128" t="n"/>
      <c r="O87" s="128" t="n"/>
      <c r="P87" s="128" t="n"/>
      <c r="Q87" s="128" t="n"/>
      <c r="R87" s="128" t="n"/>
      <c r="S87" s="128" t="n"/>
      <c r="T87" s="128" t="n"/>
    </row>
    <row r="88" ht="15.75" customHeight="1">
      <c r="A88" s="431" t="n"/>
      <c r="B88" s="431" t="n"/>
      <c r="C88" s="431" t="n"/>
      <c r="D88" s="431" t="n"/>
      <c r="E88" s="460" t="inlineStr">
        <is>
          <t>CHANDBABU MUSLIM ANSARI</t>
        </is>
      </c>
      <c r="F88" s="50" t="inlineStr">
        <is>
          <t>Hard Service</t>
        </is>
      </c>
      <c r="G88" s="425" t="n">
        <v>704413</v>
      </c>
      <c r="H88" s="29" t="inlineStr">
        <is>
          <t>2641678574</t>
        </is>
      </c>
      <c r="I88" s="425" t="inlineStr">
        <is>
          <t>Approved</t>
        </is>
      </c>
      <c r="J88" s="519" t="n">
        <v>46235</v>
      </c>
      <c r="K88" s="425" t="inlineStr">
        <is>
          <t>FMCO</t>
        </is>
      </c>
      <c r="L88" s="29" t="n"/>
      <c r="N88" s="128" t="n"/>
      <c r="O88" s="128" t="n"/>
      <c r="P88" s="128" t="n"/>
      <c r="Q88" s="128" t="n"/>
      <c r="R88" s="128" t="n"/>
      <c r="S88" s="128" t="n"/>
      <c r="T88" s="128" t="n"/>
    </row>
    <row r="89" ht="15.75" customHeight="1">
      <c r="A89" s="470" t="inlineStr">
        <is>
          <t>Trade Helper</t>
        </is>
      </c>
      <c r="B89" s="442" t="n">
        <v>14</v>
      </c>
      <c r="C89" s="449">
        <f>COUNTIF(E89:E102,"&lt;&gt;")</f>
        <v/>
      </c>
      <c r="D89" s="432">
        <f>C89-B89</f>
        <v/>
      </c>
      <c r="E89" s="135" t="n"/>
      <c r="F89" s="55" t="inlineStr">
        <is>
          <t>Hard Service</t>
        </is>
      </c>
      <c r="G89" s="460" t="inlineStr">
        <is>
          <t>-</t>
        </is>
      </c>
      <c r="H89" s="460" t="inlineStr">
        <is>
          <t>-</t>
        </is>
      </c>
      <c r="I89" s="425" t="inlineStr">
        <is>
          <t>Vacant</t>
        </is>
      </c>
      <c r="J89" s="499" t="n"/>
      <c r="K89" s="425" t="inlineStr">
        <is>
          <t>-</t>
        </is>
      </c>
      <c r="L89" s="29" t="inlineStr">
        <is>
          <t>-</t>
        </is>
      </c>
      <c r="N89" s="128" t="n"/>
      <c r="O89" s="128" t="n"/>
      <c r="P89" s="128" t="n"/>
      <c r="Q89" s="128" t="n"/>
      <c r="R89" s="128" t="n"/>
      <c r="S89" s="128" t="n"/>
      <c r="T89" s="128" t="n"/>
    </row>
    <row r="90" ht="15.75" customHeight="1">
      <c r="A90" s="429" t="n"/>
      <c r="B90" s="429" t="n"/>
      <c r="C90" s="429" t="n"/>
      <c r="D90" s="429" t="n"/>
      <c r="E90" s="135" t="n"/>
      <c r="F90" s="55" t="inlineStr">
        <is>
          <t>Hard Service</t>
        </is>
      </c>
      <c r="G90" s="460" t="inlineStr">
        <is>
          <t>-</t>
        </is>
      </c>
      <c r="H90" s="460" t="inlineStr">
        <is>
          <t>-</t>
        </is>
      </c>
      <c r="I90" s="425" t="inlineStr">
        <is>
          <t>Vacant</t>
        </is>
      </c>
      <c r="J90" s="499" t="n"/>
      <c r="K90" s="425" t="inlineStr">
        <is>
          <t>-</t>
        </is>
      </c>
      <c r="L90" s="29" t="inlineStr">
        <is>
          <t>-</t>
        </is>
      </c>
      <c r="N90" s="128" t="n"/>
      <c r="O90" s="128" t="n"/>
      <c r="P90" s="128" t="n"/>
      <c r="Q90" s="128" t="n"/>
      <c r="R90" s="128" t="n"/>
      <c r="S90" s="128" t="n"/>
      <c r="T90" s="128" t="n"/>
    </row>
    <row r="91" ht="15.75" customHeight="1">
      <c r="A91" s="429" t="n"/>
      <c r="B91" s="429" t="n"/>
      <c r="C91" s="429" t="n"/>
      <c r="D91" s="429" t="n"/>
      <c r="E91" s="135" t="n"/>
      <c r="F91" s="55" t="inlineStr">
        <is>
          <t>Hard Service</t>
        </is>
      </c>
      <c r="G91" s="425" t="inlineStr">
        <is>
          <t>-</t>
        </is>
      </c>
      <c r="H91" s="29" t="inlineStr">
        <is>
          <t>-</t>
        </is>
      </c>
      <c r="I91" s="425" t="inlineStr">
        <is>
          <t>Vacant</t>
        </is>
      </c>
      <c r="J91" s="499" t="n"/>
      <c r="K91" s="425" t="inlineStr">
        <is>
          <t>-</t>
        </is>
      </c>
      <c r="L91" s="29" t="inlineStr">
        <is>
          <t>-</t>
        </is>
      </c>
      <c r="N91" s="128" t="n"/>
      <c r="O91" s="128" t="n"/>
      <c r="P91" s="128" t="n"/>
      <c r="Q91" s="128" t="n"/>
      <c r="R91" s="128" t="n"/>
      <c r="S91" s="128" t="n"/>
      <c r="T91" s="128" t="n"/>
    </row>
    <row r="92" ht="15.75" customHeight="1">
      <c r="A92" s="429" t="n"/>
      <c r="B92" s="429" t="n"/>
      <c r="C92" s="429" t="n"/>
      <c r="D92" s="429" t="n"/>
      <c r="E92" s="135" t="n"/>
      <c r="F92" s="55" t="inlineStr">
        <is>
          <t>Hard Service</t>
        </is>
      </c>
      <c r="G92" s="425" t="inlineStr">
        <is>
          <t>-</t>
        </is>
      </c>
      <c r="H92" s="29" t="inlineStr">
        <is>
          <t>-</t>
        </is>
      </c>
      <c r="I92" s="425" t="inlineStr">
        <is>
          <t>Vacant</t>
        </is>
      </c>
      <c r="J92" s="499" t="n"/>
      <c r="K92" s="425" t="inlineStr">
        <is>
          <t>-</t>
        </is>
      </c>
      <c r="L92" s="29" t="inlineStr">
        <is>
          <t>-</t>
        </is>
      </c>
      <c r="N92" s="128" t="n"/>
      <c r="O92" s="128" t="n"/>
      <c r="P92" s="128" t="n"/>
      <c r="Q92" s="128" t="n"/>
      <c r="R92" s="128" t="n"/>
      <c r="S92" s="128" t="n"/>
      <c r="T92" s="128" t="n"/>
    </row>
    <row r="93" ht="15.75" customHeight="1">
      <c r="A93" s="429" t="n"/>
      <c r="B93" s="429" t="n"/>
      <c r="C93" s="429" t="n"/>
      <c r="D93" s="429" t="n"/>
      <c r="E93" s="135" t="n"/>
      <c r="F93" s="55" t="inlineStr">
        <is>
          <t>Hard Service</t>
        </is>
      </c>
      <c r="G93" s="425" t="inlineStr">
        <is>
          <t>-</t>
        </is>
      </c>
      <c r="H93" s="29" t="inlineStr">
        <is>
          <t>-</t>
        </is>
      </c>
      <c r="I93" s="425" t="inlineStr">
        <is>
          <t>Vacant</t>
        </is>
      </c>
      <c r="J93" s="499" t="n"/>
      <c r="K93" s="425" t="inlineStr">
        <is>
          <t>-</t>
        </is>
      </c>
      <c r="L93" s="29" t="inlineStr">
        <is>
          <t>-</t>
        </is>
      </c>
      <c r="N93" s="128" t="n"/>
      <c r="O93" s="128" t="n"/>
      <c r="P93" s="128" t="n"/>
      <c r="Q93" s="128" t="n"/>
      <c r="R93" s="128" t="n"/>
      <c r="S93" s="128" t="n"/>
      <c r="T93" s="128" t="n"/>
    </row>
    <row r="94" ht="15.75" customHeight="1">
      <c r="A94" s="429" t="n"/>
      <c r="B94" s="429" t="n"/>
      <c r="C94" s="429" t="n"/>
      <c r="D94" s="429" t="n"/>
      <c r="E94" s="135" t="n"/>
      <c r="F94" s="55" t="inlineStr">
        <is>
          <t>Hard Service</t>
        </is>
      </c>
      <c r="G94" s="425" t="inlineStr">
        <is>
          <t>-</t>
        </is>
      </c>
      <c r="H94" s="29" t="inlineStr">
        <is>
          <t>-</t>
        </is>
      </c>
      <c r="I94" s="425" t="inlineStr">
        <is>
          <t>Vacant</t>
        </is>
      </c>
      <c r="J94" s="499" t="n"/>
      <c r="K94" s="425" t="inlineStr">
        <is>
          <t>-</t>
        </is>
      </c>
      <c r="L94" s="29" t="inlineStr">
        <is>
          <t>-</t>
        </is>
      </c>
      <c r="N94" s="128" t="n"/>
      <c r="O94" s="128" t="n"/>
      <c r="P94" s="128" t="n"/>
      <c r="Q94" s="128" t="n"/>
      <c r="R94" s="128" t="n"/>
      <c r="S94" s="128" t="n"/>
      <c r="T94" s="128" t="n"/>
    </row>
    <row r="95" ht="15.75" customHeight="1">
      <c r="A95" s="429" t="n"/>
      <c r="B95" s="429" t="n"/>
      <c r="C95" s="429" t="n"/>
      <c r="D95" s="429" t="n"/>
      <c r="E95" s="135" t="n"/>
      <c r="F95" s="55" t="inlineStr">
        <is>
          <t>Hard Service</t>
        </is>
      </c>
      <c r="G95" s="425" t="inlineStr">
        <is>
          <t>-</t>
        </is>
      </c>
      <c r="H95" s="29" t="inlineStr">
        <is>
          <t>-</t>
        </is>
      </c>
      <c r="I95" s="425" t="inlineStr">
        <is>
          <t>Vacant</t>
        </is>
      </c>
      <c r="J95" s="499" t="n"/>
      <c r="K95" s="425" t="inlineStr">
        <is>
          <t>-</t>
        </is>
      </c>
      <c r="L95" s="29" t="inlineStr">
        <is>
          <t>-</t>
        </is>
      </c>
      <c r="N95" s="128" t="n"/>
      <c r="O95" s="128" t="n"/>
      <c r="P95" s="128" t="n"/>
      <c r="Q95" s="128" t="n"/>
      <c r="R95" s="128" t="n"/>
      <c r="S95" s="128" t="n"/>
      <c r="T95" s="128" t="n"/>
    </row>
    <row r="96" ht="15.75" customHeight="1">
      <c r="A96" s="429" t="n"/>
      <c r="B96" s="429" t="n"/>
      <c r="C96" s="429" t="n"/>
      <c r="D96" s="429" t="n"/>
      <c r="E96" s="135" t="n"/>
      <c r="F96" s="55" t="inlineStr">
        <is>
          <t>Hard Service</t>
        </is>
      </c>
      <c r="G96" s="425" t="inlineStr">
        <is>
          <t>-</t>
        </is>
      </c>
      <c r="H96" s="29" t="inlineStr">
        <is>
          <t>-</t>
        </is>
      </c>
      <c r="I96" s="425" t="inlineStr">
        <is>
          <t>Vacant</t>
        </is>
      </c>
      <c r="J96" s="499" t="n"/>
      <c r="K96" s="425" t="inlineStr">
        <is>
          <t>-</t>
        </is>
      </c>
      <c r="L96" s="29" t="inlineStr">
        <is>
          <t>-</t>
        </is>
      </c>
      <c r="N96" s="128" t="n"/>
      <c r="O96" s="128" t="n"/>
      <c r="P96" s="128" t="n"/>
      <c r="Q96" s="128" t="n"/>
      <c r="R96" s="128" t="n"/>
      <c r="S96" s="128" t="n"/>
      <c r="T96" s="128" t="n"/>
    </row>
    <row r="97" ht="15.75" customHeight="1">
      <c r="A97" s="429" t="n"/>
      <c r="B97" s="429" t="n"/>
      <c r="C97" s="429" t="n"/>
      <c r="D97" s="429" t="n"/>
      <c r="E97" s="135" t="n"/>
      <c r="F97" s="55" t="inlineStr">
        <is>
          <t>Hard Service</t>
        </is>
      </c>
      <c r="G97" s="425" t="inlineStr">
        <is>
          <t>-</t>
        </is>
      </c>
      <c r="H97" s="29" t="inlineStr">
        <is>
          <t>-</t>
        </is>
      </c>
      <c r="I97" s="425" t="inlineStr">
        <is>
          <t>Vacant</t>
        </is>
      </c>
      <c r="J97" s="499" t="n"/>
      <c r="K97" s="425" t="inlineStr">
        <is>
          <t>-</t>
        </is>
      </c>
      <c r="L97" s="29" t="inlineStr">
        <is>
          <t>-</t>
        </is>
      </c>
      <c r="N97" s="128" t="n"/>
      <c r="O97" s="128" t="n"/>
      <c r="P97" s="128" t="n"/>
      <c r="Q97" s="128" t="n"/>
      <c r="R97" s="128" t="n"/>
      <c r="S97" s="128" t="n"/>
      <c r="T97" s="128" t="n"/>
    </row>
    <row r="98" ht="15.75" customHeight="1">
      <c r="A98" s="429" t="n"/>
      <c r="B98" s="429" t="n"/>
      <c r="C98" s="429" t="n"/>
      <c r="D98" s="429" t="n"/>
      <c r="E98" s="135" t="n"/>
      <c r="F98" s="55" t="inlineStr">
        <is>
          <t>Hard Service</t>
        </is>
      </c>
      <c r="G98" s="425" t="inlineStr">
        <is>
          <t>-</t>
        </is>
      </c>
      <c r="H98" s="29" t="inlineStr">
        <is>
          <t>-</t>
        </is>
      </c>
      <c r="I98" s="425" t="inlineStr">
        <is>
          <t>Vacant</t>
        </is>
      </c>
      <c r="J98" s="499" t="n"/>
      <c r="K98" s="425" t="inlineStr">
        <is>
          <t>-</t>
        </is>
      </c>
      <c r="L98" s="29" t="inlineStr">
        <is>
          <t>-</t>
        </is>
      </c>
      <c r="N98" s="128" t="n"/>
      <c r="O98" s="128" t="n"/>
      <c r="P98" s="128" t="n"/>
      <c r="Q98" s="128" t="n"/>
      <c r="R98" s="128" t="n"/>
      <c r="S98" s="128" t="n"/>
      <c r="T98" s="128" t="n"/>
    </row>
    <row r="99" ht="15.75" customHeight="1">
      <c r="A99" s="429" t="n"/>
      <c r="B99" s="429" t="n"/>
      <c r="C99" s="429" t="n"/>
      <c r="D99" s="429" t="n"/>
      <c r="E99" s="135" t="n"/>
      <c r="F99" s="55" t="inlineStr">
        <is>
          <t>Hard Service</t>
        </is>
      </c>
      <c r="G99" s="425" t="inlineStr">
        <is>
          <t>-</t>
        </is>
      </c>
      <c r="H99" s="29" t="inlineStr">
        <is>
          <t>-</t>
        </is>
      </c>
      <c r="I99" s="425" t="inlineStr">
        <is>
          <t>Vacant</t>
        </is>
      </c>
      <c r="J99" s="499" t="n"/>
      <c r="K99" s="425" t="inlineStr">
        <is>
          <t>-</t>
        </is>
      </c>
      <c r="L99" s="29" t="inlineStr">
        <is>
          <t>-</t>
        </is>
      </c>
      <c r="N99" s="128" t="n"/>
      <c r="O99" s="128" t="n"/>
      <c r="P99" s="128" t="n"/>
      <c r="Q99" s="128" t="n"/>
      <c r="R99" s="128" t="n"/>
      <c r="S99" s="128" t="n"/>
      <c r="T99" s="128" t="n"/>
    </row>
    <row r="100" ht="15.75" customHeight="1">
      <c r="A100" s="429" t="n"/>
      <c r="B100" s="429" t="n"/>
      <c r="C100" s="429" t="n"/>
      <c r="D100" s="429" t="n"/>
      <c r="E100" s="135" t="n"/>
      <c r="F100" s="55" t="inlineStr">
        <is>
          <t>Hard Service</t>
        </is>
      </c>
      <c r="G100" s="425" t="inlineStr">
        <is>
          <t>-</t>
        </is>
      </c>
      <c r="H100" s="29" t="inlineStr">
        <is>
          <t>-</t>
        </is>
      </c>
      <c r="I100" s="425" t="inlineStr">
        <is>
          <t>Vacant</t>
        </is>
      </c>
      <c r="J100" s="499" t="n"/>
      <c r="K100" s="425" t="inlineStr">
        <is>
          <t>-</t>
        </is>
      </c>
      <c r="L100" s="29" t="inlineStr">
        <is>
          <t>-</t>
        </is>
      </c>
      <c r="N100" s="128" t="n"/>
      <c r="O100" s="128" t="n"/>
      <c r="P100" s="128" t="n"/>
      <c r="Q100" s="128" t="n"/>
      <c r="R100" s="128" t="n"/>
      <c r="S100" s="128" t="n"/>
      <c r="T100" s="128" t="n"/>
    </row>
    <row r="101" ht="15.75" customHeight="1">
      <c r="A101" s="429" t="n"/>
      <c r="B101" s="429" t="n"/>
      <c r="C101" s="429" t="n"/>
      <c r="D101" s="429" t="n"/>
      <c r="E101" s="135" t="n"/>
      <c r="F101" s="55" t="inlineStr">
        <is>
          <t>Hard Service</t>
        </is>
      </c>
      <c r="G101" s="425" t="inlineStr">
        <is>
          <t>-</t>
        </is>
      </c>
      <c r="H101" s="29" t="inlineStr">
        <is>
          <t>-</t>
        </is>
      </c>
      <c r="I101" s="425" t="inlineStr">
        <is>
          <t>Vacant</t>
        </is>
      </c>
      <c r="J101" s="499" t="n"/>
      <c r="K101" s="425" t="inlineStr">
        <is>
          <t>-</t>
        </is>
      </c>
      <c r="L101" s="29" t="inlineStr">
        <is>
          <t>-</t>
        </is>
      </c>
      <c r="N101" s="128" t="n"/>
      <c r="O101" s="128" t="n"/>
      <c r="P101" s="128" t="n"/>
      <c r="Q101" s="128" t="n"/>
      <c r="R101" s="128" t="n"/>
      <c r="S101" s="128" t="n"/>
      <c r="T101" s="128" t="n"/>
    </row>
    <row r="102" ht="15.75" customHeight="1">
      <c r="A102" s="431" t="n"/>
      <c r="B102" s="431" t="n"/>
      <c r="C102" s="431" t="n"/>
      <c r="D102" s="431" t="n"/>
      <c r="E102" s="135" t="n"/>
      <c r="F102" s="55" t="inlineStr">
        <is>
          <t>Hard Service</t>
        </is>
      </c>
      <c r="G102" s="425" t="inlineStr">
        <is>
          <t>-</t>
        </is>
      </c>
      <c r="H102" s="29" t="inlineStr">
        <is>
          <t>-</t>
        </is>
      </c>
      <c r="I102" s="425" t="inlineStr">
        <is>
          <t>Vacant</t>
        </is>
      </c>
      <c r="J102" s="499" t="n"/>
      <c r="K102" s="425" t="inlineStr">
        <is>
          <t>-</t>
        </is>
      </c>
      <c r="L102" s="29" t="inlineStr">
        <is>
          <t>-</t>
        </is>
      </c>
      <c r="N102" s="128" t="n"/>
      <c r="O102" s="128" t="n"/>
      <c r="P102" s="128" t="n"/>
      <c r="Q102" s="128" t="n"/>
      <c r="R102" s="128" t="n"/>
      <c r="S102" s="128" t="n"/>
      <c r="T102" s="128" t="n"/>
    </row>
    <row r="103" ht="15.75" customHeight="1">
      <c r="A103" s="470" t="inlineStr">
        <is>
          <t>Supervisor Electrical</t>
        </is>
      </c>
      <c r="B103" s="442" t="n">
        <v>2</v>
      </c>
      <c r="C103" s="449">
        <f>COUNTIF(E103:E104,"&lt;&gt;")</f>
        <v/>
      </c>
      <c r="D103" s="432">
        <f>C103-B103</f>
        <v/>
      </c>
      <c r="E103" s="460" t="inlineStr">
        <is>
          <t>Mohd Uwais Khan</t>
        </is>
      </c>
      <c r="F103" s="55" t="inlineStr">
        <is>
          <t>Hard Service</t>
        </is>
      </c>
      <c r="G103" s="460" t="inlineStr">
        <is>
          <t>-</t>
        </is>
      </c>
      <c r="H103" s="460" t="n">
        <v>2640993032</v>
      </c>
      <c r="I103" s="425" t="inlineStr">
        <is>
          <t>Approved</t>
        </is>
      </c>
      <c r="J103" s="496" t="n">
        <v>46219</v>
      </c>
      <c r="K103" s="425" t="inlineStr">
        <is>
          <t>FMCO</t>
        </is>
      </c>
      <c r="L103" s="29" t="inlineStr">
        <is>
          <t>-</t>
        </is>
      </c>
      <c r="N103" s="128" t="n"/>
      <c r="O103" s="128" t="n"/>
      <c r="P103" s="128" t="n"/>
      <c r="Q103" s="128" t="n"/>
      <c r="R103" s="128" t="n"/>
      <c r="S103" s="128" t="n"/>
      <c r="T103" s="128" t="n"/>
    </row>
    <row r="104" ht="15.75" customHeight="1">
      <c r="A104" s="431" t="n"/>
      <c r="B104" s="431" t="n"/>
      <c r="C104" s="431" t="n"/>
      <c r="D104" s="431" t="n"/>
      <c r="E104" s="135" t="n"/>
      <c r="F104" s="55" t="inlineStr">
        <is>
          <t>Hard Service</t>
        </is>
      </c>
      <c r="G104" s="460" t="inlineStr">
        <is>
          <t>-</t>
        </is>
      </c>
      <c r="H104" s="460" t="inlineStr">
        <is>
          <t>-</t>
        </is>
      </c>
      <c r="I104" s="425" t="inlineStr">
        <is>
          <t>Vacant</t>
        </is>
      </c>
      <c r="J104" s="499" t="n"/>
      <c r="K104" s="425" t="inlineStr">
        <is>
          <t>-</t>
        </is>
      </c>
      <c r="L104" s="29" t="inlineStr">
        <is>
          <t>-</t>
        </is>
      </c>
      <c r="N104" s="128" t="n"/>
      <c r="O104" s="128" t="n"/>
      <c r="P104" s="128" t="n"/>
      <c r="Q104" s="128" t="n"/>
      <c r="R104" s="128" t="n"/>
      <c r="S104" s="128" t="n"/>
      <c r="T104" s="128" t="n"/>
    </row>
    <row r="105" ht="15.75" customHeight="1">
      <c r="A105" s="470" t="inlineStr">
        <is>
          <t>Electrical Team Leader</t>
        </is>
      </c>
      <c r="B105" s="442" t="n">
        <v>2</v>
      </c>
      <c r="C105" s="449">
        <f>COUNTIF(E105:E106,"&lt;&gt;")</f>
        <v/>
      </c>
      <c r="D105" s="432">
        <f>C105-B105</f>
        <v/>
      </c>
      <c r="E105" s="460" t="inlineStr">
        <is>
          <t>Muzammil Hussain Alam Sher</t>
        </is>
      </c>
      <c r="F105" s="55" t="inlineStr">
        <is>
          <t>Hard Service</t>
        </is>
      </c>
      <c r="G105" s="460" t="n">
        <v>701623</v>
      </c>
      <c r="H105" s="460" t="n">
        <v>2535070847</v>
      </c>
      <c r="I105" s="425" t="inlineStr">
        <is>
          <t>Approved</t>
        </is>
      </c>
      <c r="J105" s="496" t="n">
        <v>45902</v>
      </c>
      <c r="K105" s="425" t="inlineStr">
        <is>
          <t>FMCO</t>
        </is>
      </c>
      <c r="L105" s="29" t="inlineStr">
        <is>
          <t>-</t>
        </is>
      </c>
      <c r="N105" s="128" t="n"/>
      <c r="O105" s="128" t="n"/>
      <c r="P105" s="128" t="n"/>
      <c r="Q105" s="128" t="n"/>
      <c r="R105" s="128" t="n"/>
      <c r="S105" s="128" t="n"/>
      <c r="T105" s="128" t="n"/>
    </row>
    <row r="106" ht="15.75" customHeight="1">
      <c r="A106" s="431" t="n"/>
      <c r="B106" s="431" t="n"/>
      <c r="C106" s="431" t="n"/>
      <c r="D106" s="431" t="n"/>
      <c r="E106" s="460" t="inlineStr">
        <is>
          <t>MD AMIR KHAN</t>
        </is>
      </c>
      <c r="F106" s="55" t="inlineStr">
        <is>
          <t>Hard Service</t>
        </is>
      </c>
      <c r="G106" s="425" t="inlineStr">
        <is>
          <t>-</t>
        </is>
      </c>
      <c r="H106" s="29" t="inlineStr">
        <is>
          <t>-</t>
        </is>
      </c>
      <c r="I106" s="425" t="inlineStr">
        <is>
          <t>Approved</t>
        </is>
      </c>
      <c r="J106" s="496" t="n">
        <v>9708</v>
      </c>
      <c r="K106" s="425" t="inlineStr">
        <is>
          <t>-</t>
        </is>
      </c>
      <c r="L106" s="29" t="inlineStr">
        <is>
          <t>-</t>
        </is>
      </c>
      <c r="N106" s="128" t="n"/>
      <c r="O106" s="128" t="n"/>
      <c r="P106" s="128" t="n"/>
      <c r="Q106" s="128" t="n"/>
      <c r="R106" s="128" t="n"/>
      <c r="S106" s="128" t="n"/>
      <c r="T106" s="128" t="n"/>
    </row>
    <row r="107" ht="15.75" customHeight="1">
      <c r="A107" s="470" t="inlineStr">
        <is>
          <t>Electrician</t>
        </is>
      </c>
      <c r="B107" s="442" t="n">
        <v>18</v>
      </c>
      <c r="C107" s="449">
        <f>COUNTIF(E107:E124,"&lt;&gt;")</f>
        <v/>
      </c>
      <c r="D107" s="432">
        <f>C107-B107</f>
        <v/>
      </c>
      <c r="E107" s="460" t="inlineStr">
        <is>
          <t>Md Farid Alam</t>
        </is>
      </c>
      <c r="F107" s="55" t="inlineStr">
        <is>
          <t>Hard Service</t>
        </is>
      </c>
      <c r="G107" s="460" t="n">
        <v>703915</v>
      </c>
      <c r="H107" s="460" t="n">
        <v>2587607132</v>
      </c>
      <c r="I107" s="425" t="inlineStr">
        <is>
          <t>Approved</t>
        </is>
      </c>
      <c r="J107" s="496" t="n">
        <v>45586</v>
      </c>
      <c r="K107" s="425" t="inlineStr">
        <is>
          <t>FMCO</t>
        </is>
      </c>
      <c r="L107" s="29" t="inlineStr">
        <is>
          <t>-</t>
        </is>
      </c>
      <c r="N107" s="128" t="n"/>
      <c r="O107" s="128" t="n"/>
      <c r="P107" s="128" t="n"/>
      <c r="Q107" s="128" t="n"/>
      <c r="R107" s="128" t="n"/>
      <c r="S107" s="128" t="n"/>
      <c r="T107" s="128" t="n"/>
    </row>
    <row r="108" ht="15.75" customHeight="1">
      <c r="A108" s="429" t="n"/>
      <c r="B108" s="429" t="n"/>
      <c r="C108" s="429" t="n"/>
      <c r="D108" s="429" t="n"/>
      <c r="E108" s="460" t="inlineStr">
        <is>
          <t>Mohammad Maquesud Alam</t>
        </is>
      </c>
      <c r="F108" s="55" t="inlineStr">
        <is>
          <t>Hard Service</t>
        </is>
      </c>
      <c r="G108" s="460" t="inlineStr">
        <is>
          <t>C00613</t>
        </is>
      </c>
      <c r="H108" s="460" t="n">
        <v>2581351620</v>
      </c>
      <c r="I108" s="425" t="inlineStr">
        <is>
          <t>Approved</t>
        </is>
      </c>
      <c r="J108" s="496" t="n">
        <v>45720</v>
      </c>
      <c r="K108" s="425" t="inlineStr">
        <is>
          <t>MEHAN VISA</t>
        </is>
      </c>
      <c r="L108" s="29" t="inlineStr">
        <is>
          <t>-</t>
        </is>
      </c>
      <c r="N108" s="128" t="n"/>
      <c r="O108" s="128" t="n"/>
      <c r="P108" s="128" t="n"/>
      <c r="Q108" s="128" t="n"/>
      <c r="R108" s="128" t="n"/>
      <c r="S108" s="128" t="n"/>
      <c r="T108" s="128" t="n"/>
    </row>
    <row r="109" ht="15.75" customHeight="1">
      <c r="A109" s="429" t="n"/>
      <c r="B109" s="429" t="n"/>
      <c r="C109" s="429" t="n"/>
      <c r="D109" s="429" t="n"/>
      <c r="E109" s="460" t="inlineStr">
        <is>
          <t>Mohammad Ragib</t>
        </is>
      </c>
      <c r="F109" s="55" t="inlineStr">
        <is>
          <t>Hard Service</t>
        </is>
      </c>
      <c r="G109" s="460" t="inlineStr">
        <is>
          <t>C00739</t>
        </is>
      </c>
      <c r="H109" s="460" t="n">
        <v>2582900433</v>
      </c>
      <c r="I109" s="425" t="inlineStr">
        <is>
          <t>Approved</t>
        </is>
      </c>
      <c r="J109" s="496" t="n">
        <v>45902</v>
      </c>
      <c r="K109" s="425" t="inlineStr">
        <is>
          <t>MEHAN VISA</t>
        </is>
      </c>
      <c r="L109" s="29" t="inlineStr">
        <is>
          <t>-</t>
        </is>
      </c>
      <c r="N109" s="128" t="n"/>
      <c r="O109" s="128" t="n"/>
      <c r="P109" s="128" t="n"/>
      <c r="Q109" s="128" t="n"/>
      <c r="R109" s="128" t="n"/>
      <c r="S109" s="128" t="n"/>
      <c r="T109" s="128" t="n"/>
    </row>
    <row r="110" ht="15.75" customHeight="1">
      <c r="A110" s="429" t="n"/>
      <c r="B110" s="429" t="n"/>
      <c r="C110" s="429" t="n"/>
      <c r="D110" s="429" t="n"/>
      <c r="E110" s="460" t="inlineStr">
        <is>
          <t>Kohinoor Rahman</t>
        </is>
      </c>
      <c r="F110" s="55" t="inlineStr">
        <is>
          <t>Hard Service</t>
        </is>
      </c>
      <c r="G110" s="460" t="inlineStr">
        <is>
          <t>C00830</t>
        </is>
      </c>
      <c r="H110" s="460" t="n">
        <v>2586455681</v>
      </c>
      <c r="I110" s="425" t="inlineStr">
        <is>
          <t>Approved</t>
        </is>
      </c>
      <c r="J110" s="496" t="n">
        <v>45599</v>
      </c>
      <c r="K110" s="425" t="inlineStr">
        <is>
          <t>MEHAN VISA</t>
        </is>
      </c>
      <c r="L110" s="29" t="inlineStr">
        <is>
          <t>-</t>
        </is>
      </c>
      <c r="N110" s="128" t="n"/>
      <c r="O110" s="128" t="n"/>
      <c r="P110" s="128" t="n"/>
      <c r="Q110" s="128" t="n"/>
      <c r="R110" s="128" t="n"/>
      <c r="S110" s="128" t="n"/>
      <c r="T110" s="128" t="n"/>
    </row>
    <row r="111" ht="15.75" customHeight="1">
      <c r="A111" s="429" t="n"/>
      <c r="B111" s="429" t="n"/>
      <c r="C111" s="429" t="n"/>
      <c r="D111" s="429" t="n"/>
      <c r="E111" s="460" t="inlineStr">
        <is>
          <t>Syed Fakhre Alam</t>
        </is>
      </c>
      <c r="F111" s="55" t="inlineStr">
        <is>
          <t>Hard Service</t>
        </is>
      </c>
      <c r="G111" s="460" t="inlineStr">
        <is>
          <t>EM-0002497</t>
        </is>
      </c>
      <c r="H111" s="460" t="n">
        <v>2582877003</v>
      </c>
      <c r="I111" s="425" t="inlineStr">
        <is>
          <t>Approved</t>
        </is>
      </c>
      <c r="J111" s="496" t="n">
        <v>45586</v>
      </c>
      <c r="K111" s="425" t="inlineStr">
        <is>
          <t>AL-FALAK VISA</t>
        </is>
      </c>
      <c r="L111" s="29" t="inlineStr">
        <is>
          <t>-</t>
        </is>
      </c>
      <c r="N111" s="128" t="n"/>
      <c r="O111" s="128" t="n"/>
      <c r="P111" s="128" t="n"/>
      <c r="Q111" s="128" t="n"/>
      <c r="R111" s="128" t="n"/>
      <c r="S111" s="128" t="n"/>
      <c r="T111" s="128" t="n"/>
    </row>
    <row r="112" ht="15.75" customHeight="1">
      <c r="A112" s="429" t="n"/>
      <c r="B112" s="429" t="n"/>
      <c r="C112" s="429" t="n"/>
      <c r="D112" s="429" t="n"/>
      <c r="E112" s="460" t="inlineStr">
        <is>
          <t>Anamul Hak</t>
        </is>
      </c>
      <c r="F112" s="55" t="inlineStr">
        <is>
          <t>Hard Service</t>
        </is>
      </c>
      <c r="G112" s="460" t="inlineStr">
        <is>
          <t>EM-0002660</t>
        </is>
      </c>
      <c r="H112" s="460" t="n">
        <v>2580699896</v>
      </c>
      <c r="I112" s="425" t="inlineStr">
        <is>
          <t>Approved</t>
        </is>
      </c>
      <c r="J112" s="496" t="n">
        <v>45720</v>
      </c>
      <c r="K112" s="425" t="inlineStr">
        <is>
          <t>AL-FALAK VISA</t>
        </is>
      </c>
      <c r="L112" s="29" t="inlineStr">
        <is>
          <t>-</t>
        </is>
      </c>
      <c r="N112" s="128" t="n"/>
      <c r="O112" s="128" t="n"/>
      <c r="P112" s="128" t="n"/>
      <c r="Q112" s="128" t="n"/>
      <c r="R112" s="128" t="n"/>
      <c r="S112" s="128" t="n"/>
      <c r="T112" s="128" t="n"/>
    </row>
    <row r="113" ht="15.75" customHeight="1">
      <c r="A113" s="429" t="n"/>
      <c r="B113" s="429" t="n"/>
      <c r="C113" s="429" t="n"/>
      <c r="D113" s="429" t="n"/>
      <c r="E113" s="460" t="inlineStr">
        <is>
          <t xml:space="preserve">Ayaan Parvez Khan </t>
        </is>
      </c>
      <c r="F113" s="55" t="inlineStr">
        <is>
          <t>Hard Service</t>
        </is>
      </c>
      <c r="G113" s="460" t="n">
        <v>703916</v>
      </c>
      <c r="H113" s="460" t="n">
        <v>2587530359</v>
      </c>
      <c r="I113" s="425" t="inlineStr">
        <is>
          <t>Approved</t>
        </is>
      </c>
      <c r="J113" s="496" t="n">
        <v>45586</v>
      </c>
      <c r="K113" s="425" t="inlineStr">
        <is>
          <t>FMCO</t>
        </is>
      </c>
      <c r="L113" s="29" t="inlineStr">
        <is>
          <t>-</t>
        </is>
      </c>
      <c r="N113" s="128" t="n"/>
      <c r="O113" s="128" t="n"/>
      <c r="P113" s="128" t="n"/>
      <c r="Q113" s="128" t="n"/>
      <c r="R113" s="128" t="n"/>
      <c r="S113" s="128" t="n"/>
      <c r="T113" s="128" t="n"/>
    </row>
    <row r="114" ht="15.75" customHeight="1">
      <c r="A114" s="429" t="n"/>
      <c r="B114" s="429" t="n"/>
      <c r="C114" s="429" t="n"/>
      <c r="D114" s="429" t="n"/>
      <c r="E114" s="460" t="inlineStr">
        <is>
          <t>Jutun Mian</t>
        </is>
      </c>
      <c r="F114" s="55" t="inlineStr">
        <is>
          <t>Hard Service</t>
        </is>
      </c>
      <c r="G114" s="460" t="n">
        <v>701832</v>
      </c>
      <c r="H114" s="460" t="n">
        <v>2462013018</v>
      </c>
      <c r="I114" s="425" t="inlineStr">
        <is>
          <t>Approved</t>
        </is>
      </c>
      <c r="J114" s="496" t="n">
        <v>46119</v>
      </c>
      <c r="K114" s="425" t="inlineStr">
        <is>
          <t>FMCO</t>
        </is>
      </c>
      <c r="L114" s="29" t="inlineStr">
        <is>
          <t>-</t>
        </is>
      </c>
      <c r="N114" s="128" t="n"/>
      <c r="O114" s="128" t="n"/>
      <c r="P114" s="128" t="n"/>
      <c r="Q114" s="128" t="n"/>
      <c r="R114" s="128" t="n"/>
      <c r="S114" s="128" t="n"/>
      <c r="T114" s="128" t="n"/>
    </row>
    <row r="115" ht="15.75" customHeight="1">
      <c r="A115" s="429" t="n"/>
      <c r="B115" s="429" t="n"/>
      <c r="C115" s="429" t="n"/>
      <c r="D115" s="429" t="n"/>
      <c r="E115" s="460" t="inlineStr">
        <is>
          <t>Mohammad Abu Basar</t>
        </is>
      </c>
      <c r="F115" s="55" t="inlineStr">
        <is>
          <t>Hard Service</t>
        </is>
      </c>
      <c r="G115" s="460" t="inlineStr">
        <is>
          <t>-</t>
        </is>
      </c>
      <c r="H115" s="460" t="n">
        <v>2638610812</v>
      </c>
      <c r="I115" s="425" t="inlineStr">
        <is>
          <t>Approved</t>
        </is>
      </c>
      <c r="J115" s="496" t="n">
        <v>46207</v>
      </c>
      <c r="K115" s="425" t="inlineStr">
        <is>
          <t xml:space="preserve">RAMZ </t>
        </is>
      </c>
      <c r="L115" s="29" t="inlineStr">
        <is>
          <t>-</t>
        </is>
      </c>
      <c r="N115" s="128" t="n"/>
      <c r="O115" s="128" t="n"/>
      <c r="P115" s="128" t="n"/>
      <c r="Q115" s="128" t="n"/>
      <c r="R115" s="128" t="n"/>
      <c r="S115" s="128" t="n"/>
      <c r="T115" s="128" t="n"/>
    </row>
    <row r="116" ht="15.75" customHeight="1">
      <c r="A116" s="429" t="n"/>
      <c r="B116" s="429" t="n"/>
      <c r="C116" s="429" t="n"/>
      <c r="D116" s="429" t="n"/>
      <c r="E116" s="460" t="inlineStr">
        <is>
          <t>Mohammad Saheb Jan</t>
        </is>
      </c>
      <c r="F116" s="55" t="inlineStr">
        <is>
          <t>Hard Service</t>
        </is>
      </c>
      <c r="G116" s="460" t="inlineStr">
        <is>
          <t>-</t>
        </is>
      </c>
      <c r="H116" s="460" t="n">
        <v>2639573746</v>
      </c>
      <c r="I116" s="425" t="inlineStr">
        <is>
          <t>Approved</t>
        </is>
      </c>
      <c r="J116" s="496" t="n">
        <v>46207</v>
      </c>
      <c r="K116" s="425" t="inlineStr">
        <is>
          <t xml:space="preserve">RAMZ </t>
        </is>
      </c>
      <c r="L116" s="29" t="inlineStr">
        <is>
          <t>-</t>
        </is>
      </c>
      <c r="N116" s="128" t="n"/>
      <c r="O116" s="128" t="n"/>
      <c r="P116" s="128" t="n"/>
      <c r="Q116" s="128" t="n"/>
      <c r="R116" s="128" t="n"/>
      <c r="S116" s="128" t="n"/>
      <c r="T116" s="128" t="n"/>
    </row>
    <row r="117" ht="15.75" customHeight="1">
      <c r="A117" s="429" t="n"/>
      <c r="B117" s="429" t="n"/>
      <c r="C117" s="429" t="n"/>
      <c r="D117" s="429" t="n"/>
      <c r="E117" s="460" t="inlineStr">
        <is>
          <t>Md Arman</t>
        </is>
      </c>
      <c r="F117" s="55" t="inlineStr">
        <is>
          <t>Hard Service</t>
        </is>
      </c>
      <c r="G117" s="19" t="inlineStr">
        <is>
          <t>-</t>
        </is>
      </c>
      <c r="H117" s="50" t="n">
        <v>2639574033</v>
      </c>
      <c r="I117" s="425" t="inlineStr">
        <is>
          <t>Approved</t>
        </is>
      </c>
      <c r="J117" s="496" t="n">
        <v>46207</v>
      </c>
      <c r="K117" s="425" t="inlineStr">
        <is>
          <t xml:space="preserve">RAMZ </t>
        </is>
      </c>
      <c r="L117" s="29" t="inlineStr">
        <is>
          <t>-</t>
        </is>
      </c>
      <c r="N117" s="128" t="n"/>
      <c r="O117" s="128" t="n"/>
      <c r="P117" s="128" t="n"/>
      <c r="Q117" s="128" t="n"/>
      <c r="R117" s="128" t="n"/>
      <c r="S117" s="128" t="n"/>
      <c r="T117" s="128" t="n"/>
    </row>
    <row r="118" ht="15.75" customHeight="1">
      <c r="A118" s="429" t="n"/>
      <c r="B118" s="429" t="n"/>
      <c r="C118" s="429" t="n"/>
      <c r="D118" s="429" t="n"/>
      <c r="E118" s="460" t="inlineStr">
        <is>
          <t>Mohammad Qaiyum</t>
        </is>
      </c>
      <c r="F118" s="55" t="inlineStr">
        <is>
          <t>Hard Service</t>
        </is>
      </c>
      <c r="G118" s="425" t="inlineStr">
        <is>
          <t>-</t>
        </is>
      </c>
      <c r="H118" s="29" t="n">
        <v>2639573944</v>
      </c>
      <c r="I118" s="425" t="inlineStr">
        <is>
          <t>Approved</t>
        </is>
      </c>
      <c r="J118" s="496" t="n">
        <v>46207</v>
      </c>
      <c r="K118" s="425" t="inlineStr">
        <is>
          <t xml:space="preserve">RAMZ </t>
        </is>
      </c>
      <c r="L118" s="29" t="inlineStr">
        <is>
          <t>-</t>
        </is>
      </c>
      <c r="N118" s="128" t="n"/>
      <c r="O118" s="128" t="n"/>
      <c r="P118" s="128" t="n"/>
      <c r="Q118" s="128" t="n"/>
      <c r="R118" s="128" t="n"/>
      <c r="S118" s="128" t="n"/>
      <c r="T118" s="128" t="n"/>
    </row>
    <row r="119" ht="15.75" customHeight="1">
      <c r="A119" s="429" t="n"/>
      <c r="B119" s="429" t="n"/>
      <c r="C119" s="429" t="n"/>
      <c r="D119" s="429" t="n"/>
      <c r="E119" s="460" t="inlineStr">
        <is>
          <t>Gulam Gaus</t>
        </is>
      </c>
      <c r="F119" s="55" t="inlineStr">
        <is>
          <t>Hard Service</t>
        </is>
      </c>
      <c r="G119" s="425" t="inlineStr">
        <is>
          <t>-</t>
        </is>
      </c>
      <c r="H119" s="29" t="n">
        <v>2618326587</v>
      </c>
      <c r="I119" s="425" t="inlineStr">
        <is>
          <t>Approved</t>
        </is>
      </c>
      <c r="J119" s="496" t="n">
        <v>46207</v>
      </c>
      <c r="K119" s="425" t="inlineStr">
        <is>
          <t xml:space="preserve">RAMZ </t>
        </is>
      </c>
      <c r="L119" s="29" t="inlineStr">
        <is>
          <t>-</t>
        </is>
      </c>
      <c r="N119" s="128" t="n"/>
      <c r="O119" s="128" t="n"/>
      <c r="P119" s="128" t="n"/>
      <c r="Q119" s="128" t="n"/>
      <c r="R119" s="128" t="n"/>
      <c r="S119" s="128" t="n"/>
      <c r="T119" s="128" t="n"/>
    </row>
    <row r="120" ht="15.75" customHeight="1">
      <c r="A120" s="429" t="n"/>
      <c r="B120" s="429" t="n"/>
      <c r="C120" s="429" t="n"/>
      <c r="D120" s="429" t="n"/>
      <c r="E120" s="460" t="inlineStr">
        <is>
          <t>Moh Kuraish</t>
        </is>
      </c>
      <c r="F120" s="55" t="inlineStr">
        <is>
          <t>Hard Service</t>
        </is>
      </c>
      <c r="G120" s="425" t="inlineStr">
        <is>
          <t>-</t>
        </is>
      </c>
      <c r="H120" s="29" t="n">
        <v>2620446704</v>
      </c>
      <c r="I120" s="425" t="inlineStr">
        <is>
          <t>Approved</t>
        </is>
      </c>
      <c r="J120" s="496" t="n">
        <v>46207</v>
      </c>
      <c r="K120" s="425" t="inlineStr">
        <is>
          <t xml:space="preserve">RAMZ </t>
        </is>
      </c>
      <c r="L120" s="29" t="inlineStr">
        <is>
          <t>-</t>
        </is>
      </c>
      <c r="N120" s="128" t="n"/>
      <c r="O120" s="128" t="n"/>
      <c r="P120" s="128" t="n"/>
      <c r="Q120" s="128" t="n"/>
      <c r="R120" s="128" t="n"/>
      <c r="S120" s="128" t="n"/>
      <c r="T120" s="128" t="n"/>
    </row>
    <row r="121" ht="15.75" customHeight="1">
      <c r="A121" s="429" t="n"/>
      <c r="B121" s="429" t="n"/>
      <c r="C121" s="429" t="n"/>
      <c r="D121" s="429" t="n"/>
      <c r="E121" s="460" t="inlineStr">
        <is>
          <t>SHAMSHAD AHMAD</t>
        </is>
      </c>
      <c r="F121" s="55" t="inlineStr">
        <is>
          <t>Hard Service</t>
        </is>
      </c>
      <c r="G121" s="425" t="inlineStr">
        <is>
          <t>-</t>
        </is>
      </c>
      <c r="H121" s="29" t="inlineStr">
        <is>
          <t>-</t>
        </is>
      </c>
      <c r="I121" s="425" t="inlineStr">
        <is>
          <t>Approved</t>
        </is>
      </c>
      <c r="J121" s="496" t="n">
        <v>9709</v>
      </c>
      <c r="K121" s="425" t="inlineStr">
        <is>
          <t>-</t>
        </is>
      </c>
      <c r="L121" s="29" t="inlineStr">
        <is>
          <t>-</t>
        </is>
      </c>
      <c r="N121" s="128" t="n"/>
      <c r="O121" s="128" t="n"/>
      <c r="P121" s="128" t="n"/>
      <c r="Q121" s="128" t="n"/>
      <c r="R121" s="128" t="n"/>
      <c r="S121" s="128" t="n"/>
      <c r="T121" s="128" t="n"/>
    </row>
    <row r="122" ht="15.75" customHeight="1">
      <c r="A122" s="429" t="n"/>
      <c r="B122" s="429" t="n"/>
      <c r="C122" s="429" t="n"/>
      <c r="D122" s="429" t="n"/>
      <c r="E122" s="460" t="inlineStr">
        <is>
          <t>MOHAMMAD MUNNA</t>
        </is>
      </c>
      <c r="F122" s="55" t="inlineStr">
        <is>
          <t>Hard Service</t>
        </is>
      </c>
      <c r="G122" s="425" t="inlineStr">
        <is>
          <t>-</t>
        </is>
      </c>
      <c r="H122" s="29" t="inlineStr">
        <is>
          <t>-</t>
        </is>
      </c>
      <c r="I122" s="425" t="inlineStr">
        <is>
          <t>Approved</t>
        </is>
      </c>
      <c r="J122" s="496" t="n">
        <v>9709</v>
      </c>
      <c r="K122" s="425" t="inlineStr">
        <is>
          <t>-</t>
        </is>
      </c>
      <c r="L122" s="29" t="inlineStr">
        <is>
          <t>-</t>
        </is>
      </c>
      <c r="N122" s="128" t="n"/>
      <c r="O122" s="128" t="n"/>
      <c r="P122" s="128" t="n"/>
      <c r="Q122" s="128" t="n"/>
      <c r="R122" s="128" t="n"/>
      <c r="S122" s="128" t="n"/>
      <c r="T122" s="128" t="n"/>
    </row>
    <row r="123" ht="15.75" customHeight="1">
      <c r="A123" s="429" t="n"/>
      <c r="B123" s="429" t="n"/>
      <c r="C123" s="429" t="n"/>
      <c r="D123" s="429" t="n"/>
      <c r="E123" s="460" t="inlineStr">
        <is>
          <t>ZEESHAN AHMAD</t>
        </is>
      </c>
      <c r="F123" s="55" t="inlineStr">
        <is>
          <t>Hard Service</t>
        </is>
      </c>
      <c r="G123" s="425" t="inlineStr">
        <is>
          <t>-</t>
        </is>
      </c>
      <c r="H123" s="29" t="inlineStr">
        <is>
          <t>-</t>
        </is>
      </c>
      <c r="I123" s="425" t="inlineStr">
        <is>
          <t>Approved</t>
        </is>
      </c>
      <c r="J123" s="496" t="n">
        <v>9709</v>
      </c>
      <c r="K123" s="425" t="inlineStr">
        <is>
          <t>-</t>
        </is>
      </c>
      <c r="L123" s="29" t="inlineStr">
        <is>
          <t>-</t>
        </is>
      </c>
      <c r="N123" s="128" t="n"/>
      <c r="O123" s="128" t="n"/>
      <c r="P123" s="128" t="n"/>
      <c r="Q123" s="128" t="n"/>
      <c r="R123" s="128" t="n"/>
      <c r="S123" s="128" t="n"/>
      <c r="T123" s="128" t="n"/>
    </row>
    <row r="124" ht="15.75" customHeight="1">
      <c r="A124" s="431" t="n"/>
      <c r="B124" s="431" t="n"/>
      <c r="C124" s="431" t="n"/>
      <c r="D124" s="431" t="n"/>
      <c r="E124" s="460" t="inlineStr">
        <is>
          <t>MOHAMMAD NAZIM HAIDER</t>
        </is>
      </c>
      <c r="F124" s="55" t="inlineStr">
        <is>
          <t>Hard Service</t>
        </is>
      </c>
      <c r="G124" s="425" t="inlineStr">
        <is>
          <t>-</t>
        </is>
      </c>
      <c r="H124" s="29" t="inlineStr">
        <is>
          <t>-</t>
        </is>
      </c>
      <c r="I124" s="425" t="inlineStr">
        <is>
          <t>Approved</t>
        </is>
      </c>
      <c r="J124" s="496" t="n">
        <v>9709</v>
      </c>
      <c r="K124" s="425" t="inlineStr">
        <is>
          <t>-</t>
        </is>
      </c>
      <c r="L124" s="29" t="inlineStr">
        <is>
          <t>-</t>
        </is>
      </c>
      <c r="N124" s="128" t="n"/>
      <c r="O124" s="128" t="n"/>
      <c r="P124" s="128" t="n"/>
      <c r="Q124" s="128" t="n"/>
      <c r="R124" s="128" t="n"/>
      <c r="S124" s="128" t="n"/>
      <c r="T124" s="128" t="n"/>
    </row>
    <row r="125" ht="15.75" customHeight="1">
      <c r="A125" s="440" t="inlineStr">
        <is>
          <t>Appliance Technician</t>
        </is>
      </c>
      <c r="B125" s="440" t="n">
        <v>2</v>
      </c>
      <c r="C125" s="440">
        <f>COUNTIF(E125:E126,"&lt;&gt;")</f>
        <v/>
      </c>
      <c r="D125" s="441">
        <f>C125-B125</f>
        <v/>
      </c>
      <c r="E125" s="135" t="n"/>
      <c r="F125" s="55" t="inlineStr">
        <is>
          <t>Hard Service</t>
        </is>
      </c>
      <c r="G125" s="425" t="inlineStr">
        <is>
          <t>-</t>
        </is>
      </c>
      <c r="H125" s="29" t="inlineStr">
        <is>
          <t>-</t>
        </is>
      </c>
      <c r="I125" s="425" t="inlineStr">
        <is>
          <t>Vacant</t>
        </is>
      </c>
      <c r="J125" s="499" t="n"/>
      <c r="K125" s="425" t="inlineStr">
        <is>
          <t>-</t>
        </is>
      </c>
      <c r="L125" s="29" t="inlineStr">
        <is>
          <t>-</t>
        </is>
      </c>
      <c r="N125" s="128" t="n"/>
      <c r="O125" s="128" t="n"/>
      <c r="P125" s="128" t="n"/>
      <c r="Q125" s="128" t="n"/>
      <c r="R125" s="128" t="n"/>
      <c r="S125" s="128" t="n"/>
      <c r="T125" s="128" t="n"/>
    </row>
    <row r="126" ht="15.75" customHeight="1">
      <c r="A126" s="431" t="n"/>
      <c r="B126" s="431" t="n"/>
      <c r="C126" s="431" t="n"/>
      <c r="D126" s="431" t="n"/>
      <c r="E126" s="135" t="n"/>
      <c r="F126" s="55" t="inlineStr">
        <is>
          <t>Hard Service</t>
        </is>
      </c>
      <c r="G126" s="425" t="inlineStr">
        <is>
          <t>-</t>
        </is>
      </c>
      <c r="H126" s="29" t="inlineStr">
        <is>
          <t>-</t>
        </is>
      </c>
      <c r="I126" s="425" t="inlineStr">
        <is>
          <t>Vacant</t>
        </is>
      </c>
      <c r="J126" s="499" t="n"/>
      <c r="K126" s="425" t="inlineStr">
        <is>
          <t>-</t>
        </is>
      </c>
      <c r="L126" s="29" t="inlineStr">
        <is>
          <t>-</t>
        </is>
      </c>
      <c r="N126" s="128" t="n"/>
      <c r="O126" s="128" t="n"/>
      <c r="P126" s="128" t="n"/>
      <c r="Q126" s="128" t="n"/>
      <c r="R126" s="128" t="n"/>
      <c r="S126" s="128" t="n"/>
      <c r="T126" s="128" t="n"/>
    </row>
    <row r="127" ht="15.75" customHeight="1">
      <c r="A127" s="470" t="inlineStr">
        <is>
          <t>Warehouse Helper</t>
        </is>
      </c>
      <c r="B127" s="442" t="n">
        <v>2</v>
      </c>
      <c r="C127" s="449">
        <f>COUNTIF(E127:E127,"&lt;&gt;")</f>
        <v/>
      </c>
      <c r="D127" s="432">
        <f>C127-B127</f>
        <v/>
      </c>
      <c r="E127" s="460" t="inlineStr">
        <is>
          <t>Altamash Sah Mobin Alam</t>
        </is>
      </c>
      <c r="F127" s="50" t="inlineStr">
        <is>
          <t>Warehouse</t>
        </is>
      </c>
      <c r="G127" s="460" t="inlineStr">
        <is>
          <t>C00724</t>
        </is>
      </c>
      <c r="H127" s="460" t="n">
        <v>2582692121</v>
      </c>
      <c r="I127" s="425" t="inlineStr">
        <is>
          <t>Approved</t>
        </is>
      </c>
      <c r="J127" s="496" t="n">
        <v>45600</v>
      </c>
      <c r="K127" s="425" t="inlineStr">
        <is>
          <t>MEHAN VISA</t>
        </is>
      </c>
      <c r="L127" s="29" t="inlineStr">
        <is>
          <t>-</t>
        </is>
      </c>
      <c r="N127" s="128" t="n"/>
      <c r="O127" s="128" t="n"/>
      <c r="P127" s="128" t="n"/>
      <c r="Q127" s="128" t="n"/>
      <c r="R127" s="128" t="n"/>
      <c r="S127" s="128" t="n"/>
      <c r="T127" s="128" t="n"/>
    </row>
    <row r="128" ht="15.75" customHeight="1">
      <c r="A128" s="431" t="n"/>
      <c r="B128" s="431" t="n"/>
      <c r="C128" s="431" t="n"/>
      <c r="D128" s="431" t="n"/>
      <c r="E128" s="291" t="n"/>
      <c r="F128" s="50" t="inlineStr">
        <is>
          <t>Warehouse</t>
        </is>
      </c>
      <c r="G128" s="425" t="inlineStr">
        <is>
          <t>-</t>
        </is>
      </c>
      <c r="H128" s="29" t="inlineStr">
        <is>
          <t>-</t>
        </is>
      </c>
      <c r="I128" s="425" t="inlineStr">
        <is>
          <t>Vacant</t>
        </is>
      </c>
      <c r="J128" s="518" t="n"/>
      <c r="K128" s="232" t="n"/>
      <c r="L128" s="29" t="inlineStr">
        <is>
          <t>-</t>
        </is>
      </c>
      <c r="N128" s="128" t="n"/>
      <c r="O128" s="128" t="n"/>
      <c r="P128" s="128" t="n"/>
      <c r="Q128" s="128" t="n"/>
      <c r="R128" s="128" t="n"/>
      <c r="S128" s="128" t="n"/>
      <c r="T128" s="128" t="n"/>
    </row>
    <row r="129" ht="15.75" customHeight="1">
      <c r="A129" s="440" t="inlineStr">
        <is>
          <t>IT Engineer</t>
        </is>
      </c>
      <c r="B129" s="440" t="n">
        <v>2</v>
      </c>
      <c r="C129" s="440">
        <f>COUNTIF(E129:E130,"&lt;&gt;")</f>
        <v/>
      </c>
      <c r="D129" s="441">
        <f>C129-B129</f>
        <v/>
      </c>
      <c r="E129" s="460" t="inlineStr">
        <is>
          <t>MD IBRAHEEM</t>
        </is>
      </c>
      <c r="F129" s="55" t="inlineStr">
        <is>
          <t>IT</t>
        </is>
      </c>
      <c r="G129" s="139" t="inlineStr">
        <is>
          <t>EM-0004161</t>
        </is>
      </c>
      <c r="H129" s="139" t="n">
        <v>2643189182</v>
      </c>
      <c r="I129" s="425" t="inlineStr">
        <is>
          <t>Approved</t>
        </is>
      </c>
      <c r="J129" s="496" t="n">
        <v>46245</v>
      </c>
      <c r="K129" s="425" t="inlineStr">
        <is>
          <t>AL-FALAK VISA</t>
        </is>
      </c>
      <c r="L129" s="29" t="inlineStr">
        <is>
          <t>-</t>
        </is>
      </c>
      <c r="N129" s="128" t="n"/>
      <c r="O129" s="128" t="n"/>
      <c r="P129" s="128" t="n"/>
      <c r="Q129" s="128" t="n"/>
      <c r="R129" s="128" t="n"/>
      <c r="S129" s="128" t="n"/>
      <c r="T129" s="128" t="n"/>
    </row>
    <row r="130" ht="15.75" customHeight="1">
      <c r="A130" s="431" t="n"/>
      <c r="B130" s="431" t="n"/>
      <c r="C130" s="431" t="n"/>
      <c r="D130" s="431" t="n"/>
      <c r="E130" s="135" t="n"/>
      <c r="F130" s="55" t="inlineStr">
        <is>
          <t>IT</t>
        </is>
      </c>
      <c r="G130" s="460" t="inlineStr">
        <is>
          <t>-</t>
        </is>
      </c>
      <c r="H130" s="460" t="inlineStr">
        <is>
          <t>-</t>
        </is>
      </c>
      <c r="I130" s="425" t="inlineStr">
        <is>
          <t>Vacant</t>
        </is>
      </c>
      <c r="J130" s="499" t="n"/>
      <c r="K130" s="425" t="inlineStr">
        <is>
          <t>-</t>
        </is>
      </c>
      <c r="L130" s="29" t="inlineStr">
        <is>
          <t>-</t>
        </is>
      </c>
      <c r="N130" s="128" t="n"/>
      <c r="O130" s="128" t="n"/>
      <c r="P130" s="128" t="n"/>
      <c r="Q130" s="128" t="n"/>
      <c r="R130" s="128" t="n"/>
      <c r="S130" s="128" t="n"/>
      <c r="T130" s="128" t="n"/>
    </row>
    <row r="131" ht="15.75" customHeight="1">
      <c r="A131" s="440" t="inlineStr">
        <is>
          <t>LV Techncian (CCTV/IT)</t>
        </is>
      </c>
      <c r="B131" s="440" t="n">
        <v>2</v>
      </c>
      <c r="C131" s="440">
        <f>COUNTIF(E131:E132,"&lt;&gt;")</f>
        <v/>
      </c>
      <c r="D131" s="441">
        <f>C131-B131</f>
        <v/>
      </c>
      <c r="E131" s="460" t="inlineStr">
        <is>
          <t xml:space="preserve">Muhammad Rizwan </t>
        </is>
      </c>
      <c r="F131" s="161" t="inlineStr">
        <is>
          <t>Hard Service</t>
        </is>
      </c>
      <c r="G131" s="161" t="n">
        <v>703357</v>
      </c>
      <c r="H131" s="161" t="n">
        <v>2580806681</v>
      </c>
      <c r="I131" s="425" t="inlineStr">
        <is>
          <t>Approved</t>
        </is>
      </c>
      <c r="J131" s="496" t="n">
        <v>46090</v>
      </c>
      <c r="K131" s="161" t="inlineStr">
        <is>
          <t>FMCO VISA</t>
        </is>
      </c>
      <c r="L131" s="29" t="inlineStr">
        <is>
          <t>-</t>
        </is>
      </c>
      <c r="N131" s="128" t="n"/>
      <c r="O131" s="128" t="n"/>
      <c r="P131" s="128" t="n"/>
      <c r="Q131" s="128" t="n"/>
      <c r="R131" s="128" t="n"/>
      <c r="S131" s="128" t="n"/>
      <c r="T131" s="128" t="n"/>
    </row>
    <row r="132" ht="15.75" customHeight="1">
      <c r="A132" s="431" t="n"/>
      <c r="B132" s="431" t="n"/>
      <c r="C132" s="431" t="n"/>
      <c r="D132" s="431" t="n"/>
      <c r="E132" s="460" t="inlineStr">
        <is>
          <t>Syed Mohd Ghulam Suhaib</t>
        </is>
      </c>
      <c r="F132" s="55" t="inlineStr">
        <is>
          <t>IT</t>
        </is>
      </c>
      <c r="G132" s="460" t="inlineStr">
        <is>
          <t>EM-0002682</t>
        </is>
      </c>
      <c r="H132" s="460" t="n">
        <v>2586129179</v>
      </c>
      <c r="I132" s="425" t="inlineStr">
        <is>
          <t>Approved</t>
        </is>
      </c>
      <c r="J132" s="496" t="n">
        <v>45586</v>
      </c>
      <c r="K132" s="425" t="inlineStr">
        <is>
          <t>AL-FALAK VISA</t>
        </is>
      </c>
      <c r="L132" s="29" t="inlineStr">
        <is>
          <t>-</t>
        </is>
      </c>
      <c r="N132" s="128" t="n"/>
      <c r="O132" s="128" t="n"/>
      <c r="P132" s="128" t="n"/>
      <c r="Q132" s="128" t="n"/>
      <c r="R132" s="128" t="n"/>
      <c r="S132" s="128" t="n"/>
      <c r="T132" s="128" t="n"/>
    </row>
    <row r="133" ht="15.75" customHeight="1">
      <c r="A133" s="440" t="inlineStr">
        <is>
          <t>Civil Supervisor</t>
        </is>
      </c>
      <c r="B133" s="440" t="n">
        <v>2</v>
      </c>
      <c r="C133" s="440">
        <f>COUNTIF(E133:E134,"&lt;&gt;")</f>
        <v/>
      </c>
      <c r="D133" s="441">
        <f>C133-B133</f>
        <v/>
      </c>
      <c r="E133" s="460" t="inlineStr">
        <is>
          <t>Zeeshan Feroz Alam Shaikh</t>
        </is>
      </c>
      <c r="F133" s="55" t="inlineStr">
        <is>
          <t>Hard Service</t>
        </is>
      </c>
      <c r="G133" s="460" t="n">
        <v>703029</v>
      </c>
      <c r="H133" s="460" t="n">
        <v>2568127258</v>
      </c>
      <c r="I133" s="425" t="inlineStr">
        <is>
          <t>Approved</t>
        </is>
      </c>
      <c r="J133" s="496" t="n">
        <v>45472</v>
      </c>
      <c r="K133" s="425" t="inlineStr">
        <is>
          <t>FMCO</t>
        </is>
      </c>
      <c r="L133" s="29" t="inlineStr">
        <is>
          <t>-</t>
        </is>
      </c>
      <c r="N133" s="128" t="n"/>
      <c r="O133" s="128" t="n"/>
      <c r="P133" s="128" t="n"/>
      <c r="Q133" s="128" t="n"/>
      <c r="R133" s="128" t="n"/>
      <c r="S133" s="128" t="n"/>
      <c r="T133" s="128" t="n"/>
    </row>
    <row r="134" ht="15.75" customHeight="1">
      <c r="A134" s="431" t="n"/>
      <c r="B134" s="431" t="n"/>
      <c r="C134" s="431" t="n"/>
      <c r="D134" s="431" t="n"/>
      <c r="E134" s="460" t="inlineStr">
        <is>
          <t>Seenithambi Anvar Niyas</t>
        </is>
      </c>
      <c r="F134" s="55" t="inlineStr">
        <is>
          <t>Hard Service</t>
        </is>
      </c>
      <c r="G134" s="460" t="n">
        <v>703225</v>
      </c>
      <c r="H134" s="460" t="n">
        <v>2578893246</v>
      </c>
      <c r="I134" s="425" t="inlineStr">
        <is>
          <t>Approved</t>
        </is>
      </c>
      <c r="J134" s="496" t="n">
        <v>45491</v>
      </c>
      <c r="K134" s="425" t="inlineStr">
        <is>
          <t>FMCO</t>
        </is>
      </c>
      <c r="L134" s="29" t="inlineStr">
        <is>
          <t>-</t>
        </is>
      </c>
      <c r="N134" s="128" t="n"/>
      <c r="O134" s="128" t="n"/>
      <c r="P134" s="128" t="n"/>
      <c r="Q134" s="128" t="n"/>
      <c r="R134" s="128" t="n"/>
      <c r="S134" s="128" t="n"/>
      <c r="T134" s="128" t="n"/>
    </row>
    <row r="135" ht="15.75" customHeight="1">
      <c r="A135" s="440" t="inlineStr">
        <is>
          <t>Mason</t>
        </is>
      </c>
      <c r="B135" s="440" t="n">
        <v>2</v>
      </c>
      <c r="C135" s="440">
        <f>COUNTIF(E135:E136,"&lt;&gt;")</f>
        <v/>
      </c>
      <c r="D135" s="441">
        <f>C135-B135</f>
        <v/>
      </c>
      <c r="E135" s="460" t="inlineStr">
        <is>
          <t>Mohammad Tanweer Ansari</t>
        </is>
      </c>
      <c r="F135" s="55" t="inlineStr">
        <is>
          <t>Hard Service</t>
        </is>
      </c>
      <c r="G135" s="460" t="inlineStr">
        <is>
          <t>EM-0002690</t>
        </is>
      </c>
      <c r="H135" s="460" t="n">
        <v>2586437366</v>
      </c>
      <c r="I135" s="425" t="inlineStr">
        <is>
          <t>Approved</t>
        </is>
      </c>
      <c r="J135" s="496" t="n">
        <v>45599</v>
      </c>
      <c r="K135" s="425" t="inlineStr">
        <is>
          <t>AL-FALAK VISA</t>
        </is>
      </c>
      <c r="L135" s="29" t="inlineStr">
        <is>
          <t>-</t>
        </is>
      </c>
      <c r="N135" s="128" t="n"/>
      <c r="O135" s="128" t="n"/>
      <c r="P135" s="128" t="n"/>
      <c r="Q135" s="128" t="n"/>
      <c r="R135" s="128" t="n"/>
      <c r="S135" s="128" t="n"/>
      <c r="T135" s="128" t="n"/>
    </row>
    <row r="136" ht="15.75" customHeight="1">
      <c r="A136" s="431" t="n"/>
      <c r="B136" s="431" t="n"/>
      <c r="C136" s="431" t="n"/>
      <c r="D136" s="431" t="n"/>
      <c r="E136" s="460" t="inlineStr">
        <is>
          <t>Pir Zada</t>
        </is>
      </c>
      <c r="F136" s="55" t="inlineStr">
        <is>
          <t>Hard Service</t>
        </is>
      </c>
      <c r="G136" s="460" t="inlineStr">
        <is>
          <t>C00706</t>
        </is>
      </c>
      <c r="H136" s="460" t="n">
        <v>2582098527</v>
      </c>
      <c r="I136" s="425" t="inlineStr">
        <is>
          <t>Approved</t>
        </is>
      </c>
      <c r="J136" s="496" t="n">
        <v>46101</v>
      </c>
      <c r="K136" s="425" t="inlineStr">
        <is>
          <t>MEHAN VISA</t>
        </is>
      </c>
      <c r="L136" s="29" t="inlineStr">
        <is>
          <t>-</t>
        </is>
      </c>
      <c r="N136" s="128" t="n"/>
      <c r="O136" s="128" t="n"/>
      <c r="P136" s="128" t="n"/>
      <c r="Q136" s="128" t="n"/>
      <c r="R136" s="128" t="n"/>
      <c r="S136" s="128" t="n"/>
      <c r="T136" s="128" t="n"/>
    </row>
    <row r="137" ht="15.75" customHeight="1">
      <c r="A137" s="440" t="inlineStr">
        <is>
          <t>Carpenter</t>
        </is>
      </c>
      <c r="B137" s="440" t="n">
        <v>8</v>
      </c>
      <c r="C137" s="440">
        <f>COUNTIF(E137:E144,"&lt;&gt;")</f>
        <v/>
      </c>
      <c r="D137" s="441">
        <f>C137-B137</f>
        <v/>
      </c>
      <c r="E137" s="460" t="inlineStr">
        <is>
          <t xml:space="preserve">MD Yoegkorun </t>
        </is>
      </c>
      <c r="F137" s="55" t="inlineStr">
        <is>
          <t>Hard Service</t>
        </is>
      </c>
      <c r="G137" s="139" t="inlineStr">
        <is>
          <t>-</t>
        </is>
      </c>
      <c r="H137" s="139" t="n">
        <v>2626491563</v>
      </c>
      <c r="I137" s="425" t="inlineStr">
        <is>
          <t>Approved</t>
        </is>
      </c>
      <c r="J137" s="162" t="n">
        <v>46210</v>
      </c>
      <c r="K137" s="139" t="inlineStr">
        <is>
          <t>AB-HOOR</t>
        </is>
      </c>
      <c r="L137" s="29" t="inlineStr">
        <is>
          <t>-</t>
        </is>
      </c>
      <c r="N137" s="128" t="n"/>
      <c r="O137" s="128" t="n"/>
      <c r="P137" s="128" t="n"/>
      <c r="Q137" s="128" t="n"/>
      <c r="R137" s="128" t="n"/>
      <c r="S137" s="128" t="n"/>
      <c r="T137" s="128" t="n"/>
    </row>
    <row r="138" ht="15.75" customHeight="1">
      <c r="A138" s="429" t="n"/>
      <c r="B138" s="429" t="n"/>
      <c r="C138" s="429" t="n"/>
      <c r="D138" s="429" t="n"/>
      <c r="E138" s="460" t="inlineStr">
        <is>
          <t>KURBAN KHAN</t>
        </is>
      </c>
      <c r="F138" s="55" t="inlineStr">
        <is>
          <t>Hard Service</t>
        </is>
      </c>
      <c r="G138" s="29" t="inlineStr">
        <is>
          <t>-</t>
        </is>
      </c>
      <c r="H138" s="29" t="inlineStr">
        <is>
          <t>-</t>
        </is>
      </c>
      <c r="I138" s="425" t="inlineStr">
        <is>
          <t>Approved</t>
        </is>
      </c>
      <c r="J138" s="496" t="n">
        <v>46239</v>
      </c>
      <c r="K138" s="425" t="inlineStr">
        <is>
          <t>-</t>
        </is>
      </c>
      <c r="L138" s="29" t="inlineStr">
        <is>
          <t>-</t>
        </is>
      </c>
      <c r="N138" s="128" t="n"/>
      <c r="O138" s="128" t="n"/>
      <c r="P138" s="128" t="n"/>
      <c r="Q138" s="128" t="n"/>
      <c r="R138" s="128" t="n"/>
      <c r="S138" s="128" t="n"/>
      <c r="T138" s="128" t="n"/>
    </row>
    <row r="139" ht="15.75" customHeight="1">
      <c r="A139" s="429" t="n"/>
      <c r="B139" s="429" t="n"/>
      <c r="C139" s="429" t="n"/>
      <c r="D139" s="429" t="n"/>
      <c r="E139" s="135" t="inlineStr">
        <is>
          <t>MD MINHAZ UDDIN</t>
        </is>
      </c>
      <c r="F139" s="55" t="inlineStr">
        <is>
          <t>Hard Service</t>
        </is>
      </c>
      <c r="G139" s="29" t="inlineStr">
        <is>
          <t>EM-0004118</t>
        </is>
      </c>
      <c r="H139" s="29" t="inlineStr">
        <is>
          <t>2643066687</t>
        </is>
      </c>
      <c r="I139" s="425" t="inlineStr">
        <is>
          <t>Approved</t>
        </is>
      </c>
      <c r="J139" s="499" t="n">
        <v>46249</v>
      </c>
      <c r="K139" s="425" t="inlineStr">
        <is>
          <t>AL-FALAK VISA</t>
        </is>
      </c>
      <c r="L139" s="29" t="n"/>
      <c r="N139" s="128" t="n"/>
      <c r="O139" s="128" t="n"/>
      <c r="P139" s="128" t="n"/>
      <c r="Q139" s="128" t="n"/>
      <c r="R139" s="128" t="n"/>
      <c r="S139" s="128" t="n"/>
      <c r="T139" s="128" t="n"/>
    </row>
    <row r="140" ht="15.75" customHeight="1">
      <c r="A140" s="429" t="n"/>
      <c r="B140" s="429" t="n"/>
      <c r="C140" s="429" t="n"/>
      <c r="D140" s="429" t="n"/>
      <c r="E140" s="135" t="n"/>
      <c r="F140" s="55" t="inlineStr">
        <is>
          <t>Hard Service</t>
        </is>
      </c>
      <c r="G140" s="29" t="inlineStr">
        <is>
          <t>-</t>
        </is>
      </c>
      <c r="H140" s="29" t="inlineStr">
        <is>
          <t>-</t>
        </is>
      </c>
      <c r="I140" s="425" t="inlineStr">
        <is>
          <t>Vacant</t>
        </is>
      </c>
      <c r="J140" s="499" t="n"/>
      <c r="K140" s="425" t="inlineStr">
        <is>
          <t>-</t>
        </is>
      </c>
      <c r="L140" s="29" t="inlineStr">
        <is>
          <t>-</t>
        </is>
      </c>
      <c r="N140" s="128" t="n"/>
      <c r="O140" s="128" t="n"/>
      <c r="P140" s="128" t="n"/>
      <c r="Q140" s="128" t="n"/>
      <c r="R140" s="128" t="n"/>
      <c r="S140" s="128" t="n"/>
      <c r="T140" s="128" t="n"/>
    </row>
    <row r="141" ht="15.75" customHeight="1">
      <c r="A141" s="429" t="n"/>
      <c r="B141" s="429" t="n"/>
      <c r="C141" s="429" t="n"/>
      <c r="D141" s="429" t="n"/>
      <c r="E141" s="135" t="n"/>
      <c r="F141" s="55" t="inlineStr">
        <is>
          <t>Hard Service</t>
        </is>
      </c>
      <c r="G141" s="29" t="inlineStr">
        <is>
          <t>-</t>
        </is>
      </c>
      <c r="H141" s="29" t="inlineStr">
        <is>
          <t>-</t>
        </is>
      </c>
      <c r="I141" s="425" t="inlineStr">
        <is>
          <t>Vacant</t>
        </is>
      </c>
      <c r="J141" s="499" t="n"/>
      <c r="K141" s="425" t="inlineStr">
        <is>
          <t>-</t>
        </is>
      </c>
      <c r="L141" s="29" t="inlineStr">
        <is>
          <t>-</t>
        </is>
      </c>
      <c r="N141" s="128" t="n"/>
      <c r="O141" s="128" t="n"/>
      <c r="P141" s="128" t="n"/>
      <c r="Q141" s="128" t="n"/>
      <c r="R141" s="128" t="n"/>
      <c r="S141" s="128" t="n"/>
      <c r="T141" s="128" t="n"/>
    </row>
    <row r="142" ht="15.75" customHeight="1">
      <c r="A142" s="429" t="n"/>
      <c r="B142" s="429" t="n"/>
      <c r="C142" s="429" t="n"/>
      <c r="D142" s="429" t="n"/>
      <c r="E142" s="135" t="n"/>
      <c r="F142" s="55" t="inlineStr">
        <is>
          <t>Hard Service</t>
        </is>
      </c>
      <c r="G142" s="425" t="inlineStr">
        <is>
          <t>-</t>
        </is>
      </c>
      <c r="H142" s="29" t="inlineStr">
        <is>
          <t>-</t>
        </is>
      </c>
      <c r="I142" s="425" t="inlineStr">
        <is>
          <t>Vacant</t>
        </is>
      </c>
      <c r="J142" s="499" t="n"/>
      <c r="K142" s="425" t="inlineStr">
        <is>
          <t>-</t>
        </is>
      </c>
      <c r="L142" s="29" t="inlineStr">
        <is>
          <t>-</t>
        </is>
      </c>
      <c r="N142" s="128" t="n"/>
      <c r="O142" s="128" t="n"/>
      <c r="P142" s="128" t="n"/>
      <c r="Q142" s="128" t="n"/>
      <c r="R142" s="128" t="n"/>
      <c r="S142" s="128" t="n"/>
      <c r="T142" s="128" t="n"/>
    </row>
    <row r="143" ht="15.75" customHeight="1">
      <c r="A143" s="429" t="n"/>
      <c r="B143" s="429" t="n"/>
      <c r="C143" s="429" t="n"/>
      <c r="D143" s="429" t="n"/>
      <c r="E143" s="135" t="n"/>
      <c r="F143" s="55" t="inlineStr">
        <is>
          <t>Hard Service</t>
        </is>
      </c>
      <c r="G143" s="425" t="inlineStr">
        <is>
          <t>-</t>
        </is>
      </c>
      <c r="H143" s="29" t="inlineStr">
        <is>
          <t>-</t>
        </is>
      </c>
      <c r="I143" s="425" t="inlineStr">
        <is>
          <t>Vacant</t>
        </is>
      </c>
      <c r="J143" s="499" t="n"/>
      <c r="K143" s="425" t="inlineStr">
        <is>
          <t>-</t>
        </is>
      </c>
      <c r="L143" s="29" t="inlineStr">
        <is>
          <t>-</t>
        </is>
      </c>
      <c r="N143" s="128" t="n"/>
      <c r="O143" s="128" t="n"/>
      <c r="P143" s="128" t="n"/>
      <c r="Q143" s="128" t="n"/>
      <c r="R143" s="128" t="n"/>
      <c r="S143" s="128" t="n"/>
      <c r="T143" s="128" t="n"/>
    </row>
    <row r="144" ht="15.75" customHeight="1">
      <c r="A144" s="431" t="n"/>
      <c r="B144" s="431" t="n"/>
      <c r="C144" s="431" t="n"/>
      <c r="D144" s="431" t="n"/>
      <c r="E144" s="135" t="n"/>
      <c r="F144" s="55" t="inlineStr">
        <is>
          <t>Hard Service</t>
        </is>
      </c>
      <c r="G144" s="425" t="inlineStr">
        <is>
          <t>-</t>
        </is>
      </c>
      <c r="H144" s="29" t="inlineStr">
        <is>
          <t>-</t>
        </is>
      </c>
      <c r="I144" s="425" t="inlineStr">
        <is>
          <t>Vacant</t>
        </is>
      </c>
      <c r="J144" s="499" t="n"/>
      <c r="K144" s="425" t="inlineStr">
        <is>
          <t>-</t>
        </is>
      </c>
      <c r="L144" s="29" t="inlineStr">
        <is>
          <t>-</t>
        </is>
      </c>
      <c r="N144" s="128" t="n"/>
      <c r="O144" s="128" t="n"/>
      <c r="P144" s="128" t="n"/>
      <c r="Q144" s="128" t="n"/>
      <c r="R144" s="128" t="n"/>
      <c r="S144" s="128" t="n"/>
      <c r="T144" s="128" t="n"/>
    </row>
    <row r="145" ht="15.75" customHeight="1">
      <c r="A145" s="440" t="inlineStr">
        <is>
          <t>Painter/Handyman (Civil)</t>
        </is>
      </c>
      <c r="B145" s="440" t="n">
        <v>4</v>
      </c>
      <c r="C145" s="440">
        <f>COUNTIF(E145:E148,"&lt;&gt;")</f>
        <v/>
      </c>
      <c r="D145" s="441">
        <f>C145-B145</f>
        <v/>
      </c>
      <c r="E145" s="460" t="inlineStr">
        <is>
          <t>MD ALAM</t>
        </is>
      </c>
      <c r="F145" s="55" t="inlineStr">
        <is>
          <t>Hard Service</t>
        </is>
      </c>
      <c r="G145" s="460" t="inlineStr">
        <is>
          <t>-</t>
        </is>
      </c>
      <c r="H145" s="460" t="inlineStr">
        <is>
          <t>-</t>
        </is>
      </c>
      <c r="I145" s="425" t="inlineStr">
        <is>
          <t>Approved</t>
        </is>
      </c>
      <c r="J145" s="496" t="n">
        <v>9709</v>
      </c>
      <c r="K145" s="425" t="inlineStr">
        <is>
          <t>-</t>
        </is>
      </c>
      <c r="L145" s="29" t="inlineStr">
        <is>
          <t>-</t>
        </is>
      </c>
      <c r="N145" s="128" t="n"/>
      <c r="O145" s="128" t="n"/>
      <c r="P145" s="128" t="n"/>
      <c r="Q145" s="128" t="n"/>
      <c r="R145" s="128" t="n"/>
      <c r="S145" s="128" t="n"/>
      <c r="T145" s="128" t="n"/>
    </row>
    <row r="146" ht="15.75" customHeight="1">
      <c r="A146" s="429" t="n"/>
      <c r="B146" s="429" t="n"/>
      <c r="C146" s="429" t="n"/>
      <c r="D146" s="429" t="n"/>
      <c r="E146" s="460" t="inlineStr">
        <is>
          <t>Md Shahid</t>
        </is>
      </c>
      <c r="F146" s="55" t="inlineStr">
        <is>
          <t>Hard Service</t>
        </is>
      </c>
      <c r="G146" s="460" t="inlineStr">
        <is>
          <t>-</t>
        </is>
      </c>
      <c r="H146" s="460" t="n">
        <v>2573558505</v>
      </c>
      <c r="I146" s="425" t="inlineStr">
        <is>
          <t>Approved</t>
        </is>
      </c>
      <c r="J146" s="496" t="n">
        <v>46149</v>
      </c>
      <c r="K146" s="425" t="inlineStr">
        <is>
          <t>AL-SHARQIYA RENTAL</t>
        </is>
      </c>
      <c r="L146" s="29" t="inlineStr">
        <is>
          <t>-</t>
        </is>
      </c>
      <c r="N146" s="128" t="n"/>
      <c r="O146" s="128" t="n"/>
      <c r="P146" s="128" t="n"/>
      <c r="Q146" s="128" t="n"/>
      <c r="R146" s="128" t="n"/>
      <c r="S146" s="128" t="n"/>
      <c r="T146" s="128" t="n"/>
    </row>
    <row r="147" ht="15.75" customHeight="1">
      <c r="A147" s="429" t="n"/>
      <c r="B147" s="429" t="n"/>
      <c r="C147" s="429" t="n"/>
      <c r="D147" s="429" t="n"/>
      <c r="E147" s="460" t="inlineStr">
        <is>
          <t>Md Abdul Awal</t>
        </is>
      </c>
      <c r="F147" s="55" t="inlineStr">
        <is>
          <t>Hard Service</t>
        </is>
      </c>
      <c r="G147" s="460" t="inlineStr">
        <is>
          <t>-</t>
        </is>
      </c>
      <c r="H147" s="460" t="n">
        <v>2585976711</v>
      </c>
      <c r="I147" s="425" t="inlineStr">
        <is>
          <t>Approved</t>
        </is>
      </c>
      <c r="J147" s="496" t="n">
        <v>46151</v>
      </c>
      <c r="K147" s="425" t="inlineStr">
        <is>
          <t>AL-SHARQIYA RENTAL</t>
        </is>
      </c>
      <c r="L147" s="29" t="inlineStr">
        <is>
          <t>-</t>
        </is>
      </c>
      <c r="N147" s="128" t="n"/>
      <c r="O147" s="128" t="n"/>
      <c r="P147" s="128" t="n"/>
      <c r="Q147" s="128" t="n"/>
      <c r="R147" s="128" t="n"/>
      <c r="S147" s="128" t="n"/>
      <c r="T147" s="128" t="n"/>
    </row>
    <row r="148" ht="15.75" customHeight="1">
      <c r="A148" s="431" t="n"/>
      <c r="B148" s="431" t="n"/>
      <c r="C148" s="431" t="n"/>
      <c r="D148" s="431" t="n"/>
      <c r="E148" s="460" t="inlineStr">
        <is>
          <t>Muhammad Mohsin</t>
        </is>
      </c>
      <c r="F148" s="55" t="inlineStr">
        <is>
          <t>Hard Service</t>
        </is>
      </c>
      <c r="G148" s="139" t="inlineStr">
        <is>
          <t>-</t>
        </is>
      </c>
      <c r="H148" s="157" t="n">
        <v>2533301764</v>
      </c>
      <c r="I148" s="425" t="inlineStr">
        <is>
          <t>Approved</t>
        </is>
      </c>
      <c r="J148" s="162" t="n">
        <v>46208</v>
      </c>
      <c r="K148" s="158" t="inlineStr">
        <is>
          <t>AB-HOOR</t>
        </is>
      </c>
      <c r="L148" s="29" t="inlineStr">
        <is>
          <t>-</t>
        </is>
      </c>
      <c r="N148" s="128" t="n"/>
      <c r="O148" s="128" t="n"/>
      <c r="P148" s="128" t="n"/>
      <c r="Q148" s="128" t="n"/>
      <c r="R148" s="128" t="n"/>
      <c r="S148" s="128" t="n"/>
      <c r="T148" s="128" t="n"/>
    </row>
    <row r="149" ht="15.75" customHeight="1">
      <c r="A149" s="440" t="inlineStr">
        <is>
          <t>STP Supervisor</t>
        </is>
      </c>
      <c r="B149" s="440" t="n">
        <v>2</v>
      </c>
      <c r="C149" s="440">
        <f>COUNTIF(E149:E150,"&lt;&gt;")</f>
        <v/>
      </c>
      <c r="D149" s="441">
        <f>C149-B149</f>
        <v/>
      </c>
      <c r="E149" s="460" t="inlineStr">
        <is>
          <t>Mizanur Rahman</t>
        </is>
      </c>
      <c r="F149" s="55" t="inlineStr">
        <is>
          <t>Hard Service</t>
        </is>
      </c>
      <c r="G149" s="460" t="n">
        <v>704278</v>
      </c>
      <c r="H149" s="460" t="n">
        <v>2637910619</v>
      </c>
      <c r="I149" s="425" t="inlineStr">
        <is>
          <t>Approved</t>
        </is>
      </c>
      <c r="J149" s="496" t="n">
        <v>46176</v>
      </c>
      <c r="K149" s="425" t="inlineStr">
        <is>
          <t>FMCO</t>
        </is>
      </c>
      <c r="L149" s="29" t="inlineStr">
        <is>
          <t>-</t>
        </is>
      </c>
      <c r="N149" s="128" t="n"/>
      <c r="O149" s="128" t="n"/>
      <c r="P149" s="128" t="n"/>
      <c r="Q149" s="128" t="n"/>
      <c r="R149" s="128" t="n"/>
      <c r="S149" s="128" t="n"/>
      <c r="T149" s="128" t="n"/>
    </row>
    <row r="150" ht="15.75" customHeight="1">
      <c r="A150" s="431" t="n"/>
      <c r="B150" s="431" t="n"/>
      <c r="C150" s="431" t="n"/>
      <c r="D150" s="431" t="n"/>
      <c r="E150" s="460" t="inlineStr">
        <is>
          <t>NAUMAN AHMAD</t>
        </is>
      </c>
      <c r="F150" s="55" t="inlineStr">
        <is>
          <t>Hard Service</t>
        </is>
      </c>
      <c r="G150" s="460" t="inlineStr">
        <is>
          <t>-</t>
        </is>
      </c>
      <c r="H150" s="460" t="inlineStr">
        <is>
          <t>-</t>
        </is>
      </c>
      <c r="I150" s="425" t="inlineStr">
        <is>
          <t>Approved</t>
        </is>
      </c>
      <c r="J150" s="496" t="n">
        <v>46241</v>
      </c>
      <c r="K150" s="425" t="inlineStr">
        <is>
          <t>-</t>
        </is>
      </c>
      <c r="L150" s="29" t="inlineStr">
        <is>
          <t>-</t>
        </is>
      </c>
      <c r="N150" s="128" t="n"/>
      <c r="O150" s="128" t="n"/>
      <c r="P150" s="128" t="n"/>
      <c r="Q150" s="128" t="n"/>
      <c r="R150" s="128" t="n"/>
      <c r="S150" s="128" t="n"/>
      <c r="T150" s="128" t="n"/>
    </row>
    <row r="151" ht="15.75" customHeight="1">
      <c r="A151" s="440" t="inlineStr">
        <is>
          <t>STP Operator</t>
        </is>
      </c>
      <c r="B151" s="440" t="n">
        <v>4</v>
      </c>
      <c r="C151" s="440">
        <f>COUNTIF(E151:E154,"&lt;&gt;")</f>
        <v/>
      </c>
      <c r="D151" s="441">
        <f>C151-B151</f>
        <v/>
      </c>
      <c r="E151" s="460" t="inlineStr">
        <is>
          <t xml:space="preserve">Jahangir Khan </t>
        </is>
      </c>
      <c r="F151" s="55" t="inlineStr">
        <is>
          <t>Hard Service</t>
        </is>
      </c>
      <c r="G151" s="163" t="inlineStr">
        <is>
          <t>E-022-852</t>
        </is>
      </c>
      <c r="H151" s="163" t="n">
        <v>2586787422</v>
      </c>
      <c r="I151" s="425" t="inlineStr">
        <is>
          <t>Approved</t>
        </is>
      </c>
      <c r="J151" s="496" t="n">
        <v>45586</v>
      </c>
      <c r="K151" s="425" t="inlineStr">
        <is>
          <t>TALENT VISA</t>
        </is>
      </c>
      <c r="L151" s="29" t="inlineStr">
        <is>
          <t>-</t>
        </is>
      </c>
      <c r="N151" s="128" t="n"/>
      <c r="O151" s="128" t="n"/>
      <c r="P151" s="128" t="n"/>
      <c r="Q151" s="128" t="n"/>
      <c r="R151" s="128" t="n"/>
      <c r="S151" s="128" t="n"/>
      <c r="T151" s="128" t="n"/>
    </row>
    <row r="152" ht="15.75" customHeight="1">
      <c r="A152" s="429" t="n"/>
      <c r="B152" s="429" t="n"/>
      <c r="C152" s="429" t="n"/>
      <c r="D152" s="429" t="n"/>
      <c r="E152" s="460" t="inlineStr">
        <is>
          <t>Md Saif Ali Khan</t>
        </is>
      </c>
      <c r="F152" s="55" t="inlineStr">
        <is>
          <t>Hard Service</t>
        </is>
      </c>
      <c r="G152" s="164" t="n">
        <v>704279</v>
      </c>
      <c r="H152" s="165" t="n">
        <v>2637910817</v>
      </c>
      <c r="I152" s="425" t="inlineStr">
        <is>
          <t>Approved</t>
        </is>
      </c>
      <c r="J152" s="496" t="n">
        <v>46176</v>
      </c>
      <c r="K152" s="425" t="inlineStr">
        <is>
          <t>FMCO</t>
        </is>
      </c>
      <c r="L152" s="29" t="inlineStr">
        <is>
          <t>-</t>
        </is>
      </c>
      <c r="N152" s="128" t="n"/>
      <c r="O152" s="128" t="n"/>
      <c r="P152" s="128" t="n"/>
      <c r="Q152" s="128" t="n"/>
      <c r="R152" s="128" t="n"/>
      <c r="S152" s="128" t="n"/>
      <c r="T152" s="128" t="n"/>
    </row>
    <row r="153" ht="15.75" customHeight="1">
      <c r="A153" s="429" t="n"/>
      <c r="B153" s="429" t="n"/>
      <c r="C153" s="429" t="n"/>
      <c r="D153" s="429" t="n"/>
      <c r="E153" s="460" t="inlineStr">
        <is>
          <t>Sharfaraz Iqbal</t>
        </is>
      </c>
      <c r="F153" s="55" t="inlineStr">
        <is>
          <t>Hard Service</t>
        </is>
      </c>
      <c r="G153" s="164" t="n">
        <v>704280</v>
      </c>
      <c r="H153" s="165" t="n">
        <v>2637910908</v>
      </c>
      <c r="I153" s="425" t="inlineStr">
        <is>
          <t>Approved</t>
        </is>
      </c>
      <c r="J153" s="496" t="n">
        <v>46176</v>
      </c>
      <c r="K153" s="425" t="inlineStr">
        <is>
          <t>FMCO</t>
        </is>
      </c>
      <c r="L153" s="29" t="inlineStr">
        <is>
          <t>-</t>
        </is>
      </c>
      <c r="N153" s="128" t="n"/>
      <c r="O153" s="128" t="n"/>
      <c r="P153" s="128" t="n"/>
      <c r="Q153" s="128" t="n"/>
      <c r="R153" s="128" t="n"/>
      <c r="S153" s="128" t="n"/>
      <c r="T153" s="128" t="n"/>
    </row>
    <row r="154" ht="15.75" customHeight="1">
      <c r="A154" s="431" t="n"/>
      <c r="B154" s="431" t="n"/>
      <c r="C154" s="431" t="n"/>
      <c r="D154" s="431" t="n"/>
      <c r="E154" s="460" t="inlineStr">
        <is>
          <t>VISHAL YADAV</t>
        </is>
      </c>
      <c r="F154" s="55" t="inlineStr">
        <is>
          <t>Hard Service</t>
        </is>
      </c>
      <c r="G154" s="460" t="inlineStr">
        <is>
          <t>-</t>
        </is>
      </c>
      <c r="H154" s="460" t="inlineStr">
        <is>
          <t>-</t>
        </is>
      </c>
      <c r="I154" s="425" t="inlineStr">
        <is>
          <t>Approved</t>
        </is>
      </c>
      <c r="J154" s="496" t="n">
        <v>9709</v>
      </c>
      <c r="K154" s="425" t="inlineStr">
        <is>
          <t>-</t>
        </is>
      </c>
      <c r="L154" s="29" t="inlineStr">
        <is>
          <t>-</t>
        </is>
      </c>
      <c r="N154" s="128" t="n"/>
      <c r="O154" s="128" t="n"/>
      <c r="P154" s="128" t="n"/>
      <c r="Q154" s="128" t="n"/>
      <c r="R154" s="128" t="n"/>
      <c r="S154" s="128" t="n"/>
      <c r="T154" s="128" t="n"/>
    </row>
    <row r="155" ht="15.75" customHeight="1">
      <c r="A155" s="440" t="inlineStr">
        <is>
          <t>Multi-Skilled Technician</t>
        </is>
      </c>
      <c r="B155" s="440" t="n">
        <v>2</v>
      </c>
      <c r="C155" s="440">
        <f>COUNTIF(E155:E156,"&lt;&gt;")</f>
        <v/>
      </c>
      <c r="D155" s="441">
        <f>C155-B155</f>
        <v/>
      </c>
      <c r="E155" s="135" t="n"/>
      <c r="F155" s="55" t="inlineStr">
        <is>
          <t>Hard Service</t>
        </is>
      </c>
      <c r="G155" s="29" t="inlineStr">
        <is>
          <t>-</t>
        </is>
      </c>
      <c r="H155" s="57" t="inlineStr">
        <is>
          <t>-</t>
        </is>
      </c>
      <c r="I155" s="425" t="inlineStr">
        <is>
          <t>Vacant</t>
        </is>
      </c>
      <c r="J155" s="499" t="n"/>
      <c r="K155" s="425" t="inlineStr">
        <is>
          <t>-</t>
        </is>
      </c>
      <c r="L155" s="29" t="inlineStr">
        <is>
          <t>-</t>
        </is>
      </c>
      <c r="N155" s="128" t="n"/>
      <c r="O155" s="128" t="n"/>
      <c r="P155" s="128" t="n"/>
      <c r="Q155" s="128" t="n"/>
      <c r="R155" s="128" t="n"/>
      <c r="S155" s="128" t="n"/>
      <c r="T155" s="128" t="n"/>
    </row>
    <row r="156" ht="15.75" customHeight="1">
      <c r="A156" s="431" t="n"/>
      <c r="B156" s="431" t="n"/>
      <c r="C156" s="431" t="n"/>
      <c r="D156" s="431" t="n"/>
      <c r="E156" s="135" t="n"/>
      <c r="F156" s="55" t="inlineStr">
        <is>
          <t>Hard Service</t>
        </is>
      </c>
      <c r="G156" s="29" t="inlineStr">
        <is>
          <t>-</t>
        </is>
      </c>
      <c r="H156" s="57" t="inlineStr">
        <is>
          <t>-</t>
        </is>
      </c>
      <c r="I156" s="425" t="inlineStr">
        <is>
          <t>Vacant</t>
        </is>
      </c>
      <c r="J156" s="499" t="n"/>
      <c r="K156" s="425" t="inlineStr">
        <is>
          <t>-</t>
        </is>
      </c>
      <c r="L156" s="29" t="inlineStr">
        <is>
          <t>-</t>
        </is>
      </c>
      <c r="N156" s="128" t="n"/>
      <c r="O156" s="128" t="n"/>
      <c r="P156" s="128" t="n"/>
      <c r="Q156" s="128" t="n"/>
      <c r="R156" s="128" t="n"/>
      <c r="S156" s="128" t="n"/>
      <c r="T156" s="128" t="n"/>
    </row>
    <row r="157" ht="26.25" customHeight="1">
      <c r="A157" s="36" t="inlineStr">
        <is>
          <t>Total Team 
Hard Service Management</t>
        </is>
      </c>
      <c r="B157" s="36" t="inlineStr">
        <is>
          <t>Contractual Requirement</t>
        </is>
      </c>
      <c r="C157" s="36" t="inlineStr">
        <is>
          <t>Approved</t>
        </is>
      </c>
      <c r="D157" s="36" t="inlineStr">
        <is>
          <t>Vacant Position</t>
        </is>
      </c>
      <c r="E157" s="38" t="inlineStr">
        <is>
          <t>Rejected</t>
        </is>
      </c>
      <c r="F157" s="38" t="inlineStr">
        <is>
          <t xml:space="preserve">Additional </t>
        </is>
      </c>
      <c r="G157" s="38" t="inlineStr">
        <is>
          <t>ID</t>
        </is>
      </c>
      <c r="H157" s="38" t="inlineStr">
        <is>
          <t>Iqama</t>
        </is>
      </c>
      <c r="I157" s="58" t="inlineStr">
        <is>
          <t>Status</t>
        </is>
      </c>
      <c r="J157" s="500" t="n"/>
      <c r="K157" s="39" t="n"/>
      <c r="L157" s="38" t="inlineStr">
        <is>
          <t>Remark/Notes</t>
        </is>
      </c>
      <c r="N157" s="128" t="n"/>
      <c r="O157" s="128" t="n"/>
      <c r="P157" s="128" t="n"/>
      <c r="Q157" s="128" t="n"/>
      <c r="R157" s="128" t="n"/>
      <c r="S157" s="128" t="n"/>
      <c r="T157" s="128" t="n"/>
    </row>
    <row r="158" ht="15.75" customHeight="1">
      <c r="A158" s="36">
        <f>COUNTIF(E35:E156,"&lt;&gt;")</f>
        <v/>
      </c>
      <c r="B158" s="36">
        <f>SUM(B35:B156)</f>
        <v/>
      </c>
      <c r="C158" s="36">
        <f>COUNTIF(I35:I156,"Approved")</f>
        <v/>
      </c>
      <c r="D158" s="36">
        <f>COUNTIF(I5:I156,"Vacant")</f>
        <v/>
      </c>
      <c r="E158" s="38">
        <f>COUNTIF(I35:I156,"Rejected")</f>
        <v/>
      </c>
      <c r="F158" s="38">
        <f>COUNTIF(I35:I156,"Additional ")</f>
        <v/>
      </c>
      <c r="G158" s="38">
        <f>COUNTIF(G35:G156,"-")</f>
        <v/>
      </c>
      <c r="H158" s="38">
        <f>COUNTIF(H35:H156,"-")</f>
        <v/>
      </c>
      <c r="I158" s="42" t="n"/>
      <c r="J158" s="501" t="n"/>
      <c r="K158" s="42" t="n"/>
      <c r="L158" s="42" t="n"/>
      <c r="N158" s="128" t="n"/>
      <c r="O158" s="128" t="n"/>
      <c r="P158" s="128" t="n"/>
      <c r="Q158" s="128" t="n"/>
      <c r="R158" s="128" t="n"/>
      <c r="S158" s="128" t="n"/>
      <c r="T158" s="128" t="n"/>
    </row>
    <row r="159" ht="15.75" customHeight="1">
      <c r="A159" s="166" t="n"/>
      <c r="B159" s="166" t="n"/>
      <c r="C159" s="166" t="n"/>
      <c r="D159" s="166" t="n"/>
      <c r="E159" s="135" t="n"/>
      <c r="F159" s="167" t="n"/>
      <c r="G159" s="167" t="n"/>
      <c r="H159" s="167" t="n"/>
      <c r="I159" s="167" t="n"/>
      <c r="J159" s="520" t="n"/>
      <c r="K159" s="137" t="n"/>
      <c r="L159" s="167" t="n"/>
      <c r="N159" s="128" t="n"/>
      <c r="O159" s="128" t="n"/>
      <c r="P159" s="128" t="n"/>
      <c r="Q159" s="128" t="n"/>
      <c r="R159" s="128" t="n"/>
      <c r="S159" s="128" t="n"/>
      <c r="T159" s="128" t="n"/>
    </row>
    <row r="160" ht="26.25" customHeight="1">
      <c r="A160" s="133" t="inlineStr">
        <is>
          <t>Position</t>
        </is>
      </c>
      <c r="B160" s="9" t="inlineStr">
        <is>
          <t>Contractual Requirement</t>
        </is>
      </c>
      <c r="C160" s="9" t="inlineStr">
        <is>
          <t>On-Site Availability</t>
        </is>
      </c>
      <c r="D160" s="9" t="inlineStr">
        <is>
          <t>Vacant Position</t>
        </is>
      </c>
      <c r="E160" s="11" t="inlineStr">
        <is>
          <t>Emaployee Name</t>
        </is>
      </c>
      <c r="F160" s="11" t="inlineStr">
        <is>
          <t>Decipline</t>
        </is>
      </c>
      <c r="G160" s="12" t="inlineStr">
        <is>
          <t>ID</t>
        </is>
      </c>
      <c r="H160" s="11" t="inlineStr">
        <is>
          <t>Iqama</t>
        </is>
      </c>
      <c r="I160" s="12" t="inlineStr">
        <is>
          <t>Status</t>
        </is>
      </c>
      <c r="J160" s="503" t="n"/>
      <c r="K160" s="168" t="n"/>
      <c r="L160" s="12" t="inlineStr">
        <is>
          <t>Remarks/Notes</t>
        </is>
      </c>
      <c r="N160" s="128" t="n"/>
      <c r="O160" s="128" t="n"/>
      <c r="P160" s="128" t="n"/>
      <c r="Q160" s="128" t="n"/>
      <c r="R160" s="128" t="n"/>
      <c r="S160" s="128" t="n"/>
      <c r="T160" s="128" t="n"/>
    </row>
    <row r="161" ht="15.75" customHeight="1">
      <c r="A161" s="440" t="inlineStr">
        <is>
          <t>Soft Services  Supervisor</t>
        </is>
      </c>
      <c r="B161" s="441" t="n">
        <v>12</v>
      </c>
      <c r="C161" s="441">
        <f>COUNTIF(E161:E172,"&lt;&gt;")</f>
        <v/>
      </c>
      <c r="D161" s="441">
        <f>C161-B161</f>
        <v/>
      </c>
      <c r="E161" s="460" t="inlineStr">
        <is>
          <t>Mohammad Nowshad Mahmud</t>
        </is>
      </c>
      <c r="F161" s="136" t="inlineStr">
        <is>
          <t>Soft Service</t>
        </is>
      </c>
      <c r="G161" s="63" t="n">
        <v>703453</v>
      </c>
      <c r="H161" s="64" t="n">
        <v>2581991870</v>
      </c>
      <c r="I161" s="425" t="inlineStr">
        <is>
          <t>Approved</t>
        </is>
      </c>
      <c r="J161" s="496" t="n">
        <v>45586</v>
      </c>
      <c r="K161" s="425" t="inlineStr">
        <is>
          <t>FMCO</t>
        </is>
      </c>
      <c r="L161" s="29" t="inlineStr">
        <is>
          <t>-</t>
        </is>
      </c>
      <c r="N161" s="128" t="n"/>
      <c r="O161" s="128" t="n"/>
      <c r="P161" s="128" t="n"/>
      <c r="Q161" s="128" t="n"/>
      <c r="R161" s="128" t="n"/>
      <c r="S161" s="128" t="n"/>
      <c r="T161" s="128" t="n"/>
    </row>
    <row r="162" ht="15.75" customHeight="1">
      <c r="A162" s="429" t="n"/>
      <c r="B162" s="429" t="n"/>
      <c r="C162" s="429" t="n"/>
      <c r="D162" s="429" t="n"/>
      <c r="E162" s="460" t="inlineStr">
        <is>
          <t>Shafiqul Islam</t>
        </is>
      </c>
      <c r="F162" s="136" t="inlineStr">
        <is>
          <t>Soft Service</t>
        </is>
      </c>
      <c r="G162" s="63" t="n">
        <v>703454</v>
      </c>
      <c r="H162" s="64" t="n">
        <v>2581992134</v>
      </c>
      <c r="I162" s="425" t="inlineStr">
        <is>
          <t>Approved</t>
        </is>
      </c>
      <c r="J162" s="496" t="n">
        <v>45586</v>
      </c>
      <c r="K162" s="425" t="inlineStr">
        <is>
          <t>FMCO</t>
        </is>
      </c>
      <c r="L162" s="29" t="inlineStr">
        <is>
          <t>-</t>
        </is>
      </c>
      <c r="N162" s="128" t="n"/>
      <c r="O162" s="128" t="n"/>
      <c r="P162" s="128" t="n"/>
      <c r="Q162" s="128" t="n"/>
      <c r="R162" s="128" t="n"/>
      <c r="S162" s="128" t="n"/>
      <c r="T162" s="128" t="n"/>
    </row>
    <row r="163" ht="15.75" customHeight="1">
      <c r="A163" s="429" t="n"/>
      <c r="B163" s="429" t="n"/>
      <c r="C163" s="429" t="n"/>
      <c r="D163" s="429" t="n"/>
      <c r="E163" s="460" t="inlineStr">
        <is>
          <t>Muhammad Tariq</t>
        </is>
      </c>
      <c r="F163" s="136" t="inlineStr">
        <is>
          <t>Soft Service</t>
        </is>
      </c>
      <c r="G163" s="63" t="inlineStr">
        <is>
          <t>C00709</t>
        </is>
      </c>
      <c r="H163" s="64" t="n">
        <v>2582098899</v>
      </c>
      <c r="I163" s="425" t="inlineStr">
        <is>
          <t>Approved</t>
        </is>
      </c>
      <c r="J163" s="496" t="n">
        <v>45586</v>
      </c>
      <c r="K163" s="425" t="inlineStr">
        <is>
          <t>MEHAN VISA</t>
        </is>
      </c>
      <c r="L163" s="29" t="inlineStr">
        <is>
          <t>-</t>
        </is>
      </c>
      <c r="N163" s="128" t="n"/>
      <c r="O163" s="128" t="n"/>
      <c r="P163" s="128" t="n"/>
      <c r="Q163" s="128" t="n"/>
      <c r="R163" s="128" t="n"/>
      <c r="S163" s="128" t="n"/>
      <c r="T163" s="128" t="n"/>
    </row>
    <row r="164" ht="15.75" customHeight="1">
      <c r="A164" s="429" t="n"/>
      <c r="B164" s="429" t="n"/>
      <c r="C164" s="429" t="n"/>
      <c r="D164" s="429" t="n"/>
      <c r="E164" s="460" t="inlineStr">
        <is>
          <t>Muhammad Farhan</t>
        </is>
      </c>
      <c r="F164" s="136" t="inlineStr">
        <is>
          <t>Soft Service</t>
        </is>
      </c>
      <c r="G164" s="63" t="n">
        <v>701489</v>
      </c>
      <c r="H164" s="64" t="n">
        <v>2534890914</v>
      </c>
      <c r="I164" s="425" t="inlineStr">
        <is>
          <t>Approved</t>
        </is>
      </c>
      <c r="J164" s="496" t="n">
        <v>46028</v>
      </c>
      <c r="K164" s="425" t="inlineStr">
        <is>
          <t>FMCO</t>
        </is>
      </c>
      <c r="L164" s="29" t="inlineStr">
        <is>
          <t>-</t>
        </is>
      </c>
      <c r="N164" s="128" t="n"/>
      <c r="O164" s="128" t="n"/>
      <c r="P164" s="128" t="n"/>
      <c r="Q164" s="128" t="n"/>
      <c r="R164" s="128" t="n"/>
      <c r="S164" s="128" t="n"/>
      <c r="T164" s="128" t="n"/>
    </row>
    <row r="165" ht="15.75" customHeight="1">
      <c r="A165" s="429" t="n"/>
      <c r="B165" s="429" t="n"/>
      <c r="C165" s="429" t="n"/>
      <c r="D165" s="429" t="n"/>
      <c r="E165" s="460" t="inlineStr">
        <is>
          <t>Musharaf Hussain</t>
        </is>
      </c>
      <c r="F165" s="136" t="inlineStr">
        <is>
          <t>Soft Service</t>
        </is>
      </c>
      <c r="G165" s="63" t="inlineStr">
        <is>
          <t>C01824</t>
        </is>
      </c>
      <c r="H165" s="64" t="n">
        <v>2636046076</v>
      </c>
      <c r="I165" s="425" t="inlineStr">
        <is>
          <t>Approved</t>
        </is>
      </c>
      <c r="J165" s="496" t="n">
        <v>46142</v>
      </c>
      <c r="K165" s="425" t="inlineStr">
        <is>
          <t>MEHAN VISA</t>
        </is>
      </c>
      <c r="L165" s="29" t="inlineStr">
        <is>
          <t>-</t>
        </is>
      </c>
      <c r="N165" s="128" t="n"/>
      <c r="O165" s="128" t="n"/>
      <c r="P165" s="128" t="n"/>
      <c r="Q165" s="128" t="n"/>
      <c r="R165" s="128" t="n"/>
      <c r="S165" s="128" t="n"/>
      <c r="T165" s="128" t="n"/>
    </row>
    <row r="166" ht="15.75" customHeight="1">
      <c r="A166" s="429" t="n"/>
      <c r="B166" s="429" t="n"/>
      <c r="C166" s="429" t="n"/>
      <c r="D166" s="429" t="n"/>
      <c r="E166" s="460" t="inlineStr">
        <is>
          <t>Mohammed Danish</t>
        </is>
      </c>
      <c r="F166" s="136" t="inlineStr">
        <is>
          <t>Soft Service</t>
        </is>
      </c>
      <c r="G166" s="63" t="inlineStr">
        <is>
          <t>-</t>
        </is>
      </c>
      <c r="H166" s="64" t="n">
        <v>2640657249</v>
      </c>
      <c r="I166" s="425" t="inlineStr">
        <is>
          <t>Approved</t>
        </is>
      </c>
      <c r="J166" s="496" t="n">
        <v>46219</v>
      </c>
      <c r="K166" s="425" t="inlineStr">
        <is>
          <t>AL-FALAK VISA</t>
        </is>
      </c>
      <c r="L166" s="29" t="inlineStr">
        <is>
          <t>-</t>
        </is>
      </c>
      <c r="N166" s="128" t="n"/>
      <c r="O166" s="128" t="n"/>
      <c r="P166" s="128" t="n"/>
      <c r="Q166" s="128" t="n"/>
      <c r="R166" s="128" t="n"/>
      <c r="S166" s="128" t="n"/>
      <c r="T166" s="128" t="n"/>
    </row>
    <row r="167" ht="15.75" customHeight="1">
      <c r="A167" s="429" t="n"/>
      <c r="B167" s="429" t="n"/>
      <c r="C167" s="429" t="n"/>
      <c r="D167" s="429" t="n"/>
      <c r="E167" s="460" t="inlineStr">
        <is>
          <t xml:space="preserve">Khaja Shahed Hussain </t>
        </is>
      </c>
      <c r="F167" s="136" t="inlineStr">
        <is>
          <t>Soft Service</t>
        </is>
      </c>
      <c r="G167" s="63" t="inlineStr">
        <is>
          <t>-</t>
        </is>
      </c>
      <c r="H167" s="64" t="inlineStr">
        <is>
          <t>-</t>
        </is>
      </c>
      <c r="I167" s="425" t="inlineStr">
        <is>
          <t>Approved</t>
        </is>
      </c>
      <c r="J167" s="496" t="n">
        <v>46228</v>
      </c>
      <c r="K167" s="425" t="inlineStr">
        <is>
          <t>-</t>
        </is>
      </c>
      <c r="L167" s="29" t="inlineStr">
        <is>
          <t>-</t>
        </is>
      </c>
      <c r="N167" s="128" t="n"/>
      <c r="O167" s="128" t="n"/>
      <c r="P167" s="128" t="n"/>
      <c r="Q167" s="128" t="n"/>
      <c r="R167" s="128" t="n"/>
      <c r="S167" s="128" t="n"/>
      <c r="T167" s="128" t="n"/>
    </row>
    <row r="168" ht="15.75" customHeight="1">
      <c r="A168" s="429" t="n"/>
      <c r="B168" s="429" t="n"/>
      <c r="C168" s="429" t="n"/>
      <c r="D168" s="429" t="n"/>
      <c r="E168" s="460" t="inlineStr">
        <is>
          <t>Khizer Ahmed</t>
        </is>
      </c>
      <c r="F168" s="136" t="inlineStr">
        <is>
          <t>Soft Service</t>
        </is>
      </c>
      <c r="G168" s="63" t="inlineStr">
        <is>
          <t>-</t>
        </is>
      </c>
      <c r="H168" s="64" t="inlineStr">
        <is>
          <t>-</t>
        </is>
      </c>
      <c r="I168" s="425" t="inlineStr">
        <is>
          <t>Approved</t>
        </is>
      </c>
      <c r="J168" s="496" t="n">
        <v>46228</v>
      </c>
      <c r="K168" s="425" t="inlineStr">
        <is>
          <t>-</t>
        </is>
      </c>
      <c r="L168" s="29" t="inlineStr">
        <is>
          <t>-</t>
        </is>
      </c>
      <c r="N168" s="128" t="n"/>
      <c r="O168" s="128" t="n"/>
      <c r="P168" s="128" t="n"/>
      <c r="Q168" s="128" t="n"/>
      <c r="R168" s="128" t="n"/>
      <c r="S168" s="128" t="n"/>
      <c r="T168" s="128" t="n"/>
    </row>
    <row r="169" ht="15.75" customHeight="1">
      <c r="A169" s="429" t="n"/>
      <c r="B169" s="429" t="n"/>
      <c r="C169" s="429" t="n"/>
      <c r="D169" s="429" t="n"/>
      <c r="E169" s="460" t="inlineStr">
        <is>
          <t xml:space="preserve">KHAJA SHAHED HUSSAIN </t>
        </is>
      </c>
      <c r="F169" s="136" t="inlineStr">
        <is>
          <t>Soft Service</t>
        </is>
      </c>
      <c r="G169" s="63" t="inlineStr">
        <is>
          <t>-</t>
        </is>
      </c>
      <c r="H169" s="64" t="inlineStr">
        <is>
          <t>-</t>
        </is>
      </c>
      <c r="I169" s="425" t="inlineStr">
        <is>
          <t>Approved</t>
        </is>
      </c>
      <c r="J169" s="496" t="n">
        <v>46228</v>
      </c>
      <c r="K169" s="425" t="inlineStr">
        <is>
          <t>-</t>
        </is>
      </c>
      <c r="L169" s="29" t="inlineStr">
        <is>
          <t>-</t>
        </is>
      </c>
      <c r="N169" s="128" t="n"/>
      <c r="O169" s="128" t="n"/>
      <c r="P169" s="128" t="n"/>
      <c r="Q169" s="128" t="n"/>
      <c r="R169" s="128" t="n"/>
      <c r="S169" s="128" t="n"/>
      <c r="T169" s="128" t="n"/>
    </row>
    <row r="170" ht="15.75" customHeight="1">
      <c r="A170" s="429" t="n"/>
      <c r="B170" s="429" t="n"/>
      <c r="C170" s="429" t="n"/>
      <c r="D170" s="429" t="n"/>
      <c r="E170" s="460" t="inlineStr">
        <is>
          <t>KHIZER AHMED</t>
        </is>
      </c>
      <c r="F170" s="136" t="inlineStr">
        <is>
          <t>Soft Service</t>
        </is>
      </c>
      <c r="G170" s="63" t="inlineStr">
        <is>
          <t>-</t>
        </is>
      </c>
      <c r="H170" s="64" t="inlineStr">
        <is>
          <t>-</t>
        </is>
      </c>
      <c r="I170" s="425" t="inlineStr">
        <is>
          <t>Approved</t>
        </is>
      </c>
      <c r="J170" s="496" t="n">
        <v>46228</v>
      </c>
      <c r="K170" s="425" t="inlineStr">
        <is>
          <t>-</t>
        </is>
      </c>
      <c r="L170" s="29" t="inlineStr">
        <is>
          <t>-</t>
        </is>
      </c>
      <c r="N170" s="128" t="n"/>
      <c r="O170" s="128" t="n"/>
      <c r="P170" s="128" t="n"/>
      <c r="Q170" s="128" t="n"/>
      <c r="R170" s="128" t="n"/>
      <c r="S170" s="128" t="n"/>
      <c r="T170" s="128" t="n"/>
    </row>
    <row r="171" ht="15.75" customHeight="1">
      <c r="A171" s="429" t="n"/>
      <c r="B171" s="429" t="n"/>
      <c r="C171" s="429" t="n"/>
      <c r="D171" s="429" t="n"/>
      <c r="E171" s="460" t="inlineStr">
        <is>
          <t>SUHAIL AHMAD</t>
        </is>
      </c>
      <c r="F171" s="136" t="inlineStr">
        <is>
          <t>Soft Service</t>
        </is>
      </c>
      <c r="G171" s="63" t="inlineStr">
        <is>
          <t>-</t>
        </is>
      </c>
      <c r="H171" s="64" t="inlineStr">
        <is>
          <t>-</t>
        </is>
      </c>
      <c r="I171" s="425" t="inlineStr">
        <is>
          <t>Approved</t>
        </is>
      </c>
      <c r="J171" s="496" t="n">
        <v>9705</v>
      </c>
      <c r="K171" s="425" t="inlineStr">
        <is>
          <t>-</t>
        </is>
      </c>
      <c r="L171" s="29" t="inlineStr">
        <is>
          <t>-</t>
        </is>
      </c>
      <c r="N171" s="128" t="n"/>
      <c r="O171" s="128" t="n"/>
      <c r="P171" s="128" t="n"/>
      <c r="Q171" s="128" t="n"/>
      <c r="R171" s="128" t="n"/>
      <c r="S171" s="128" t="n"/>
      <c r="T171" s="128" t="n"/>
    </row>
    <row r="172" ht="15.75" customHeight="1">
      <c r="A172" s="431" t="n"/>
      <c r="B172" s="431" t="n"/>
      <c r="C172" s="431" t="n"/>
      <c r="D172" s="431" t="n"/>
      <c r="E172" s="460" t="inlineStr">
        <is>
          <t>AMEER AHMAD</t>
        </is>
      </c>
      <c r="F172" s="136" t="inlineStr">
        <is>
          <t>Soft Service</t>
        </is>
      </c>
      <c r="G172" s="425" t="inlineStr">
        <is>
          <t>-</t>
        </is>
      </c>
      <c r="H172" s="29" t="inlineStr">
        <is>
          <t>-</t>
        </is>
      </c>
      <c r="I172" s="425" t="inlineStr">
        <is>
          <t>Approved</t>
        </is>
      </c>
      <c r="J172" s="496" t="n">
        <v>9707</v>
      </c>
      <c r="K172" s="425" t="inlineStr">
        <is>
          <t>-</t>
        </is>
      </c>
      <c r="L172" s="29" t="inlineStr">
        <is>
          <t>-</t>
        </is>
      </c>
      <c r="N172" s="128" t="n"/>
      <c r="O172" s="128" t="n"/>
      <c r="P172" s="128" t="n"/>
      <c r="Q172" s="128" t="n"/>
      <c r="R172" s="128" t="n"/>
      <c r="S172" s="128" t="n"/>
      <c r="T172" s="128" t="n"/>
    </row>
    <row r="173" ht="15.75" customHeight="1">
      <c r="A173" s="440" t="inlineStr">
        <is>
          <t>SS Team Leader</t>
        </is>
      </c>
      <c r="B173" s="441" t="n">
        <v>2</v>
      </c>
      <c r="C173" s="441">
        <f>COUNTIF(E173:E174,"&lt;&gt;")</f>
        <v/>
      </c>
      <c r="D173" s="441">
        <f>C173-B173</f>
        <v/>
      </c>
      <c r="E173" s="135" t="n"/>
      <c r="F173" s="136" t="inlineStr">
        <is>
          <t>Soft Service</t>
        </is>
      </c>
      <c r="G173" s="63" t="inlineStr">
        <is>
          <t>-</t>
        </is>
      </c>
      <c r="H173" s="64" t="inlineStr">
        <is>
          <t>-</t>
        </is>
      </c>
      <c r="I173" s="425" t="inlineStr">
        <is>
          <t>Vacant</t>
        </is>
      </c>
      <c r="J173" s="499" t="n"/>
      <c r="K173" s="425" t="inlineStr">
        <is>
          <t>-</t>
        </is>
      </c>
      <c r="L173" s="29" t="inlineStr">
        <is>
          <t>-</t>
        </is>
      </c>
      <c r="N173" s="128" t="n"/>
      <c r="O173" s="128" t="n"/>
      <c r="P173" s="128" t="n"/>
      <c r="Q173" s="128" t="n"/>
      <c r="R173" s="128" t="n"/>
      <c r="S173" s="128" t="n"/>
      <c r="T173" s="128" t="n"/>
    </row>
    <row r="174" ht="15.75" customHeight="1">
      <c r="A174" s="431" t="n"/>
      <c r="B174" s="431" t="n"/>
      <c r="C174" s="431" t="n"/>
      <c r="D174" s="431" t="n"/>
      <c r="E174" s="135" t="n"/>
      <c r="F174" s="136" t="inlineStr">
        <is>
          <t>Soft Service</t>
        </is>
      </c>
      <c r="G174" s="63" t="inlineStr">
        <is>
          <t>-</t>
        </is>
      </c>
      <c r="H174" s="64" t="inlineStr">
        <is>
          <t>-</t>
        </is>
      </c>
      <c r="I174" s="425" t="inlineStr">
        <is>
          <t>Vacant</t>
        </is>
      </c>
      <c r="J174" s="499" t="n"/>
      <c r="K174" s="425" t="inlineStr">
        <is>
          <t>-</t>
        </is>
      </c>
      <c r="L174" s="29" t="inlineStr">
        <is>
          <t>-</t>
        </is>
      </c>
      <c r="N174" s="128" t="n"/>
      <c r="O174" s="128" t="n"/>
      <c r="P174" s="128" t="n"/>
      <c r="Q174" s="128" t="n"/>
      <c r="R174" s="128" t="n"/>
      <c r="S174" s="128" t="n"/>
      <c r="T174" s="128" t="n"/>
    </row>
    <row r="175" ht="15.75" customHeight="1">
      <c r="A175" s="440" t="inlineStr">
        <is>
          <t>Male Cleaners</t>
        </is>
      </c>
      <c r="B175" s="441" t="n">
        <v>16</v>
      </c>
      <c r="C175" s="441">
        <f>COUNTIF(E175:E190,"&lt;&gt;")</f>
        <v/>
      </c>
      <c r="D175" s="441">
        <f>C175-B175</f>
        <v/>
      </c>
      <c r="E175" s="460" t="inlineStr">
        <is>
          <t>ASARAF ALI - EDU</t>
        </is>
      </c>
      <c r="F175" s="136" t="inlineStr">
        <is>
          <t>Soft Service</t>
        </is>
      </c>
      <c r="G175" s="169" t="inlineStr">
        <is>
          <t>L01859</t>
        </is>
      </c>
      <c r="H175" s="169" t="n">
        <v>2641899774</v>
      </c>
      <c r="I175" s="425" t="inlineStr">
        <is>
          <t>Approved</t>
        </is>
      </c>
      <c r="J175" s="496" t="n">
        <v>9707</v>
      </c>
      <c r="K175" s="159" t="inlineStr">
        <is>
          <t>MEHAN RENTAL</t>
        </is>
      </c>
      <c r="L175" s="29" t="inlineStr">
        <is>
          <t>-</t>
        </is>
      </c>
      <c r="N175" s="128" t="n"/>
      <c r="O175" s="128" t="n"/>
      <c r="P175" s="128" t="n"/>
      <c r="Q175" s="128" t="n"/>
      <c r="R175" s="128" t="n"/>
      <c r="S175" s="128" t="n"/>
      <c r="T175" s="128" t="n"/>
    </row>
    <row r="176" ht="15.75" customHeight="1">
      <c r="A176" s="429" t="n"/>
      <c r="B176" s="429" t="n"/>
      <c r="C176" s="429" t="n"/>
      <c r="D176" s="429" t="n"/>
      <c r="E176" s="460" t="inlineStr">
        <is>
          <t>Yead Ali</t>
        </is>
      </c>
      <c r="F176" s="136" t="inlineStr">
        <is>
          <t>Soft Service</t>
        </is>
      </c>
      <c r="G176" s="68" t="inlineStr">
        <is>
          <t>-</t>
        </is>
      </c>
      <c r="H176" s="460" t="n">
        <v>2520269065</v>
      </c>
      <c r="I176" s="425" t="inlineStr">
        <is>
          <t>Approved</t>
        </is>
      </c>
      <c r="J176" s="496" t="n">
        <v>46169</v>
      </c>
      <c r="K176" s="425" t="inlineStr">
        <is>
          <t>UCC( RENTAL)</t>
        </is>
      </c>
      <c r="L176" s="29" t="inlineStr">
        <is>
          <t>-</t>
        </is>
      </c>
      <c r="N176" s="128" t="n"/>
      <c r="O176" s="128" t="n"/>
      <c r="P176" s="128" t="n"/>
      <c r="Q176" s="128" t="n"/>
      <c r="R176" s="128" t="n"/>
      <c r="S176" s="128" t="n"/>
      <c r="T176" s="128" t="n"/>
    </row>
    <row r="177" ht="15.75" customHeight="1">
      <c r="A177" s="429" t="n"/>
      <c r="B177" s="429" t="n"/>
      <c r="C177" s="429" t="n"/>
      <c r="D177" s="429" t="n"/>
      <c r="E177" s="460" t="inlineStr">
        <is>
          <t>Salim Siddiqui</t>
        </is>
      </c>
      <c r="F177" s="136" t="inlineStr">
        <is>
          <t>Soft Service</t>
        </is>
      </c>
      <c r="G177" s="68" t="inlineStr">
        <is>
          <t>-</t>
        </is>
      </c>
      <c r="H177" s="460" t="n">
        <v>2598079271</v>
      </c>
      <c r="I177" s="425" t="inlineStr">
        <is>
          <t>Approved</t>
        </is>
      </c>
      <c r="J177" s="496" t="n">
        <v>46084</v>
      </c>
      <c r="K177" s="425" t="inlineStr">
        <is>
          <t>Gulf Vision ( RENTAL)</t>
        </is>
      </c>
      <c r="L177" s="29" t="inlineStr">
        <is>
          <t>-</t>
        </is>
      </c>
      <c r="N177" s="128" t="n"/>
      <c r="O177" s="128" t="n"/>
      <c r="P177" s="128" t="n"/>
      <c r="Q177" s="128" t="n"/>
      <c r="R177" s="128" t="n"/>
      <c r="S177" s="128" t="n"/>
      <c r="T177" s="128" t="n"/>
    </row>
    <row r="178" ht="15.75" customHeight="1">
      <c r="A178" s="429" t="n"/>
      <c r="B178" s="429" t="n"/>
      <c r="C178" s="429" t="n"/>
      <c r="D178" s="429" t="n"/>
      <c r="E178" s="460" t="inlineStr">
        <is>
          <t>Sanjay Mahato</t>
        </is>
      </c>
      <c r="F178" s="136" t="inlineStr">
        <is>
          <t>Soft Service</t>
        </is>
      </c>
      <c r="G178" s="68" t="inlineStr">
        <is>
          <t>-</t>
        </is>
      </c>
      <c r="H178" s="460" t="n">
        <v>2598078521</v>
      </c>
      <c r="I178" s="425" t="inlineStr">
        <is>
          <t>Approved</t>
        </is>
      </c>
      <c r="J178" s="496" t="n">
        <v>46084</v>
      </c>
      <c r="K178" s="425" t="inlineStr">
        <is>
          <t>Gulf Vision ( RENTAL)</t>
        </is>
      </c>
      <c r="L178" s="29" t="inlineStr">
        <is>
          <t>-</t>
        </is>
      </c>
      <c r="N178" s="128" t="n"/>
      <c r="O178" s="128" t="n"/>
      <c r="P178" s="128" t="n"/>
      <c r="Q178" s="128" t="n"/>
      <c r="R178" s="128" t="n"/>
      <c r="S178" s="128" t="n"/>
      <c r="T178" s="128" t="n"/>
    </row>
    <row r="179" ht="15.75" customHeight="1">
      <c r="A179" s="429" t="n"/>
      <c r="B179" s="429" t="n"/>
      <c r="C179" s="429" t="n"/>
      <c r="D179" s="429" t="n"/>
      <c r="E179" s="276" t="inlineStr">
        <is>
          <t>SOJIB</t>
        </is>
      </c>
      <c r="F179" s="136" t="inlineStr">
        <is>
          <t>Soft Service</t>
        </is>
      </c>
      <c r="G179" s="68" t="n"/>
      <c r="H179" s="460" t="inlineStr">
        <is>
          <t>A18450671</t>
        </is>
      </c>
      <c r="I179" s="425" t="inlineStr">
        <is>
          <t>Approved</t>
        </is>
      </c>
      <c r="J179" s="496" t="n">
        <v>46263</v>
      </c>
      <c r="K179" s="425" t="inlineStr">
        <is>
          <t>MEHAN RENTAL</t>
        </is>
      </c>
      <c r="L179" s="29" t="inlineStr">
        <is>
          <t>-</t>
        </is>
      </c>
      <c r="N179" s="128" t="n"/>
      <c r="O179" s="128" t="n"/>
      <c r="P179" s="128" t="n"/>
      <c r="Q179" s="128" t="n"/>
      <c r="R179" s="128" t="n"/>
      <c r="S179" s="128" t="n"/>
      <c r="T179" s="128" t="n"/>
    </row>
    <row r="180" ht="15.75" customHeight="1">
      <c r="A180" s="429" t="n"/>
      <c r="B180" s="429" t="n"/>
      <c r="C180" s="429" t="n"/>
      <c r="D180" s="429" t="n"/>
      <c r="E180" s="276" t="inlineStr">
        <is>
          <t>MD SAKIB</t>
        </is>
      </c>
      <c r="F180" s="136" t="inlineStr">
        <is>
          <t>Soft Service</t>
        </is>
      </c>
      <c r="G180" s="68" t="n"/>
      <c r="H180" s="460" t="inlineStr">
        <is>
          <t>A22108980</t>
        </is>
      </c>
      <c r="I180" s="425" t="inlineStr">
        <is>
          <t>Approved</t>
        </is>
      </c>
      <c r="J180" s="496" t="n">
        <v>46263</v>
      </c>
      <c r="K180" s="425" t="inlineStr">
        <is>
          <t>MEHAN RENTAL</t>
        </is>
      </c>
      <c r="L180" s="29" t="inlineStr">
        <is>
          <t>-</t>
        </is>
      </c>
      <c r="N180" s="128" t="n"/>
      <c r="O180" s="128" t="n"/>
      <c r="P180" s="128" t="n"/>
      <c r="Q180" s="128" t="n"/>
      <c r="R180" s="128" t="n"/>
      <c r="S180" s="128" t="n"/>
      <c r="T180" s="128" t="n"/>
    </row>
    <row r="181" ht="15.75" customHeight="1">
      <c r="A181" s="429" t="n"/>
      <c r="B181" s="429" t="n"/>
      <c r="C181" s="429" t="n"/>
      <c r="D181" s="429" t="n"/>
      <c r="E181" s="276" t="inlineStr">
        <is>
          <t>MD RUHUL</t>
        </is>
      </c>
      <c r="F181" s="136" t="inlineStr">
        <is>
          <t>Soft Service</t>
        </is>
      </c>
      <c r="G181" s="68" t="n"/>
      <c r="H181" s="460" t="inlineStr">
        <is>
          <t>A18283299</t>
        </is>
      </c>
      <c r="I181" s="425" t="inlineStr">
        <is>
          <t>Approved</t>
        </is>
      </c>
      <c r="J181" s="496" t="n">
        <v>46263</v>
      </c>
      <c r="K181" s="425" t="inlineStr">
        <is>
          <t>MEHAN RENTAL</t>
        </is>
      </c>
      <c r="L181" s="29" t="inlineStr">
        <is>
          <t>-</t>
        </is>
      </c>
      <c r="N181" s="128" t="n"/>
      <c r="O181" s="128" t="n"/>
      <c r="P181" s="128" t="n"/>
      <c r="Q181" s="128" t="n"/>
      <c r="R181" s="128" t="n"/>
      <c r="S181" s="128" t="n"/>
      <c r="T181" s="128" t="n"/>
    </row>
    <row r="182" ht="15.75" customHeight="1">
      <c r="A182" s="429" t="n"/>
      <c r="B182" s="429" t="n"/>
      <c r="C182" s="429" t="n"/>
      <c r="D182" s="429" t="n"/>
      <c r="E182" s="276" t="inlineStr">
        <is>
          <t>MD IBRAHIM KHONDAKER</t>
        </is>
      </c>
      <c r="F182" s="136" t="inlineStr">
        <is>
          <t>Soft Service</t>
        </is>
      </c>
      <c r="G182" s="68" t="n"/>
      <c r="H182" s="460" t="n">
        <v>2592980805</v>
      </c>
      <c r="I182" s="425" t="inlineStr">
        <is>
          <t>Approved</t>
        </is>
      </c>
      <c r="J182" s="496" t="n">
        <v>46263</v>
      </c>
      <c r="K182" s="425" t="inlineStr">
        <is>
          <t>MEHAN RENTAL</t>
        </is>
      </c>
      <c r="L182" s="29" t="inlineStr">
        <is>
          <t>-</t>
        </is>
      </c>
      <c r="N182" s="128" t="n"/>
      <c r="O182" s="128" t="n"/>
      <c r="P182" s="128" t="n"/>
      <c r="Q182" s="128" t="n"/>
      <c r="R182" s="128" t="n"/>
      <c r="S182" s="128" t="n"/>
      <c r="T182" s="128" t="n"/>
    </row>
    <row r="183" ht="15.75" customHeight="1">
      <c r="A183" s="429" t="n"/>
      <c r="B183" s="429" t="n"/>
      <c r="C183" s="429" t="n"/>
      <c r="D183" s="429" t="n"/>
      <c r="E183" s="276" t="inlineStr">
        <is>
          <t>MD UZZAL</t>
        </is>
      </c>
      <c r="F183" s="136" t="inlineStr">
        <is>
          <t>Soft Service</t>
        </is>
      </c>
      <c r="G183" s="68" t="n"/>
      <c r="H183" s="460" t="inlineStr">
        <is>
          <t>A21280273</t>
        </is>
      </c>
      <c r="I183" s="425" t="inlineStr">
        <is>
          <t>Approved</t>
        </is>
      </c>
      <c r="J183" s="496" t="n">
        <v>46263</v>
      </c>
      <c r="K183" s="425" t="inlineStr">
        <is>
          <t>MEHAN RENTAL</t>
        </is>
      </c>
      <c r="L183" s="29" t="inlineStr">
        <is>
          <t>-</t>
        </is>
      </c>
      <c r="N183" s="128" t="n"/>
      <c r="O183" s="128" t="n"/>
      <c r="P183" s="128" t="n"/>
      <c r="Q183" s="128" t="n"/>
      <c r="R183" s="128" t="n"/>
      <c r="S183" s="128" t="n"/>
      <c r="T183" s="128" t="n"/>
    </row>
    <row r="184" ht="15.75" customHeight="1">
      <c r="A184" s="429" t="n"/>
      <c r="B184" s="429" t="n"/>
      <c r="C184" s="429" t="n"/>
      <c r="D184" s="429" t="n"/>
      <c r="E184" s="276" t="inlineStr">
        <is>
          <t>ALI AKBAR CHANDIO QAMBAR ALI KHAN</t>
        </is>
      </c>
      <c r="F184" s="136" t="inlineStr">
        <is>
          <t>Soft Service</t>
        </is>
      </c>
      <c r="G184" s="68" t="n"/>
      <c r="H184" s="460" t="n">
        <v>2643723766</v>
      </c>
      <c r="I184" s="425" t="inlineStr">
        <is>
          <t>Approved</t>
        </is>
      </c>
      <c r="J184" s="496" t="n">
        <v>46263</v>
      </c>
      <c r="K184" s="425" t="inlineStr">
        <is>
          <t>MEHAN RENTAL</t>
        </is>
      </c>
      <c r="L184" s="29" t="inlineStr">
        <is>
          <t>-</t>
        </is>
      </c>
      <c r="N184" s="128" t="n"/>
      <c r="O184" s="128" t="n"/>
      <c r="P184" s="128" t="n"/>
      <c r="Q184" s="128" t="n"/>
      <c r="R184" s="128" t="n"/>
      <c r="S184" s="128" t="n"/>
      <c r="T184" s="128" t="n"/>
    </row>
    <row r="185" ht="15.75" customHeight="1">
      <c r="A185" s="429" t="n"/>
      <c r="B185" s="429" t="n"/>
      <c r="C185" s="429" t="n"/>
      <c r="D185" s="429" t="n"/>
      <c r="E185" s="276" t="inlineStr">
        <is>
          <t>MAHMUD AHAMAD NAJIR AHAMAD</t>
        </is>
      </c>
      <c r="F185" s="136" t="inlineStr">
        <is>
          <t>Soft Service</t>
        </is>
      </c>
      <c r="G185" s="68" t="n"/>
      <c r="H185" s="460" t="n">
        <v>2613157672</v>
      </c>
      <c r="I185" s="425" t="inlineStr">
        <is>
          <t>Approved</t>
        </is>
      </c>
      <c r="J185" s="496" t="n">
        <v>46263</v>
      </c>
      <c r="K185" s="425" t="inlineStr">
        <is>
          <t>MEHAN RENTAL</t>
        </is>
      </c>
      <c r="L185" s="29" t="inlineStr">
        <is>
          <t>-</t>
        </is>
      </c>
      <c r="N185" s="128" t="n"/>
      <c r="O185" s="128" t="n"/>
      <c r="P185" s="128" t="n"/>
      <c r="Q185" s="128" t="n"/>
      <c r="R185" s="128" t="n"/>
      <c r="S185" s="128" t="n"/>
      <c r="T185" s="128" t="n"/>
    </row>
    <row r="186" ht="15.75" customHeight="1">
      <c r="A186" s="429" t="n"/>
      <c r="B186" s="429" t="n"/>
      <c r="C186" s="429" t="n"/>
      <c r="D186" s="429" t="n"/>
      <c r="E186" s="276" t="inlineStr">
        <is>
          <t>BIRENDRA RAUT GADI</t>
        </is>
      </c>
      <c r="F186" s="136" t="inlineStr">
        <is>
          <t>Soft Service</t>
        </is>
      </c>
      <c r="G186" s="68" t="n"/>
      <c r="H186" s="460" t="n">
        <v>2613294731</v>
      </c>
      <c r="I186" s="425" t="inlineStr">
        <is>
          <t>Approved</t>
        </is>
      </c>
      <c r="J186" s="496" t="n">
        <v>46263</v>
      </c>
      <c r="K186" s="425" t="inlineStr">
        <is>
          <t>MEHAN RENTAL</t>
        </is>
      </c>
      <c r="L186" s="29" t="inlineStr">
        <is>
          <t>-</t>
        </is>
      </c>
      <c r="N186" s="128" t="n"/>
      <c r="O186" s="128" t="n"/>
      <c r="P186" s="128" t="n"/>
      <c r="Q186" s="128" t="n"/>
      <c r="R186" s="128" t="n"/>
      <c r="S186" s="128" t="n"/>
      <c r="T186" s="128" t="n"/>
    </row>
    <row r="187" ht="15.75" customHeight="1">
      <c r="A187" s="429" t="n"/>
      <c r="B187" s="429" t="n"/>
      <c r="C187" s="429" t="n"/>
      <c r="D187" s="429" t="n"/>
      <c r="E187" s="276" t="inlineStr">
        <is>
          <t>ZAFFIR HUSSAIN</t>
        </is>
      </c>
      <c r="F187" s="136" t="inlineStr">
        <is>
          <t>Soft Service</t>
        </is>
      </c>
      <c r="G187" s="68" t="n"/>
      <c r="H187" s="460" t="n">
        <v>2615134398</v>
      </c>
      <c r="I187" s="425" t="inlineStr">
        <is>
          <t>Approved</t>
        </is>
      </c>
      <c r="J187" s="496" t="n">
        <v>46263</v>
      </c>
      <c r="K187" s="425" t="inlineStr">
        <is>
          <t>MEHAN RENTAL</t>
        </is>
      </c>
      <c r="L187" s="29" t="inlineStr">
        <is>
          <t>-</t>
        </is>
      </c>
      <c r="N187" s="128" t="n"/>
      <c r="O187" s="128" t="n"/>
      <c r="P187" s="128" t="n"/>
      <c r="Q187" s="128" t="n"/>
      <c r="R187" s="128" t="n"/>
      <c r="S187" s="128" t="n"/>
      <c r="T187" s="128" t="n"/>
    </row>
    <row r="188" ht="15.75" customHeight="1">
      <c r="A188" s="429" t="n"/>
      <c r="B188" s="429" t="n"/>
      <c r="C188" s="429" t="n"/>
      <c r="D188" s="429" t="n"/>
      <c r="E188" s="276" t="inlineStr">
        <is>
          <t>ROKIB  MOROL</t>
        </is>
      </c>
      <c r="F188" s="136" t="inlineStr">
        <is>
          <t>Soft Service</t>
        </is>
      </c>
      <c r="G188" s="68" t="n"/>
      <c r="H188" s="460" t="n">
        <v>2635108620</v>
      </c>
      <c r="I188" s="425" t="inlineStr">
        <is>
          <t>Approved</t>
        </is>
      </c>
      <c r="J188" s="496" t="n">
        <v>46263</v>
      </c>
      <c r="K188" s="425" t="inlineStr">
        <is>
          <t>MEHAN RENTAL</t>
        </is>
      </c>
      <c r="L188" s="29" t="inlineStr">
        <is>
          <t>-</t>
        </is>
      </c>
      <c r="N188" s="128" t="n"/>
      <c r="O188" s="128" t="n"/>
      <c r="P188" s="128" t="n"/>
      <c r="Q188" s="128" t="n"/>
      <c r="R188" s="128" t="n"/>
      <c r="S188" s="128" t="n"/>
      <c r="T188" s="128" t="n"/>
    </row>
    <row r="189" ht="15.75" customHeight="1">
      <c r="A189" s="429" t="n"/>
      <c r="B189" s="429" t="n"/>
      <c r="C189" s="429" t="n"/>
      <c r="D189" s="429" t="n"/>
      <c r="E189" s="460" t="inlineStr">
        <is>
          <t>MD Rizual Karim</t>
        </is>
      </c>
      <c r="F189" s="136" t="inlineStr">
        <is>
          <t>Soft Service</t>
        </is>
      </c>
      <c r="G189" s="68" t="inlineStr">
        <is>
          <t>-</t>
        </is>
      </c>
      <c r="H189" s="460" t="n">
        <v>2626493163</v>
      </c>
      <c r="I189" s="425" t="inlineStr">
        <is>
          <t>Approved</t>
        </is>
      </c>
      <c r="J189" s="496" t="n">
        <v>46212</v>
      </c>
      <c r="K189" s="425" t="inlineStr">
        <is>
          <t>AB-HOOR RENTAL</t>
        </is>
      </c>
      <c r="L189" s="29" t="inlineStr">
        <is>
          <t>-</t>
        </is>
      </c>
      <c r="N189" s="128" t="n"/>
      <c r="O189" s="128" t="n"/>
      <c r="P189" s="128" t="n"/>
      <c r="Q189" s="128" t="n"/>
      <c r="R189" s="128" t="n"/>
      <c r="S189" s="128" t="n"/>
      <c r="T189" s="128" t="n"/>
    </row>
    <row r="190" ht="15.75" customHeight="1">
      <c r="A190" s="431" t="n"/>
      <c r="B190" s="431" t="n"/>
      <c r="C190" s="431" t="n"/>
      <c r="D190" s="431" t="n"/>
      <c r="E190" s="460" t="inlineStr">
        <is>
          <t>RAJ - - KUMAR</t>
        </is>
      </c>
      <c r="F190" s="136" t="inlineStr">
        <is>
          <t>Soft Service</t>
        </is>
      </c>
      <c r="G190" s="169" t="inlineStr">
        <is>
          <t>L01860</t>
        </is>
      </c>
      <c r="H190" s="169" t="n">
        <v>2641899808</v>
      </c>
      <c r="I190" s="425" t="inlineStr">
        <is>
          <t>Approved</t>
        </is>
      </c>
      <c r="J190" s="496" t="n">
        <v>9707</v>
      </c>
      <c r="K190" s="159" t="inlineStr">
        <is>
          <t>MEHAN RENTAL</t>
        </is>
      </c>
      <c r="L190" s="29" t="inlineStr">
        <is>
          <t>-</t>
        </is>
      </c>
      <c r="N190" s="128" t="n"/>
      <c r="O190" s="128" t="n"/>
      <c r="P190" s="128" t="n"/>
      <c r="Q190" s="128" t="n"/>
      <c r="R190" s="128" t="n"/>
      <c r="S190" s="128" t="n"/>
      <c r="T190" s="128" t="n"/>
    </row>
    <row r="191" ht="15.75" customHeight="1">
      <c r="A191" s="440" t="inlineStr">
        <is>
          <t>Male Housekeepers</t>
        </is>
      </c>
      <c r="B191" s="440" t="n">
        <v>92</v>
      </c>
      <c r="C191" s="440">
        <f>COUNTIF(E191:E282,"&lt;&gt;")</f>
        <v/>
      </c>
      <c r="D191" s="441">
        <f>C191-B191</f>
        <v/>
      </c>
      <c r="E191" s="460" t="inlineStr">
        <is>
          <t>Md Moklas</t>
        </is>
      </c>
      <c r="F191" s="136" t="inlineStr">
        <is>
          <t>Soft Service</t>
        </is>
      </c>
      <c r="G191" s="68" t="inlineStr">
        <is>
          <t>-</t>
        </is>
      </c>
      <c r="H191" s="460" t="n">
        <v>2621754080</v>
      </c>
      <c r="I191" s="425" t="inlineStr">
        <is>
          <t>Approved</t>
        </is>
      </c>
      <c r="J191" s="496" t="n">
        <v>46006</v>
      </c>
      <c r="K191" s="425" t="inlineStr">
        <is>
          <t>SCC ( RENTAL )</t>
        </is>
      </c>
      <c r="L191" s="29" t="inlineStr">
        <is>
          <t>-</t>
        </is>
      </c>
      <c r="N191" s="128" t="n"/>
      <c r="O191" s="128" t="n"/>
      <c r="P191" s="128" t="n"/>
      <c r="Q191" s="128" t="n"/>
      <c r="R191" s="128" t="n"/>
      <c r="S191" s="128" t="n"/>
      <c r="T191" s="128" t="n"/>
    </row>
    <row r="192" ht="15.75" customHeight="1">
      <c r="A192" s="429" t="n"/>
      <c r="B192" s="429" t="n"/>
      <c r="C192" s="429" t="n"/>
      <c r="D192" s="429" t="n"/>
      <c r="E192" s="460" t="inlineStr">
        <is>
          <t>Mohammad Masum Mia</t>
        </is>
      </c>
      <c r="F192" s="136" t="inlineStr">
        <is>
          <t>Soft Service</t>
        </is>
      </c>
      <c r="G192" s="68" t="inlineStr">
        <is>
          <t>-</t>
        </is>
      </c>
      <c r="H192" s="460" t="n">
        <v>2628521185</v>
      </c>
      <c r="I192" s="425" t="inlineStr">
        <is>
          <t>Approved</t>
        </is>
      </c>
      <c r="J192" s="496" t="n">
        <v>46068</v>
      </c>
      <c r="K192" s="425" t="inlineStr">
        <is>
          <t>SCC ( RENTAL )</t>
        </is>
      </c>
      <c r="L192" s="29" t="inlineStr">
        <is>
          <t>-</t>
        </is>
      </c>
      <c r="N192" s="128" t="n"/>
      <c r="O192" s="128" t="n"/>
      <c r="P192" s="128" t="n"/>
      <c r="Q192" s="128" t="n"/>
      <c r="R192" s="128" t="n"/>
      <c r="S192" s="128" t="n"/>
      <c r="T192" s="128" t="n"/>
    </row>
    <row r="193" ht="15.75" customHeight="1">
      <c r="A193" s="429" t="n"/>
      <c r="B193" s="429" t="n"/>
      <c r="C193" s="429" t="n"/>
      <c r="D193" s="429" t="n"/>
      <c r="E193" s="460" t="inlineStr">
        <is>
          <t>Khabir Mia</t>
        </is>
      </c>
      <c r="F193" s="136" t="inlineStr">
        <is>
          <t>Soft Service</t>
        </is>
      </c>
      <c r="G193" s="68" t="inlineStr">
        <is>
          <t>-</t>
        </is>
      </c>
      <c r="H193" s="460" t="n">
        <v>2629944774</v>
      </c>
      <c r="I193" s="425" t="inlineStr">
        <is>
          <t>Approved</t>
        </is>
      </c>
      <c r="J193" s="496" t="n">
        <v>46068</v>
      </c>
      <c r="K193" s="425" t="inlineStr">
        <is>
          <t>SCC ( RENTAL )</t>
        </is>
      </c>
      <c r="L193" s="29" t="inlineStr">
        <is>
          <t>-</t>
        </is>
      </c>
      <c r="N193" s="128" t="n"/>
      <c r="O193" s="128" t="n"/>
      <c r="P193" s="128" t="n"/>
      <c r="Q193" s="128" t="n"/>
      <c r="R193" s="128" t="n"/>
      <c r="S193" s="128" t="n"/>
      <c r="T193" s="128" t="n"/>
    </row>
    <row r="194" ht="15.75" customHeight="1">
      <c r="A194" s="429" t="n"/>
      <c r="B194" s="429" t="n"/>
      <c r="C194" s="429" t="n"/>
      <c r="D194" s="429" t="n"/>
      <c r="E194" s="460" t="inlineStr">
        <is>
          <t>Md Azim</t>
        </is>
      </c>
      <c r="F194" s="136" t="inlineStr">
        <is>
          <t>Soft Service</t>
        </is>
      </c>
      <c r="G194" s="68" t="inlineStr">
        <is>
          <t>-</t>
        </is>
      </c>
      <c r="H194" s="460" t="n">
        <v>2628520724</v>
      </c>
      <c r="I194" s="425" t="inlineStr">
        <is>
          <t>Approved</t>
        </is>
      </c>
      <c r="J194" s="496" t="n">
        <v>46068</v>
      </c>
      <c r="K194" s="425" t="inlineStr">
        <is>
          <t>SCC ( RENTAL )</t>
        </is>
      </c>
      <c r="L194" s="29" t="inlineStr">
        <is>
          <t>-</t>
        </is>
      </c>
      <c r="N194" s="128" t="n"/>
      <c r="O194" s="128" t="n"/>
      <c r="P194" s="128" t="n"/>
      <c r="Q194" s="128" t="n"/>
      <c r="R194" s="128" t="n"/>
      <c r="S194" s="128" t="n"/>
      <c r="T194" s="128" t="n"/>
    </row>
    <row r="195" ht="15.75" customHeight="1">
      <c r="A195" s="429" t="n"/>
      <c r="B195" s="429" t="n"/>
      <c r="C195" s="429" t="n"/>
      <c r="D195" s="429" t="n"/>
      <c r="E195" s="460" t="inlineStr">
        <is>
          <t>Md Bijoy Ahamed</t>
        </is>
      </c>
      <c r="F195" s="136" t="inlineStr">
        <is>
          <t>Soft Service</t>
        </is>
      </c>
      <c r="G195" s="68" t="inlineStr">
        <is>
          <t>-</t>
        </is>
      </c>
      <c r="H195" s="460" t="n">
        <v>2630069207</v>
      </c>
      <c r="I195" s="425" t="inlineStr">
        <is>
          <t>Approved</t>
        </is>
      </c>
      <c r="J195" s="496" t="n">
        <v>46068</v>
      </c>
      <c r="K195" s="425" t="inlineStr">
        <is>
          <t>SCC ( RENTAL )</t>
        </is>
      </c>
      <c r="L195" s="29" t="inlineStr">
        <is>
          <t>-</t>
        </is>
      </c>
      <c r="N195" s="128" t="n"/>
      <c r="O195" s="128" t="n"/>
      <c r="P195" s="128" t="n"/>
      <c r="Q195" s="128" t="n"/>
      <c r="R195" s="128" t="n"/>
      <c r="S195" s="128" t="n"/>
      <c r="T195" s="128" t="n"/>
    </row>
    <row r="196" ht="15.75" customHeight="1">
      <c r="A196" s="429" t="n"/>
      <c r="B196" s="429" t="n"/>
      <c r="C196" s="429" t="n"/>
      <c r="D196" s="429" t="n"/>
      <c r="E196" s="460" t="inlineStr">
        <is>
          <t>Md Emon Mia</t>
        </is>
      </c>
      <c r="F196" s="136" t="inlineStr">
        <is>
          <t>Soft Service</t>
        </is>
      </c>
      <c r="G196" s="68" t="inlineStr">
        <is>
          <t>-</t>
        </is>
      </c>
      <c r="H196" s="460" t="n">
        <v>2630082242</v>
      </c>
      <c r="I196" s="425" t="inlineStr">
        <is>
          <t>Approved</t>
        </is>
      </c>
      <c r="J196" s="496" t="n">
        <v>46068</v>
      </c>
      <c r="K196" s="425" t="inlineStr">
        <is>
          <t>SCC ( RENTAL )</t>
        </is>
      </c>
      <c r="L196" s="29" t="inlineStr">
        <is>
          <t>-</t>
        </is>
      </c>
      <c r="N196" s="128" t="n"/>
      <c r="O196" s="128" t="n"/>
      <c r="P196" s="128" t="n"/>
      <c r="Q196" s="128" t="n"/>
      <c r="R196" s="128" t="n"/>
      <c r="S196" s="128" t="n"/>
      <c r="T196" s="128" t="n"/>
    </row>
    <row r="197" ht="15.75" customHeight="1">
      <c r="A197" s="429" t="n"/>
      <c r="B197" s="429" t="n"/>
      <c r="C197" s="429" t="n"/>
      <c r="D197" s="429" t="n"/>
      <c r="E197" s="460" t="inlineStr">
        <is>
          <t>Md Hanjala</t>
        </is>
      </c>
      <c r="F197" s="136" t="inlineStr">
        <is>
          <t>Soft Service</t>
        </is>
      </c>
      <c r="G197" s="68" t="inlineStr">
        <is>
          <t>-</t>
        </is>
      </c>
      <c r="H197" s="460" t="n">
        <v>2629941424</v>
      </c>
      <c r="I197" s="425" t="inlineStr">
        <is>
          <t>Approved</t>
        </is>
      </c>
      <c r="J197" s="496" t="n">
        <v>46068</v>
      </c>
      <c r="K197" s="425" t="inlineStr">
        <is>
          <t>SCC ( RENTAL )</t>
        </is>
      </c>
      <c r="L197" s="29" t="inlineStr">
        <is>
          <t>-</t>
        </is>
      </c>
      <c r="N197" s="128" t="n"/>
      <c r="O197" s="128" t="n"/>
      <c r="P197" s="128" t="n"/>
      <c r="Q197" s="128" t="n"/>
      <c r="R197" s="128" t="n"/>
      <c r="S197" s="128" t="n"/>
      <c r="T197" s="128" t="n"/>
    </row>
    <row r="198" ht="15.75" customHeight="1">
      <c r="A198" s="429" t="n"/>
      <c r="B198" s="429" t="n"/>
      <c r="C198" s="429" t="n"/>
      <c r="D198" s="429" t="n"/>
      <c r="E198" s="460" t="inlineStr">
        <is>
          <t>Suvas Sarkar</t>
        </is>
      </c>
      <c r="F198" s="136" t="inlineStr">
        <is>
          <t>Soft Service</t>
        </is>
      </c>
      <c r="G198" s="68" t="inlineStr">
        <is>
          <t>S566</t>
        </is>
      </c>
      <c r="H198" s="460" t="n">
        <v>2629184835</v>
      </c>
      <c r="I198" s="425" t="inlineStr">
        <is>
          <t>Approved</t>
        </is>
      </c>
      <c r="J198" s="496" t="n">
        <v>46070</v>
      </c>
      <c r="K198" s="425" t="inlineStr">
        <is>
          <t>SCC ( RENTAL )</t>
        </is>
      </c>
      <c r="L198" s="29" t="inlineStr">
        <is>
          <t>-</t>
        </is>
      </c>
      <c r="N198" s="128" t="n"/>
      <c r="O198" s="128" t="n"/>
      <c r="P198" s="128" t="n"/>
      <c r="Q198" s="128" t="n"/>
      <c r="R198" s="128" t="n"/>
      <c r="S198" s="128" t="n"/>
      <c r="T198" s="128" t="n"/>
    </row>
    <row r="199" ht="15.75" customHeight="1">
      <c r="A199" s="429" t="n"/>
      <c r="B199" s="429" t="n"/>
      <c r="C199" s="429" t="n"/>
      <c r="D199" s="429" t="n"/>
      <c r="E199" s="460" t="inlineStr">
        <is>
          <t>Md Rafiq Miah</t>
        </is>
      </c>
      <c r="F199" s="136" t="inlineStr">
        <is>
          <t>Soft Service</t>
        </is>
      </c>
      <c r="G199" s="68" t="inlineStr">
        <is>
          <t>S567</t>
        </is>
      </c>
      <c r="H199" s="460" t="n">
        <v>2629184827</v>
      </c>
      <c r="I199" s="425" t="inlineStr">
        <is>
          <t>Approved</t>
        </is>
      </c>
      <c r="J199" s="496" t="n">
        <v>46070</v>
      </c>
      <c r="K199" s="425" t="inlineStr">
        <is>
          <t>SCC ( RENTAL )</t>
        </is>
      </c>
      <c r="L199" s="29" t="inlineStr">
        <is>
          <t>-</t>
        </is>
      </c>
      <c r="N199" s="128" t="n"/>
      <c r="O199" s="128" t="n"/>
      <c r="P199" s="128" t="n"/>
      <c r="Q199" s="128" t="n"/>
      <c r="R199" s="128" t="n"/>
      <c r="S199" s="128" t="n"/>
      <c r="T199" s="128" t="n"/>
    </row>
    <row r="200" ht="15.75" customHeight="1">
      <c r="A200" s="429" t="n"/>
      <c r="B200" s="429" t="n"/>
      <c r="C200" s="429" t="n"/>
      <c r="D200" s="429" t="n"/>
      <c r="E200" s="460" t="inlineStr">
        <is>
          <t>Md Shohel Mia</t>
        </is>
      </c>
      <c r="F200" s="136" t="inlineStr">
        <is>
          <t>Soft Service</t>
        </is>
      </c>
      <c r="G200" s="68" t="inlineStr">
        <is>
          <t>S568</t>
        </is>
      </c>
      <c r="H200" s="460" t="n">
        <v>2629274339</v>
      </c>
      <c r="I200" s="425" t="inlineStr">
        <is>
          <t>Approved</t>
        </is>
      </c>
      <c r="J200" s="496" t="n">
        <v>46070</v>
      </c>
      <c r="K200" s="425" t="inlineStr">
        <is>
          <t>SCC ( RENTAL )</t>
        </is>
      </c>
      <c r="L200" s="29" t="inlineStr">
        <is>
          <t>-</t>
        </is>
      </c>
      <c r="N200" s="128" t="n"/>
      <c r="O200" s="128" t="n"/>
      <c r="P200" s="128" t="n"/>
      <c r="Q200" s="128" t="n"/>
      <c r="R200" s="128" t="n"/>
      <c r="S200" s="128" t="n"/>
      <c r="T200" s="128" t="n"/>
    </row>
    <row r="201" ht="15.75" customHeight="1">
      <c r="A201" s="429" t="n"/>
      <c r="B201" s="429" t="n"/>
      <c r="C201" s="429" t="n"/>
      <c r="D201" s="429" t="n"/>
      <c r="E201" s="460" t="inlineStr">
        <is>
          <t>Md S M Asif</t>
        </is>
      </c>
      <c r="F201" s="136" t="inlineStr">
        <is>
          <t>Soft Service</t>
        </is>
      </c>
      <c r="G201" s="68" t="inlineStr">
        <is>
          <t>S570</t>
        </is>
      </c>
      <c r="H201" s="460" t="n">
        <v>2629528981</v>
      </c>
      <c r="I201" s="425" t="inlineStr">
        <is>
          <t>Approved</t>
        </is>
      </c>
      <c r="J201" s="496" t="n">
        <v>46070</v>
      </c>
      <c r="K201" s="425" t="inlineStr">
        <is>
          <t>SCC ( RENTAL )</t>
        </is>
      </c>
      <c r="L201" s="29" t="inlineStr">
        <is>
          <t>-</t>
        </is>
      </c>
      <c r="N201" s="128" t="n"/>
      <c r="O201" s="128" t="n"/>
      <c r="P201" s="128" t="n"/>
      <c r="Q201" s="128" t="n"/>
      <c r="R201" s="128" t="n"/>
      <c r="S201" s="128" t="n"/>
      <c r="T201" s="128" t="n"/>
    </row>
    <row r="202" ht="15.75" customHeight="1">
      <c r="A202" s="429" t="n"/>
      <c r="B202" s="429" t="n"/>
      <c r="C202" s="429" t="n"/>
      <c r="D202" s="429" t="n"/>
      <c r="E202" s="460" t="inlineStr">
        <is>
          <t>Mohammad Tanvir</t>
        </is>
      </c>
      <c r="F202" s="136" t="inlineStr">
        <is>
          <t>Soft Service</t>
        </is>
      </c>
      <c r="G202" s="68" t="inlineStr">
        <is>
          <t>S571</t>
        </is>
      </c>
      <c r="H202" s="460" t="n">
        <v>2629529005</v>
      </c>
      <c r="I202" s="425" t="inlineStr">
        <is>
          <t>Approved</t>
        </is>
      </c>
      <c r="J202" s="496" t="n">
        <v>46070</v>
      </c>
      <c r="K202" s="425" t="inlineStr">
        <is>
          <t>SCC ( RENTAL )</t>
        </is>
      </c>
      <c r="L202" s="29" t="inlineStr">
        <is>
          <t>-</t>
        </is>
      </c>
      <c r="N202" s="128" t="n"/>
      <c r="O202" s="128" t="n"/>
      <c r="P202" s="128" t="n"/>
      <c r="Q202" s="128" t="n"/>
      <c r="R202" s="128" t="n"/>
      <c r="S202" s="128" t="n"/>
      <c r="T202" s="128" t="n"/>
    </row>
    <row r="203" ht="15.75" customHeight="1">
      <c r="A203" s="429" t="n"/>
      <c r="B203" s="429" t="n"/>
      <c r="C203" s="429" t="n"/>
      <c r="D203" s="429" t="n"/>
      <c r="E203" s="460" t="inlineStr">
        <is>
          <t>Md Maiyan</t>
        </is>
      </c>
      <c r="F203" s="136" t="inlineStr">
        <is>
          <t>Soft Service</t>
        </is>
      </c>
      <c r="G203" s="68" t="inlineStr">
        <is>
          <t>S573</t>
        </is>
      </c>
      <c r="H203" s="460" t="n">
        <v>2629529070</v>
      </c>
      <c r="I203" s="425" t="inlineStr">
        <is>
          <t>Approved</t>
        </is>
      </c>
      <c r="J203" s="496" t="n">
        <v>46070</v>
      </c>
      <c r="K203" s="425" t="inlineStr">
        <is>
          <t>SCC ( RENTAL )</t>
        </is>
      </c>
      <c r="L203" s="29" t="inlineStr">
        <is>
          <t>-</t>
        </is>
      </c>
      <c r="N203" s="128" t="n"/>
      <c r="O203" s="128" t="n"/>
      <c r="P203" s="128" t="n"/>
      <c r="Q203" s="128" t="n"/>
      <c r="R203" s="128" t="n"/>
      <c r="S203" s="128" t="n"/>
      <c r="T203" s="128" t="n"/>
    </row>
    <row r="204" ht="15.75" customHeight="1">
      <c r="A204" s="429" t="n"/>
      <c r="B204" s="429" t="n"/>
      <c r="C204" s="429" t="n"/>
      <c r="D204" s="429" t="n"/>
      <c r="E204" s="460" t="inlineStr">
        <is>
          <t>Amir Ali</t>
        </is>
      </c>
      <c r="F204" s="136" t="inlineStr">
        <is>
          <t>Soft Service</t>
        </is>
      </c>
      <c r="G204" s="68" t="inlineStr">
        <is>
          <t>S574</t>
        </is>
      </c>
      <c r="H204" s="460" t="n">
        <v>2630109037</v>
      </c>
      <c r="I204" s="425" t="inlineStr">
        <is>
          <t>Approved</t>
        </is>
      </c>
      <c r="J204" s="496" t="n">
        <v>46070</v>
      </c>
      <c r="K204" s="425" t="inlineStr">
        <is>
          <t>SCC ( RENTAL )</t>
        </is>
      </c>
      <c r="L204" s="29" t="inlineStr">
        <is>
          <t>-</t>
        </is>
      </c>
      <c r="N204" s="128" t="n"/>
      <c r="O204" s="128" t="n"/>
      <c r="P204" s="128" t="n"/>
      <c r="Q204" s="128" t="n"/>
      <c r="R204" s="128" t="n"/>
      <c r="S204" s="128" t="n"/>
      <c r="T204" s="128" t="n"/>
    </row>
    <row r="205" ht="15.75" customHeight="1">
      <c r="A205" s="429" t="n"/>
      <c r="B205" s="429" t="n"/>
      <c r="C205" s="429" t="n"/>
      <c r="D205" s="429" t="n"/>
      <c r="E205" s="460" t="inlineStr">
        <is>
          <t>Sobuj Miah</t>
        </is>
      </c>
      <c r="F205" s="136" t="inlineStr">
        <is>
          <t>Soft Service</t>
        </is>
      </c>
      <c r="G205" s="68" t="inlineStr">
        <is>
          <t>S575</t>
        </is>
      </c>
      <c r="H205" s="460" t="n">
        <v>2629945201</v>
      </c>
      <c r="I205" s="425" t="inlineStr">
        <is>
          <t>Approved</t>
        </is>
      </c>
      <c r="J205" s="496" t="n">
        <v>46070</v>
      </c>
      <c r="K205" s="425" t="inlineStr">
        <is>
          <t>SCC ( RENTAL )</t>
        </is>
      </c>
      <c r="L205" s="29" t="inlineStr">
        <is>
          <t>-</t>
        </is>
      </c>
      <c r="N205" s="128" t="n"/>
      <c r="O205" s="128" t="n"/>
      <c r="P205" s="128" t="n"/>
      <c r="Q205" s="128" t="n"/>
      <c r="R205" s="128" t="n"/>
      <c r="S205" s="128" t="n"/>
      <c r="T205" s="128" t="n"/>
    </row>
    <row r="206" ht="15.75" customHeight="1">
      <c r="A206" s="429" t="n"/>
      <c r="B206" s="429" t="n"/>
      <c r="C206" s="429" t="n"/>
      <c r="D206" s="429" t="n"/>
      <c r="E206" s="460" t="inlineStr">
        <is>
          <t>Samrat Khan</t>
        </is>
      </c>
      <c r="F206" s="136" t="inlineStr">
        <is>
          <t>Soft Service</t>
        </is>
      </c>
      <c r="G206" s="68" t="inlineStr">
        <is>
          <t>S576</t>
        </is>
      </c>
      <c r="H206" s="460" t="n">
        <v>2629944600</v>
      </c>
      <c r="I206" s="425" t="inlineStr">
        <is>
          <t>Approved</t>
        </is>
      </c>
      <c r="J206" s="496" t="n">
        <v>46070</v>
      </c>
      <c r="K206" s="425" t="inlineStr">
        <is>
          <t>SCC ( RENTAL )</t>
        </is>
      </c>
      <c r="L206" s="29" t="inlineStr">
        <is>
          <t>-</t>
        </is>
      </c>
      <c r="N206" s="128" t="n"/>
      <c r="O206" s="128" t="n"/>
      <c r="P206" s="128" t="n"/>
      <c r="Q206" s="128" t="n"/>
      <c r="R206" s="128" t="n"/>
      <c r="S206" s="128" t="n"/>
      <c r="T206" s="128" t="n"/>
    </row>
    <row r="207" ht="15.75" customHeight="1">
      <c r="A207" s="429" t="n"/>
      <c r="B207" s="429" t="n"/>
      <c r="C207" s="429" t="n"/>
      <c r="D207" s="429" t="n"/>
      <c r="E207" s="460" t="inlineStr">
        <is>
          <t>Md Hasan Dorji</t>
        </is>
      </c>
      <c r="F207" s="136" t="inlineStr">
        <is>
          <t>Soft Service</t>
        </is>
      </c>
      <c r="G207" s="68" t="inlineStr">
        <is>
          <t>S578</t>
        </is>
      </c>
      <c r="H207" s="460" t="n">
        <v>2629942133</v>
      </c>
      <c r="I207" s="425" t="inlineStr">
        <is>
          <t>Approved</t>
        </is>
      </c>
      <c r="J207" s="496" t="n">
        <v>46070</v>
      </c>
      <c r="K207" s="425" t="inlineStr">
        <is>
          <t>SCC ( RENTAL )</t>
        </is>
      </c>
      <c r="L207" s="29" t="inlineStr">
        <is>
          <t>-</t>
        </is>
      </c>
      <c r="N207" s="128" t="n"/>
      <c r="O207" s="128" t="n"/>
      <c r="P207" s="128" t="n"/>
      <c r="Q207" s="128" t="n"/>
      <c r="R207" s="128" t="n"/>
      <c r="S207" s="128" t="n"/>
      <c r="T207" s="128" t="n"/>
    </row>
    <row r="208" ht="15.75" customHeight="1">
      <c r="A208" s="429" t="n"/>
      <c r="B208" s="429" t="n"/>
      <c r="C208" s="429" t="n"/>
      <c r="D208" s="429" t="n"/>
      <c r="E208" s="460" t="inlineStr">
        <is>
          <t>Md Abdul Alim</t>
        </is>
      </c>
      <c r="F208" s="136" t="inlineStr">
        <is>
          <t>Soft Service</t>
        </is>
      </c>
      <c r="G208" s="68" t="n">
        <v>1024</v>
      </c>
      <c r="H208" s="460" t="n">
        <v>2569498161</v>
      </c>
      <c r="I208" s="425" t="inlineStr">
        <is>
          <t>Approved</t>
        </is>
      </c>
      <c r="J208" s="496" t="n">
        <v>45648</v>
      </c>
      <c r="K208" s="425" t="inlineStr">
        <is>
          <t>UCC( RENTAL)</t>
        </is>
      </c>
      <c r="L208" s="29" t="inlineStr">
        <is>
          <t>-</t>
        </is>
      </c>
      <c r="N208" s="128" t="n"/>
      <c r="O208" s="128" t="n"/>
      <c r="P208" s="128" t="n"/>
      <c r="Q208" s="128" t="n"/>
      <c r="R208" s="128" t="n"/>
      <c r="S208" s="128" t="n"/>
      <c r="T208" s="128" t="n"/>
    </row>
    <row r="209" ht="15.75" customHeight="1">
      <c r="A209" s="429" t="n"/>
      <c r="B209" s="429" t="n"/>
      <c r="C209" s="429" t="n"/>
      <c r="D209" s="429" t="n"/>
      <c r="E209" s="460" t="inlineStr">
        <is>
          <t>Alomgir Alom Sourov</t>
        </is>
      </c>
      <c r="F209" s="136" t="inlineStr">
        <is>
          <t>Soft Service</t>
        </is>
      </c>
      <c r="G209" s="68" t="n">
        <v>1252</v>
      </c>
      <c r="H209" s="460" t="n">
        <v>2591134818</v>
      </c>
      <c r="I209" s="425" t="inlineStr">
        <is>
          <t>Approved</t>
        </is>
      </c>
      <c r="J209" s="496" t="n">
        <v>45643</v>
      </c>
      <c r="K209" s="425" t="inlineStr">
        <is>
          <t>UCC( RENTAL)</t>
        </is>
      </c>
      <c r="L209" s="29" t="inlineStr">
        <is>
          <t>-</t>
        </is>
      </c>
      <c r="N209" s="128" t="n"/>
      <c r="O209" s="128" t="n"/>
      <c r="P209" s="128" t="n"/>
      <c r="Q209" s="128" t="n"/>
      <c r="R209" s="128" t="n"/>
      <c r="S209" s="128" t="n"/>
      <c r="T209" s="128" t="n"/>
    </row>
    <row r="210" ht="15.75" customHeight="1">
      <c r="A210" s="429" t="n"/>
      <c r="B210" s="429" t="n"/>
      <c r="C210" s="429" t="n"/>
      <c r="D210" s="429" t="n"/>
      <c r="E210" s="460" t="inlineStr">
        <is>
          <t>Md Nazmul Haque</t>
        </is>
      </c>
      <c r="F210" s="136" t="inlineStr">
        <is>
          <t>Soft Service</t>
        </is>
      </c>
      <c r="G210" s="68" t="n">
        <v>1292</v>
      </c>
      <c r="H210" s="460" t="n">
        <v>2598768717</v>
      </c>
      <c r="I210" s="425" t="inlineStr">
        <is>
          <t>Approved</t>
        </is>
      </c>
      <c r="J210" s="496" t="n">
        <v>45769</v>
      </c>
      <c r="K210" s="425" t="inlineStr">
        <is>
          <t>UCC( RENTAL)</t>
        </is>
      </c>
      <c r="L210" s="29" t="inlineStr">
        <is>
          <t>-</t>
        </is>
      </c>
      <c r="N210" s="128" t="n"/>
      <c r="O210" s="128" t="n"/>
      <c r="P210" s="128" t="n"/>
      <c r="Q210" s="128" t="n"/>
      <c r="R210" s="128" t="n"/>
      <c r="S210" s="128" t="n"/>
      <c r="T210" s="128" t="n"/>
    </row>
    <row r="211" ht="15.75" customHeight="1">
      <c r="A211" s="429" t="n"/>
      <c r="B211" s="429" t="n"/>
      <c r="C211" s="429" t="n"/>
      <c r="D211" s="429" t="n"/>
      <c r="E211" s="460" t="inlineStr">
        <is>
          <t>KHURSHID</t>
        </is>
      </c>
      <c r="F211" s="136" t="inlineStr">
        <is>
          <t>Soft Service</t>
        </is>
      </c>
      <c r="G211" s="68" t="n"/>
      <c r="H211" s="460" t="n">
        <v>2610009785</v>
      </c>
      <c r="I211" s="425" t="inlineStr">
        <is>
          <t>Approved</t>
        </is>
      </c>
      <c r="J211" s="496" t="n">
        <v>46263</v>
      </c>
      <c r="K211" s="425" t="n"/>
      <c r="L211" s="29" t="n"/>
      <c r="N211" s="128" t="n"/>
      <c r="O211" s="128" t="n"/>
      <c r="P211" s="128" t="n"/>
      <c r="Q211" s="128" t="n"/>
      <c r="R211" s="128" t="n"/>
      <c r="S211" s="128" t="n"/>
      <c r="T211" s="128" t="n"/>
    </row>
    <row r="212" ht="15.75" customHeight="1">
      <c r="A212" s="429" t="n"/>
      <c r="B212" s="429" t="n"/>
      <c r="C212" s="429" t="n"/>
      <c r="D212" s="429" t="n"/>
      <c r="E212" s="276" t="inlineStr">
        <is>
          <t>SADEK</t>
        </is>
      </c>
      <c r="F212" s="136" t="inlineStr">
        <is>
          <t>Soft Service</t>
        </is>
      </c>
      <c r="G212" s="68" t="n"/>
      <c r="H212" s="460" t="inlineStr">
        <is>
          <t>A1715173</t>
        </is>
      </c>
      <c r="I212" s="425" t="inlineStr">
        <is>
          <t>Approved</t>
        </is>
      </c>
      <c r="J212" s="496" t="n">
        <v>46263</v>
      </c>
      <c r="K212" s="425" t="n"/>
      <c r="L212" s="29" t="n"/>
      <c r="N212" s="128" t="n"/>
      <c r="O212" s="128" t="n"/>
      <c r="P212" s="128" t="n"/>
      <c r="Q212" s="128" t="n"/>
      <c r="R212" s="128" t="n"/>
      <c r="S212" s="128" t="n"/>
      <c r="T212" s="128" t="n"/>
    </row>
    <row r="213" ht="15.75" customHeight="1">
      <c r="A213" s="429" t="n"/>
      <c r="B213" s="429" t="n"/>
      <c r="C213" s="429" t="n"/>
      <c r="D213" s="429" t="n"/>
      <c r="E213" s="276" t="inlineStr">
        <is>
          <t>MD HABEBUR</t>
        </is>
      </c>
      <c r="F213" s="136" t="inlineStr">
        <is>
          <t>Soft Service</t>
        </is>
      </c>
      <c r="G213" s="68" t="n"/>
      <c r="H213" s="460" t="inlineStr">
        <is>
          <t>A13361947</t>
        </is>
      </c>
      <c r="I213" s="425" t="inlineStr">
        <is>
          <t>Approved</t>
        </is>
      </c>
      <c r="J213" s="496" t="n">
        <v>46263</v>
      </c>
      <c r="K213" s="425" t="n"/>
      <c r="L213" s="29" t="n"/>
      <c r="N213" s="128" t="n"/>
      <c r="O213" s="128" t="n"/>
      <c r="P213" s="128" t="n"/>
      <c r="Q213" s="128" t="n"/>
      <c r="R213" s="128" t="n"/>
      <c r="S213" s="128" t="n"/>
      <c r="T213" s="128" t="n"/>
    </row>
    <row r="214" ht="15.75" customHeight="1">
      <c r="A214" s="429" t="n"/>
      <c r="B214" s="429" t="n"/>
      <c r="C214" s="429" t="n"/>
      <c r="D214" s="429" t="n"/>
      <c r="E214" s="276" t="inlineStr">
        <is>
          <t>MD AZAM</t>
        </is>
      </c>
      <c r="F214" s="136" t="inlineStr">
        <is>
          <t>Soft Service</t>
        </is>
      </c>
      <c r="G214" s="68" t="n"/>
      <c r="H214" s="460" t="inlineStr">
        <is>
          <t>A21565017</t>
        </is>
      </c>
      <c r="I214" s="425" t="inlineStr">
        <is>
          <t>Approved</t>
        </is>
      </c>
      <c r="J214" s="496" t="n">
        <v>46263</v>
      </c>
      <c r="K214" s="425" t="n"/>
      <c r="L214" s="29" t="n"/>
      <c r="N214" s="128" t="n"/>
      <c r="O214" s="128" t="n"/>
      <c r="P214" s="128" t="n"/>
      <c r="Q214" s="128" t="n"/>
      <c r="R214" s="128" t="n"/>
      <c r="S214" s="128" t="n"/>
      <c r="T214" s="128" t="n"/>
    </row>
    <row r="215" ht="15.75" customHeight="1">
      <c r="A215" s="429" t="n"/>
      <c r="B215" s="429" t="n"/>
      <c r="C215" s="429" t="n"/>
      <c r="D215" s="429" t="n"/>
      <c r="E215" s="276" t="inlineStr">
        <is>
          <t>ISARUL</t>
        </is>
      </c>
      <c r="F215" s="136" t="inlineStr">
        <is>
          <t>Soft Service</t>
        </is>
      </c>
      <c r="G215" s="68" t="n"/>
      <c r="H215" s="460" t="inlineStr">
        <is>
          <t>C9778322</t>
        </is>
      </c>
      <c r="I215" s="425" t="inlineStr">
        <is>
          <t>Approved</t>
        </is>
      </c>
      <c r="J215" s="496" t="n">
        <v>46263</v>
      </c>
      <c r="K215" s="425" t="n"/>
      <c r="L215" s="29" t="n"/>
      <c r="N215" s="128" t="n"/>
      <c r="O215" s="128" t="n"/>
      <c r="P215" s="128" t="n"/>
      <c r="Q215" s="128" t="n"/>
      <c r="R215" s="128" t="n"/>
      <c r="S215" s="128" t="n"/>
      <c r="T215" s="128" t="n"/>
    </row>
    <row r="216" ht="15.75" customHeight="1">
      <c r="A216" s="429" t="n"/>
      <c r="B216" s="429" t="n"/>
      <c r="C216" s="429" t="n"/>
      <c r="D216" s="429" t="n"/>
      <c r="E216" s="276" t="inlineStr">
        <is>
          <t>FIROJ AHAMAD</t>
        </is>
      </c>
      <c r="F216" s="136" t="inlineStr">
        <is>
          <t>Soft Service</t>
        </is>
      </c>
      <c r="G216" s="68" t="n"/>
      <c r="H216" s="460" t="inlineStr">
        <is>
          <t>AB521167</t>
        </is>
      </c>
      <c r="I216" s="425" t="inlineStr">
        <is>
          <t>Approved</t>
        </is>
      </c>
      <c r="J216" s="496" t="n">
        <v>46263</v>
      </c>
      <c r="K216" s="425" t="n"/>
      <c r="L216" s="29" t="n"/>
      <c r="N216" s="128" t="n"/>
      <c r="O216" s="128" t="n"/>
      <c r="P216" s="128" t="n"/>
      <c r="Q216" s="128" t="n"/>
      <c r="R216" s="128" t="n"/>
      <c r="S216" s="128" t="n"/>
      <c r="T216" s="128" t="n"/>
    </row>
    <row r="217" ht="15.75" customHeight="1">
      <c r="A217" s="429" t="n"/>
      <c r="B217" s="429" t="n"/>
      <c r="C217" s="429" t="n"/>
      <c r="D217" s="429" t="n"/>
      <c r="E217" s="276" t="inlineStr">
        <is>
          <t>MUBASHAR ABBASI GULFRAZ KHAN</t>
        </is>
      </c>
      <c r="F217" s="136" t="inlineStr">
        <is>
          <t>Soft Service</t>
        </is>
      </c>
      <c r="G217" s="68" t="n"/>
      <c r="H217" s="460" t="n">
        <v>2643723212</v>
      </c>
      <c r="I217" s="425" t="inlineStr">
        <is>
          <t>Approved</t>
        </is>
      </c>
      <c r="J217" s="496" t="n">
        <v>46263</v>
      </c>
      <c r="K217" s="425" t="n"/>
      <c r="L217" s="29" t="n"/>
      <c r="N217" s="128" t="n"/>
      <c r="O217" s="128" t="n"/>
      <c r="P217" s="128" t="n"/>
      <c r="Q217" s="128" t="n"/>
      <c r="R217" s="128" t="n"/>
      <c r="S217" s="128" t="n"/>
      <c r="T217" s="128" t="n"/>
    </row>
    <row r="218" ht="15.75" customHeight="1">
      <c r="A218" s="429" t="n"/>
      <c r="B218" s="429" t="n"/>
      <c r="C218" s="429" t="n"/>
      <c r="D218" s="429" t="n"/>
      <c r="E218" s="276" t="inlineStr">
        <is>
          <t>RUHUL AMIN - A05672429</t>
        </is>
      </c>
      <c r="F218" s="136" t="inlineStr">
        <is>
          <t>Soft Service</t>
        </is>
      </c>
      <c r="G218" s="68" t="n"/>
      <c r="H218" s="460" t="inlineStr">
        <is>
          <t>A05672429</t>
        </is>
      </c>
      <c r="I218" s="425" t="inlineStr">
        <is>
          <t>Approved</t>
        </is>
      </c>
      <c r="J218" s="496" t="n">
        <v>46263</v>
      </c>
      <c r="K218" s="425" t="n"/>
      <c r="L218" s="29" t="n"/>
      <c r="N218" s="128" t="n"/>
      <c r="O218" s="128" t="n"/>
      <c r="P218" s="128" t="n"/>
      <c r="Q218" s="128" t="n"/>
      <c r="R218" s="128" t="n"/>
      <c r="S218" s="128" t="n"/>
      <c r="T218" s="128" t="n"/>
    </row>
    <row r="219" ht="15.75" customHeight="1">
      <c r="A219" s="429" t="n"/>
      <c r="B219" s="429" t="n"/>
      <c r="C219" s="429" t="n"/>
      <c r="D219" s="429" t="n"/>
      <c r="E219" s="276" t="inlineStr">
        <is>
          <t>SAROJ KUMAR</t>
        </is>
      </c>
      <c r="F219" s="136" t="inlineStr">
        <is>
          <t>Soft Service</t>
        </is>
      </c>
      <c r="G219" s="68" t="n"/>
      <c r="H219" s="460" t="n">
        <v>2562966826</v>
      </c>
      <c r="I219" s="425" t="inlineStr">
        <is>
          <t>Approved</t>
        </is>
      </c>
      <c r="J219" s="496" t="n">
        <v>46263</v>
      </c>
      <c r="K219" s="425" t="n"/>
      <c r="L219" s="29" t="n"/>
      <c r="N219" s="128" t="n"/>
      <c r="O219" s="128" t="n"/>
      <c r="P219" s="128" t="n"/>
      <c r="Q219" s="128" t="n"/>
      <c r="R219" s="128" t="n"/>
      <c r="S219" s="128" t="n"/>
      <c r="T219" s="128" t="n"/>
    </row>
    <row r="220" ht="15.75" customHeight="1">
      <c r="A220" s="429" t="n"/>
      <c r="B220" s="429" t="n"/>
      <c r="C220" s="429" t="n"/>
      <c r="D220" s="429" t="n"/>
      <c r="E220" s="460" t="inlineStr">
        <is>
          <t>ANIKA GOLAM MUSTAFA</t>
        </is>
      </c>
      <c r="F220" s="136" t="inlineStr">
        <is>
          <t>Soft Service</t>
        </is>
      </c>
      <c r="G220" s="68" t="inlineStr">
        <is>
          <t>-</t>
        </is>
      </c>
      <c r="H220" s="460" t="n">
        <v>2526808817</v>
      </c>
      <c r="I220" s="425" t="inlineStr">
        <is>
          <t>Approved</t>
        </is>
      </c>
      <c r="J220" s="496" t="n">
        <v>46243</v>
      </c>
      <c r="K220" s="425" t="inlineStr">
        <is>
          <t>-</t>
        </is>
      </c>
      <c r="L220" s="29" t="inlineStr">
        <is>
          <t>-</t>
        </is>
      </c>
      <c r="N220" s="128" t="n"/>
      <c r="O220" s="128" t="n"/>
      <c r="P220" s="128" t="n"/>
      <c r="Q220" s="128" t="n"/>
      <c r="R220" s="128" t="n"/>
      <c r="S220" s="128" t="n"/>
      <c r="T220" s="128" t="n"/>
    </row>
    <row r="221" ht="15.75" customHeight="1">
      <c r="A221" s="429" t="n"/>
      <c r="B221" s="429" t="n"/>
      <c r="C221" s="429" t="n"/>
      <c r="D221" s="429" t="n"/>
      <c r="E221" s="276" t="inlineStr">
        <is>
          <t>PANKAJ KUMAR</t>
        </is>
      </c>
      <c r="F221" s="136" t="inlineStr">
        <is>
          <t>Soft Service</t>
        </is>
      </c>
      <c r="G221" s="68" t="n"/>
      <c r="H221" s="460" t="n">
        <v>2608377467</v>
      </c>
      <c r="I221" s="425" t="inlineStr">
        <is>
          <t>Approved</t>
        </is>
      </c>
      <c r="J221" s="496" t="n">
        <v>46263</v>
      </c>
      <c r="K221" s="425" t="n"/>
      <c r="L221" s="29" t="n"/>
      <c r="N221" s="128" t="n"/>
      <c r="O221" s="128" t="n"/>
      <c r="P221" s="128" t="n"/>
      <c r="Q221" s="128" t="n"/>
      <c r="R221" s="128" t="n"/>
      <c r="S221" s="128" t="n"/>
      <c r="T221" s="128" t="n"/>
    </row>
    <row r="222" ht="15.75" customHeight="1">
      <c r="A222" s="429" t="n"/>
      <c r="B222" s="429" t="n"/>
      <c r="C222" s="429" t="n"/>
      <c r="D222" s="429" t="n"/>
      <c r="E222" s="276" t="inlineStr">
        <is>
          <t>MD SHAMSHER MUHAMMED KALUM</t>
        </is>
      </c>
      <c r="F222" s="136" t="inlineStr">
        <is>
          <t>Soft Service</t>
        </is>
      </c>
      <c r="G222" s="68" t="n"/>
      <c r="H222" s="460" t="n">
        <v>2643723154</v>
      </c>
      <c r="I222" s="425" t="inlineStr">
        <is>
          <t>Approved</t>
        </is>
      </c>
      <c r="J222" s="496" t="n">
        <v>46263</v>
      </c>
      <c r="K222" s="425" t="n"/>
      <c r="L222" s="29" t="n"/>
      <c r="N222" s="128" t="n"/>
      <c r="O222" s="128" t="n"/>
      <c r="P222" s="128" t="n"/>
      <c r="Q222" s="128" t="n"/>
      <c r="R222" s="128" t="n"/>
      <c r="S222" s="128" t="n"/>
      <c r="T222" s="128" t="n"/>
    </row>
    <row r="223" ht="15.75" customHeight="1">
      <c r="A223" s="429" t="n"/>
      <c r="B223" s="429" t="n"/>
      <c r="C223" s="429" t="n"/>
      <c r="D223" s="429" t="n"/>
      <c r="E223" s="276" t="inlineStr">
        <is>
          <t>RAJA HASEEB ALI AKHTAR ALI</t>
        </is>
      </c>
      <c r="F223" s="136" t="inlineStr">
        <is>
          <t>Soft Service</t>
        </is>
      </c>
      <c r="G223" s="68" t="n"/>
      <c r="H223" s="460" t="n">
        <v>2613708540</v>
      </c>
      <c r="I223" s="425" t="inlineStr">
        <is>
          <t>Approved</t>
        </is>
      </c>
      <c r="J223" s="496" t="n">
        <v>46263</v>
      </c>
      <c r="K223" s="425" t="n"/>
      <c r="L223" s="29" t="n"/>
      <c r="N223" s="128" t="n"/>
      <c r="O223" s="128" t="n"/>
      <c r="P223" s="128" t="n"/>
      <c r="Q223" s="128" t="n"/>
      <c r="R223" s="128" t="n"/>
      <c r="S223" s="128" t="n"/>
      <c r="T223" s="128" t="n"/>
    </row>
    <row r="224" ht="15.75" customHeight="1">
      <c r="A224" s="429" t="n"/>
      <c r="B224" s="429" t="n"/>
      <c r="C224" s="429" t="n"/>
      <c r="D224" s="429" t="n"/>
      <c r="E224" s="276" t="inlineStr">
        <is>
          <t>PRAMOD MARIK YADAV</t>
        </is>
      </c>
      <c r="F224" s="136" t="inlineStr">
        <is>
          <t>Soft Service</t>
        </is>
      </c>
      <c r="G224" s="68" t="n"/>
      <c r="H224" s="460" t="n"/>
      <c r="I224" s="425" t="inlineStr">
        <is>
          <t>Approved</t>
        </is>
      </c>
      <c r="J224" s="496" t="n">
        <v>46263</v>
      </c>
      <c r="K224" s="425" t="n"/>
      <c r="L224" s="29" t="n"/>
      <c r="N224" s="128" t="n"/>
      <c r="O224" s="128" t="n"/>
      <c r="P224" s="128" t="n"/>
      <c r="Q224" s="128" t="n"/>
      <c r="R224" s="128" t="n"/>
      <c r="S224" s="128" t="n"/>
      <c r="T224" s="128" t="n"/>
    </row>
    <row r="225" ht="15.75" customHeight="1">
      <c r="A225" s="429" t="n"/>
      <c r="B225" s="429" t="n"/>
      <c r="C225" s="429" t="n"/>
      <c r="D225" s="429" t="n"/>
      <c r="E225" s="460" t="inlineStr">
        <is>
          <t>Md Emon Hossen</t>
        </is>
      </c>
      <c r="F225" s="136" t="inlineStr">
        <is>
          <t>Soft Service</t>
        </is>
      </c>
      <c r="G225" s="68" t="inlineStr">
        <is>
          <t>-</t>
        </is>
      </c>
      <c r="H225" s="460" t="n">
        <v>2627130186</v>
      </c>
      <c r="I225" s="425" t="inlineStr">
        <is>
          <t>Approved</t>
        </is>
      </c>
      <c r="J225" s="496" t="n">
        <v>46133</v>
      </c>
      <c r="K225" s="425" t="inlineStr">
        <is>
          <t>SCC ( RENTAL )</t>
        </is>
      </c>
      <c r="L225" s="29" t="inlineStr">
        <is>
          <t>-</t>
        </is>
      </c>
      <c r="N225" s="128" t="n"/>
      <c r="O225" s="128" t="n"/>
      <c r="P225" s="128" t="n"/>
      <c r="Q225" s="128" t="n"/>
      <c r="R225" s="128" t="n"/>
      <c r="S225" s="128" t="n"/>
      <c r="T225" s="128" t="n"/>
    </row>
    <row r="226" ht="15.75" customHeight="1">
      <c r="A226" s="429" t="n"/>
      <c r="B226" s="429" t="n"/>
      <c r="C226" s="429" t="n"/>
      <c r="D226" s="429" t="n"/>
      <c r="E226" s="460" t="inlineStr">
        <is>
          <t>Mohammed Saiful</t>
        </is>
      </c>
      <c r="F226" s="136" t="inlineStr">
        <is>
          <t>Soft Service</t>
        </is>
      </c>
      <c r="G226" s="68" t="inlineStr">
        <is>
          <t>-</t>
        </is>
      </c>
      <c r="H226" s="460" t="n">
        <v>2627129949</v>
      </c>
      <c r="I226" s="425" t="inlineStr">
        <is>
          <t>Approved</t>
        </is>
      </c>
      <c r="J226" s="496" t="n">
        <v>46133</v>
      </c>
      <c r="K226" s="425" t="inlineStr">
        <is>
          <t>SCC ( RENTAL )</t>
        </is>
      </c>
      <c r="L226" s="29" t="inlineStr">
        <is>
          <t>-</t>
        </is>
      </c>
      <c r="N226" s="128" t="n"/>
      <c r="O226" s="128" t="n"/>
      <c r="P226" s="128" t="n"/>
      <c r="Q226" s="128" t="n"/>
      <c r="R226" s="128" t="n"/>
      <c r="S226" s="128" t="n"/>
      <c r="T226" s="128" t="n"/>
    </row>
    <row r="227" ht="15.75" customHeight="1">
      <c r="A227" s="429" t="n"/>
      <c r="B227" s="429" t="n"/>
      <c r="C227" s="429" t="n"/>
      <c r="D227" s="429" t="n"/>
      <c r="E227" s="460" t="inlineStr">
        <is>
          <t>Mohammed Nayem</t>
        </is>
      </c>
      <c r="F227" s="136" t="inlineStr">
        <is>
          <t>Soft Service</t>
        </is>
      </c>
      <c r="G227" s="68" t="inlineStr">
        <is>
          <t>AH02</t>
        </is>
      </c>
      <c r="H227" s="460" t="n">
        <v>2624707945</v>
      </c>
      <c r="I227" s="425" t="inlineStr">
        <is>
          <t>Approved</t>
        </is>
      </c>
      <c r="J227" s="496" t="n">
        <v>46142</v>
      </c>
      <c r="K227" s="425" t="inlineStr">
        <is>
          <t>AB-HOOR RENTAL</t>
        </is>
      </c>
      <c r="L227" s="29" t="inlineStr">
        <is>
          <t>-</t>
        </is>
      </c>
      <c r="N227" s="128" t="n"/>
      <c r="O227" s="128" t="n"/>
      <c r="P227" s="128" t="n"/>
      <c r="Q227" s="128" t="n"/>
      <c r="R227" s="128" t="n"/>
      <c r="S227" s="128" t="n"/>
      <c r="T227" s="128" t="n"/>
    </row>
    <row r="228" ht="15.75" customHeight="1">
      <c r="A228" s="429" t="n"/>
      <c r="B228" s="429" t="n"/>
      <c r="C228" s="429" t="n"/>
      <c r="D228" s="429" t="n"/>
      <c r="E228" s="276" t="inlineStr">
        <is>
          <t>MD JUYEL  MIAH</t>
        </is>
      </c>
      <c r="F228" s="136" t="inlineStr">
        <is>
          <t>Soft Service</t>
        </is>
      </c>
      <c r="G228" s="68" t="n"/>
      <c r="H228" s="460" t="n">
        <v>263503245</v>
      </c>
      <c r="I228" s="425" t="inlineStr">
        <is>
          <t>Approved</t>
        </is>
      </c>
      <c r="J228" s="496" t="n">
        <v>46263</v>
      </c>
      <c r="K228" s="425" t="n"/>
      <c r="L228" s="29" t="n"/>
      <c r="N228" s="128" t="n"/>
      <c r="O228" s="128" t="n"/>
      <c r="P228" s="128" t="n"/>
      <c r="Q228" s="128" t="n"/>
      <c r="R228" s="128" t="n"/>
      <c r="S228" s="128" t="n"/>
      <c r="T228" s="128" t="n"/>
    </row>
    <row r="229" ht="15.75" customHeight="1">
      <c r="A229" s="429" t="n"/>
      <c r="B229" s="429" t="n"/>
      <c r="C229" s="429" t="n"/>
      <c r="D229" s="429" t="n"/>
      <c r="E229" s="276" t="inlineStr">
        <is>
          <t>JOBAYEL MORAL</t>
        </is>
      </c>
      <c r="F229" s="136" t="inlineStr">
        <is>
          <t>Soft Service</t>
        </is>
      </c>
      <c r="G229" s="68" t="n"/>
      <c r="H229" s="460" t="n">
        <v>2588672648</v>
      </c>
      <c r="I229" s="425" t="inlineStr">
        <is>
          <t>Approved</t>
        </is>
      </c>
      <c r="J229" s="496" t="n">
        <v>46263</v>
      </c>
      <c r="K229" s="425" t="n"/>
      <c r="L229" s="29" t="n"/>
      <c r="N229" s="128" t="n"/>
      <c r="O229" s="128" t="n"/>
      <c r="P229" s="128" t="n"/>
      <c r="Q229" s="128" t="n"/>
      <c r="R229" s="128" t="n"/>
      <c r="S229" s="128" t="n"/>
      <c r="T229" s="128" t="n"/>
    </row>
    <row r="230" ht="15.75" customHeight="1">
      <c r="A230" s="429" t="n"/>
      <c r="B230" s="429" t="n"/>
      <c r="C230" s="429" t="n"/>
      <c r="D230" s="429" t="n"/>
      <c r="E230" s="460" t="inlineStr">
        <is>
          <t>MD MUSAREF - - HOSSAIN</t>
        </is>
      </c>
      <c r="F230" s="136" t="inlineStr">
        <is>
          <t>Soft Service</t>
        </is>
      </c>
      <c r="G230" s="169" t="inlineStr">
        <is>
          <t>L01874</t>
        </is>
      </c>
      <c r="H230" s="169" t="n">
        <v>2641899998</v>
      </c>
      <c r="I230" s="425" t="inlineStr">
        <is>
          <t>Approved</t>
        </is>
      </c>
      <c r="J230" s="496" t="n">
        <v>46232</v>
      </c>
      <c r="K230" s="425" t="inlineStr">
        <is>
          <t>MEHAN RENTAL</t>
        </is>
      </c>
      <c r="L230" s="29" t="inlineStr">
        <is>
          <t>-</t>
        </is>
      </c>
      <c r="N230" s="128" t="n"/>
      <c r="O230" s="128" t="n"/>
      <c r="P230" s="128" t="n"/>
      <c r="Q230" s="128" t="n"/>
      <c r="R230" s="128" t="n"/>
      <c r="S230" s="128" t="n"/>
      <c r="T230" s="128" t="n"/>
    </row>
    <row r="231" ht="15.75" customHeight="1">
      <c r="A231" s="429" t="n"/>
      <c r="B231" s="429" t="n"/>
      <c r="C231" s="429" t="n"/>
      <c r="D231" s="429" t="n"/>
      <c r="E231" s="460" t="inlineStr">
        <is>
          <t xml:space="preserve">Md Sekh Farid </t>
        </is>
      </c>
      <c r="F231" s="136" t="inlineStr">
        <is>
          <t>Soft Service</t>
        </is>
      </c>
      <c r="G231" s="68" t="inlineStr">
        <is>
          <t>-</t>
        </is>
      </c>
      <c r="H231" s="460" t="n">
        <v>2631349798</v>
      </c>
      <c r="I231" s="425" t="inlineStr">
        <is>
          <t>Approved</t>
        </is>
      </c>
      <c r="J231" s="496" t="n">
        <v>46153</v>
      </c>
      <c r="K231" s="425" t="inlineStr">
        <is>
          <t>Telal Alhamra (Rental)</t>
        </is>
      </c>
      <c r="L231" s="29" t="inlineStr">
        <is>
          <t>-</t>
        </is>
      </c>
      <c r="N231" s="128" t="n"/>
      <c r="O231" s="128" t="n"/>
      <c r="P231" s="128" t="n"/>
      <c r="Q231" s="128" t="n"/>
      <c r="R231" s="128" t="n"/>
      <c r="S231" s="128" t="n"/>
      <c r="T231" s="128" t="n"/>
    </row>
    <row r="232" ht="15.75" customHeight="1">
      <c r="A232" s="429" t="n"/>
      <c r="B232" s="429" t="n"/>
      <c r="C232" s="429" t="n"/>
      <c r="D232" s="429" t="n"/>
      <c r="E232" s="460" t="inlineStr">
        <is>
          <t>Md Sentu Mia</t>
        </is>
      </c>
      <c r="F232" s="136" t="inlineStr">
        <is>
          <t>Soft Service</t>
        </is>
      </c>
      <c r="G232" s="68" t="inlineStr">
        <is>
          <t>-</t>
        </is>
      </c>
      <c r="H232" s="460" t="n">
        <v>2623592116</v>
      </c>
      <c r="I232" s="425" t="inlineStr">
        <is>
          <t>Approved</t>
        </is>
      </c>
      <c r="J232" s="496" t="n">
        <v>46153</v>
      </c>
      <c r="K232" s="425" t="inlineStr">
        <is>
          <t>Telal Alhamra (Rental)</t>
        </is>
      </c>
      <c r="L232" s="29" t="inlineStr">
        <is>
          <t>-</t>
        </is>
      </c>
      <c r="N232" s="128" t="n"/>
      <c r="O232" s="128" t="n"/>
      <c r="P232" s="128" t="n"/>
      <c r="Q232" s="128" t="n"/>
      <c r="R232" s="128" t="n"/>
      <c r="S232" s="128" t="n"/>
      <c r="T232" s="128" t="n"/>
    </row>
    <row r="233" ht="15.75" customHeight="1">
      <c r="A233" s="429" t="n"/>
      <c r="B233" s="429" t="n"/>
      <c r="C233" s="429" t="n"/>
      <c r="D233" s="429" t="n"/>
      <c r="E233" s="460" t="inlineStr">
        <is>
          <t>Yeamin Ramzan Miha</t>
        </is>
      </c>
      <c r="F233" s="136" t="inlineStr">
        <is>
          <t>Soft Service</t>
        </is>
      </c>
      <c r="G233" s="68" t="inlineStr">
        <is>
          <t>-</t>
        </is>
      </c>
      <c r="H233" s="460" t="n">
        <v>2632767097</v>
      </c>
      <c r="I233" s="425" t="inlineStr">
        <is>
          <t>Approved</t>
        </is>
      </c>
      <c r="J233" s="496" t="n">
        <v>46153</v>
      </c>
      <c r="K233" s="425" t="inlineStr">
        <is>
          <t>Telal Alhamra (Rental)</t>
        </is>
      </c>
      <c r="L233" s="29" t="inlineStr">
        <is>
          <t>-</t>
        </is>
      </c>
      <c r="N233" s="128" t="n"/>
      <c r="O233" s="128" t="n"/>
      <c r="P233" s="128" t="n"/>
      <c r="Q233" s="128" t="n"/>
      <c r="R233" s="128" t="n"/>
      <c r="S233" s="128" t="n"/>
      <c r="T233" s="128" t="n"/>
    </row>
    <row r="234" ht="15.75" customHeight="1">
      <c r="A234" s="429" t="n"/>
      <c r="B234" s="429" t="n"/>
      <c r="C234" s="429" t="n"/>
      <c r="D234" s="429" t="n"/>
      <c r="E234" s="460" t="inlineStr">
        <is>
          <t>MD JUNAYET - - KHAN</t>
        </is>
      </c>
      <c r="F234" s="136" t="inlineStr">
        <is>
          <t>Soft Service</t>
        </is>
      </c>
      <c r="G234" s="169" t="inlineStr">
        <is>
          <t>L01873</t>
        </is>
      </c>
      <c r="H234" s="169" t="n">
        <v>2641899980</v>
      </c>
      <c r="I234" s="425" t="inlineStr">
        <is>
          <t>Approved</t>
        </is>
      </c>
      <c r="J234" s="496" t="n">
        <v>46232</v>
      </c>
      <c r="K234" s="425" t="inlineStr">
        <is>
          <t>MEHAN RENTAL</t>
        </is>
      </c>
      <c r="L234" s="29" t="inlineStr">
        <is>
          <t>-</t>
        </is>
      </c>
      <c r="N234" s="128" t="n"/>
      <c r="O234" s="128" t="n"/>
      <c r="P234" s="128" t="n"/>
      <c r="Q234" s="128" t="n"/>
      <c r="R234" s="128" t="n"/>
      <c r="S234" s="128" t="n"/>
      <c r="T234" s="128" t="n"/>
    </row>
    <row r="235" ht="15.75" customHeight="1">
      <c r="A235" s="429" t="n"/>
      <c r="B235" s="429" t="n"/>
      <c r="C235" s="429" t="n"/>
      <c r="D235" s="429" t="n"/>
      <c r="E235" s="276" t="inlineStr">
        <is>
          <t>MD FORID</t>
        </is>
      </c>
      <c r="F235" s="136" t="inlineStr">
        <is>
          <t>Soft Service</t>
        </is>
      </c>
      <c r="G235" s="68" t="n"/>
      <c r="H235" s="277" t="n">
        <v>2589475660</v>
      </c>
      <c r="I235" s="425" t="inlineStr">
        <is>
          <t>Approved</t>
        </is>
      </c>
      <c r="J235" s="496" t="n">
        <v>46232</v>
      </c>
      <c r="K235" s="425" t="n"/>
      <c r="L235" s="29" t="n"/>
      <c r="N235" s="128" t="n"/>
      <c r="O235" s="128" t="n"/>
      <c r="P235" s="128" t="n"/>
      <c r="Q235" s="128" t="n"/>
      <c r="R235" s="128" t="n"/>
      <c r="S235" s="128" t="n"/>
      <c r="T235" s="128" t="n"/>
    </row>
    <row r="236" ht="15.75" customHeight="1">
      <c r="A236" s="429" t="n"/>
      <c r="B236" s="429" t="n"/>
      <c r="C236" s="429" t="n"/>
      <c r="D236" s="429" t="n"/>
      <c r="E236" s="460" t="inlineStr">
        <is>
          <t xml:space="preserve">Md Ikbal Hossin </t>
        </is>
      </c>
      <c r="F236" s="136" t="inlineStr">
        <is>
          <t>Soft Service</t>
        </is>
      </c>
      <c r="G236" s="68" t="inlineStr">
        <is>
          <t>-</t>
        </is>
      </c>
      <c r="H236" s="460" t="n">
        <v>2623152721</v>
      </c>
      <c r="I236" s="425" t="inlineStr">
        <is>
          <t>Approved</t>
        </is>
      </c>
      <c r="J236" s="496" t="n">
        <v>46153</v>
      </c>
      <c r="K236" s="425" t="inlineStr">
        <is>
          <t>Telal Alhamra (Rental)</t>
        </is>
      </c>
      <c r="L236" s="29" t="inlineStr">
        <is>
          <t>-</t>
        </is>
      </c>
      <c r="N236" s="128" t="n"/>
      <c r="O236" s="128" t="n"/>
      <c r="P236" s="128" t="n"/>
      <c r="Q236" s="128" t="n"/>
      <c r="R236" s="128" t="n"/>
      <c r="S236" s="128" t="n"/>
      <c r="T236" s="128" t="n"/>
    </row>
    <row r="237" ht="15.75" customHeight="1">
      <c r="A237" s="429" t="n"/>
      <c r="B237" s="429" t="n"/>
      <c r="C237" s="429" t="n"/>
      <c r="D237" s="429" t="n"/>
      <c r="E237" s="460" t="inlineStr">
        <is>
          <t xml:space="preserve">Md Sujon Miah </t>
        </is>
      </c>
      <c r="F237" s="136" t="inlineStr">
        <is>
          <t>Soft Service</t>
        </is>
      </c>
      <c r="G237" s="68" t="inlineStr">
        <is>
          <t>-</t>
        </is>
      </c>
      <c r="H237" s="460" t="n">
        <v>2616889628</v>
      </c>
      <c r="I237" s="425" t="inlineStr">
        <is>
          <t>Approved</t>
        </is>
      </c>
      <c r="J237" s="496" t="n">
        <v>46153</v>
      </c>
      <c r="K237" s="425" t="inlineStr">
        <is>
          <t>Telal Alhamra (Rental)</t>
        </is>
      </c>
      <c r="L237" s="29" t="inlineStr">
        <is>
          <t>-</t>
        </is>
      </c>
      <c r="N237" s="128" t="n"/>
      <c r="O237" s="128" t="n"/>
      <c r="P237" s="128" t="n"/>
      <c r="Q237" s="128" t="n"/>
      <c r="R237" s="128" t="n"/>
      <c r="S237" s="128" t="n"/>
      <c r="T237" s="128" t="n"/>
    </row>
    <row r="238" ht="15.75" customHeight="1">
      <c r="A238" s="429" t="n"/>
      <c r="B238" s="429" t="n"/>
      <c r="C238" s="429" t="n"/>
      <c r="D238" s="429" t="n"/>
      <c r="E238" s="460" t="inlineStr">
        <is>
          <t>Rohan Mia</t>
        </is>
      </c>
      <c r="F238" s="136" t="inlineStr">
        <is>
          <t>Soft Service</t>
        </is>
      </c>
      <c r="G238" s="68" t="inlineStr">
        <is>
          <t>-</t>
        </is>
      </c>
      <c r="H238" s="460" t="n">
        <v>2636589877</v>
      </c>
      <c r="I238" s="425" t="inlineStr">
        <is>
          <t>Approved</t>
        </is>
      </c>
      <c r="J238" s="496" t="n">
        <v>46153</v>
      </c>
      <c r="K238" s="425" t="inlineStr">
        <is>
          <t>Telal Alhamra (Rental)</t>
        </is>
      </c>
      <c r="L238" s="29" t="inlineStr">
        <is>
          <t>-</t>
        </is>
      </c>
      <c r="N238" s="128" t="n"/>
      <c r="O238" s="128" t="n"/>
      <c r="P238" s="128" t="n"/>
      <c r="Q238" s="128" t="n"/>
      <c r="R238" s="128" t="n"/>
      <c r="S238" s="128" t="n"/>
      <c r="T238" s="128" t="n"/>
    </row>
    <row r="239" ht="15.75" customHeight="1">
      <c r="A239" s="429" t="n"/>
      <c r="B239" s="429" t="n"/>
      <c r="C239" s="429" t="n"/>
      <c r="D239" s="429" t="n"/>
      <c r="E239" s="460" t="inlineStr">
        <is>
          <t xml:space="preserve">Md Yeasin </t>
        </is>
      </c>
      <c r="F239" s="136" t="inlineStr">
        <is>
          <t>Soft Service</t>
        </is>
      </c>
      <c r="G239" s="68" t="inlineStr">
        <is>
          <t>-</t>
        </is>
      </c>
      <c r="H239" s="460" t="n">
        <v>2634273110</v>
      </c>
      <c r="I239" s="425" t="inlineStr">
        <is>
          <t>Approved</t>
        </is>
      </c>
      <c r="J239" s="496" t="n">
        <v>46153</v>
      </c>
      <c r="K239" s="425" t="inlineStr">
        <is>
          <t>Telal Alhamra (Rental)</t>
        </is>
      </c>
      <c r="L239" s="29" t="inlineStr">
        <is>
          <t>-</t>
        </is>
      </c>
      <c r="N239" s="128" t="n"/>
      <c r="O239" s="128" t="n"/>
      <c r="P239" s="128" t="n"/>
      <c r="Q239" s="128" t="n"/>
      <c r="R239" s="128" t="n"/>
      <c r="S239" s="128" t="n"/>
      <c r="T239" s="128" t="n"/>
    </row>
    <row r="240" ht="15.75" customHeight="1">
      <c r="A240" s="429" t="n"/>
      <c r="B240" s="429" t="n"/>
      <c r="C240" s="429" t="n"/>
      <c r="D240" s="429" t="n"/>
      <c r="E240" s="460" t="inlineStr">
        <is>
          <t>Saiful Islam</t>
        </is>
      </c>
      <c r="F240" s="136" t="inlineStr">
        <is>
          <t>Soft Service</t>
        </is>
      </c>
      <c r="G240" s="68" t="inlineStr">
        <is>
          <t>-</t>
        </is>
      </c>
      <c r="H240" s="460" t="n">
        <v>2635149699</v>
      </c>
      <c r="I240" s="425" t="inlineStr">
        <is>
          <t>Approved</t>
        </is>
      </c>
      <c r="J240" s="496" t="n">
        <v>46153</v>
      </c>
      <c r="K240" s="425" t="inlineStr">
        <is>
          <t>Telal Alhamra (Rental)</t>
        </is>
      </c>
      <c r="L240" s="29" t="inlineStr">
        <is>
          <t>-</t>
        </is>
      </c>
      <c r="N240" s="128" t="n"/>
      <c r="O240" s="128" t="n"/>
      <c r="P240" s="128" t="n"/>
      <c r="Q240" s="128" t="n"/>
      <c r="R240" s="128" t="n"/>
      <c r="S240" s="128" t="n"/>
      <c r="T240" s="128" t="n"/>
    </row>
    <row r="241" ht="15.75" customHeight="1">
      <c r="A241" s="429" t="n"/>
      <c r="B241" s="429" t="n"/>
      <c r="C241" s="429" t="n"/>
      <c r="D241" s="429" t="n"/>
      <c r="E241" s="460" t="inlineStr">
        <is>
          <t xml:space="preserve">Md Masud </t>
        </is>
      </c>
      <c r="F241" s="136" t="inlineStr">
        <is>
          <t>Soft Service</t>
        </is>
      </c>
      <c r="G241" s="68" t="inlineStr">
        <is>
          <t>-</t>
        </is>
      </c>
      <c r="H241" s="460" t="n">
        <v>2634273367</v>
      </c>
      <c r="I241" s="425" t="inlineStr">
        <is>
          <t>Approved</t>
        </is>
      </c>
      <c r="J241" s="496" t="n">
        <v>46153</v>
      </c>
      <c r="K241" s="425" t="inlineStr">
        <is>
          <t>Telal Alhamra (Rental)</t>
        </is>
      </c>
      <c r="L241" s="29" t="inlineStr">
        <is>
          <t>-</t>
        </is>
      </c>
      <c r="N241" s="128" t="n"/>
      <c r="O241" s="128" t="n"/>
      <c r="P241" s="128" t="n"/>
      <c r="Q241" s="128" t="n"/>
      <c r="R241" s="128" t="n"/>
      <c r="S241" s="128" t="n"/>
      <c r="T241" s="128" t="n"/>
    </row>
    <row r="242" ht="15.75" customHeight="1">
      <c r="A242" s="429" t="n"/>
      <c r="B242" s="429" t="n"/>
      <c r="C242" s="429" t="n"/>
      <c r="D242" s="429" t="n"/>
      <c r="E242" s="460" t="inlineStr">
        <is>
          <t xml:space="preserve">Delowar Hossen </t>
        </is>
      </c>
      <c r="F242" s="136" t="inlineStr">
        <is>
          <t>Soft Service</t>
        </is>
      </c>
      <c r="G242" s="68" t="inlineStr">
        <is>
          <t>-</t>
        </is>
      </c>
      <c r="H242" s="460" t="n">
        <v>2625076282</v>
      </c>
      <c r="I242" s="425" t="inlineStr">
        <is>
          <t>Approved</t>
        </is>
      </c>
      <c r="J242" s="496" t="n">
        <v>46153</v>
      </c>
      <c r="K242" s="425" t="inlineStr">
        <is>
          <t>Telal Alhamra (Rental)</t>
        </is>
      </c>
      <c r="L242" s="29" t="inlineStr">
        <is>
          <t>-</t>
        </is>
      </c>
      <c r="N242" s="128" t="n"/>
      <c r="O242" s="128" t="n"/>
      <c r="P242" s="128" t="n"/>
      <c r="Q242" s="128" t="n"/>
      <c r="R242" s="128" t="n"/>
      <c r="S242" s="128" t="n"/>
      <c r="T242" s="128" t="n"/>
    </row>
    <row r="243" ht="15.75" customHeight="1">
      <c r="A243" s="429" t="n"/>
      <c r="B243" s="429" t="n"/>
      <c r="C243" s="429" t="n"/>
      <c r="D243" s="429" t="n"/>
      <c r="E243" s="276" t="inlineStr">
        <is>
          <t>SAMSHAD ANSARI</t>
        </is>
      </c>
      <c r="F243" s="136" t="inlineStr">
        <is>
          <t>Soft Service</t>
        </is>
      </c>
      <c r="G243" s="68" t="n"/>
      <c r="H243" s="277" t="n">
        <v>2636633899</v>
      </c>
      <c r="I243" s="425" t="inlineStr">
        <is>
          <t>Approved</t>
        </is>
      </c>
      <c r="J243" s="496" t="n">
        <v>46263</v>
      </c>
      <c r="K243" s="425" t="n"/>
      <c r="L243" s="29" t="n"/>
      <c r="N243" s="128" t="n"/>
      <c r="O243" s="128" t="n"/>
      <c r="P243" s="128" t="n"/>
      <c r="Q243" s="128" t="n"/>
      <c r="R243" s="128" t="n"/>
      <c r="S243" s="128" t="n"/>
      <c r="T243" s="128" t="n"/>
    </row>
    <row r="244" ht="15.75" customHeight="1">
      <c r="A244" s="429" t="n"/>
      <c r="B244" s="429" t="n"/>
      <c r="C244" s="429" t="n"/>
      <c r="D244" s="429" t="n"/>
      <c r="E244" s="460" t="inlineStr">
        <is>
          <t>Shanto Das</t>
        </is>
      </c>
      <c r="F244" s="136" t="inlineStr">
        <is>
          <t>Soft Service</t>
        </is>
      </c>
      <c r="G244" s="68" t="inlineStr">
        <is>
          <t>-</t>
        </is>
      </c>
      <c r="H244" s="460" t="n">
        <v>2622707186</v>
      </c>
      <c r="I244" s="425" t="inlineStr">
        <is>
          <t>Approved</t>
        </is>
      </c>
      <c r="J244" s="496" t="n">
        <v>46153</v>
      </c>
      <c r="K244" s="425" t="inlineStr">
        <is>
          <t>Telal Alhamra (Rental)</t>
        </is>
      </c>
      <c r="L244" s="29" t="inlineStr">
        <is>
          <t>-</t>
        </is>
      </c>
      <c r="N244" s="128" t="n"/>
      <c r="O244" s="128" t="n"/>
      <c r="P244" s="128" t="n"/>
      <c r="Q244" s="128" t="n"/>
      <c r="R244" s="128" t="n"/>
      <c r="S244" s="128" t="n"/>
      <c r="T244" s="128" t="n"/>
    </row>
    <row r="245" ht="15.75" customHeight="1">
      <c r="A245" s="429" t="n"/>
      <c r="B245" s="429" t="n"/>
      <c r="C245" s="429" t="n"/>
      <c r="D245" s="429" t="n"/>
      <c r="E245" s="460" t="inlineStr">
        <is>
          <t>Sohel Rana</t>
        </is>
      </c>
      <c r="F245" s="136" t="inlineStr">
        <is>
          <t>Soft Service</t>
        </is>
      </c>
      <c r="G245" s="68" t="inlineStr">
        <is>
          <t>-</t>
        </is>
      </c>
      <c r="H245" s="460" t="n">
        <v>2628920551</v>
      </c>
      <c r="I245" s="425" t="inlineStr">
        <is>
          <t>Approved</t>
        </is>
      </c>
      <c r="J245" s="496" t="n">
        <v>46155</v>
      </c>
      <c r="K245" s="425" t="inlineStr">
        <is>
          <t>Telal Alhamra (Rental)</t>
        </is>
      </c>
      <c r="L245" s="29" t="inlineStr">
        <is>
          <t>-</t>
        </is>
      </c>
      <c r="N245" s="128" t="n"/>
      <c r="O245" s="128" t="n"/>
      <c r="P245" s="128" t="n"/>
      <c r="Q245" s="128" t="n"/>
      <c r="R245" s="128" t="n"/>
      <c r="S245" s="128" t="n"/>
      <c r="T245" s="128" t="n"/>
    </row>
    <row r="246" ht="15.75" customHeight="1">
      <c r="A246" s="429" t="n"/>
      <c r="B246" s="429" t="n"/>
      <c r="C246" s="429" t="n"/>
      <c r="D246" s="429" t="n"/>
      <c r="E246" s="460" t="inlineStr">
        <is>
          <t xml:space="preserve">Jakariya Mia </t>
        </is>
      </c>
      <c r="F246" s="136" t="inlineStr">
        <is>
          <t>Soft Service</t>
        </is>
      </c>
      <c r="G246" s="68" t="inlineStr">
        <is>
          <t>-</t>
        </is>
      </c>
      <c r="H246" s="460" t="n">
        <v>2636580009</v>
      </c>
      <c r="I246" s="425" t="inlineStr">
        <is>
          <t>Approved</t>
        </is>
      </c>
      <c r="J246" s="496" t="n">
        <v>46155</v>
      </c>
      <c r="K246" s="425" t="inlineStr">
        <is>
          <t>Telal Alhamra (Rental)</t>
        </is>
      </c>
      <c r="L246" s="29" t="inlineStr">
        <is>
          <t>-</t>
        </is>
      </c>
      <c r="N246" s="128" t="n"/>
      <c r="O246" s="128" t="n"/>
      <c r="P246" s="128" t="n"/>
      <c r="Q246" s="128" t="n"/>
      <c r="R246" s="128" t="n"/>
      <c r="S246" s="128" t="n"/>
      <c r="T246" s="128" t="n"/>
    </row>
    <row r="247" ht="15.75" customHeight="1">
      <c r="A247" s="429" t="n"/>
      <c r="B247" s="429" t="n"/>
      <c r="C247" s="429" t="n"/>
      <c r="D247" s="429" t="n"/>
      <c r="E247" s="460" t="inlineStr">
        <is>
          <t>Md Romjan</t>
        </is>
      </c>
      <c r="F247" s="136" t="inlineStr">
        <is>
          <t>Soft Service</t>
        </is>
      </c>
      <c r="G247" s="68" t="inlineStr">
        <is>
          <t>-</t>
        </is>
      </c>
      <c r="H247" s="460" t="n">
        <v>2635149905</v>
      </c>
      <c r="I247" s="425" t="inlineStr">
        <is>
          <t>Approved</t>
        </is>
      </c>
      <c r="J247" s="496" t="n">
        <v>46155</v>
      </c>
      <c r="K247" s="425" t="inlineStr">
        <is>
          <t>Telal Alhamra (Rental)</t>
        </is>
      </c>
      <c r="L247" s="29" t="inlineStr">
        <is>
          <t>-</t>
        </is>
      </c>
      <c r="N247" s="128" t="n"/>
      <c r="O247" s="128" t="n"/>
      <c r="P247" s="128" t="n"/>
      <c r="Q247" s="128" t="n"/>
      <c r="R247" s="128" t="n"/>
      <c r="S247" s="128" t="n"/>
      <c r="T247" s="128" t="n"/>
    </row>
    <row r="248" ht="15.75" customHeight="1">
      <c r="A248" s="429" t="n"/>
      <c r="B248" s="429" t="n"/>
      <c r="C248" s="429" t="n"/>
      <c r="D248" s="429" t="n"/>
      <c r="E248" s="460" t="inlineStr">
        <is>
          <t>JOSNA AKTER</t>
        </is>
      </c>
      <c r="F248" s="136" t="inlineStr">
        <is>
          <t>Soft Service</t>
        </is>
      </c>
      <c r="G248" s="68" t="inlineStr">
        <is>
          <t>-</t>
        </is>
      </c>
      <c r="H248" s="460" t="inlineStr">
        <is>
          <t>EN0544675</t>
        </is>
      </c>
      <c r="I248" s="425" t="inlineStr">
        <is>
          <t>Approved</t>
        </is>
      </c>
      <c r="J248" s="496" t="n">
        <v>46243</v>
      </c>
      <c r="K248" s="425" t="inlineStr">
        <is>
          <t>-</t>
        </is>
      </c>
      <c r="L248" s="29" t="inlineStr">
        <is>
          <t>-</t>
        </is>
      </c>
      <c r="N248" s="128" t="n"/>
      <c r="O248" s="128" t="n"/>
      <c r="P248" s="128" t="n"/>
      <c r="Q248" s="128" t="n"/>
      <c r="R248" s="128" t="n"/>
      <c r="S248" s="128" t="n"/>
      <c r="T248" s="128" t="n"/>
    </row>
    <row r="249" ht="15.75" customHeight="1">
      <c r="A249" s="429" t="n"/>
      <c r="B249" s="429" t="n"/>
      <c r="C249" s="429" t="n"/>
      <c r="D249" s="429" t="n"/>
      <c r="E249" s="460" t="inlineStr">
        <is>
          <t>Hiralal Paswan</t>
        </is>
      </c>
      <c r="F249" s="136" t="inlineStr">
        <is>
          <t>Soft Service</t>
        </is>
      </c>
      <c r="G249" s="68" t="inlineStr">
        <is>
          <t>L01325</t>
        </is>
      </c>
      <c r="H249" s="460" t="n">
        <v>2636632958</v>
      </c>
      <c r="I249" s="425" t="inlineStr">
        <is>
          <t>Approved</t>
        </is>
      </c>
      <c r="J249" s="496" t="n">
        <v>46163</v>
      </c>
      <c r="K249" s="425" t="inlineStr">
        <is>
          <t>MEHAN RENTAL</t>
        </is>
      </c>
      <c r="L249" s="29" t="inlineStr">
        <is>
          <t>-</t>
        </is>
      </c>
      <c r="N249" s="128" t="n"/>
      <c r="O249" s="128" t="n"/>
      <c r="P249" s="128" t="n"/>
      <c r="Q249" s="128" t="n"/>
      <c r="R249" s="128" t="n"/>
      <c r="S249" s="128" t="n"/>
      <c r="T249" s="128" t="n"/>
    </row>
    <row r="250" ht="15.75" customHeight="1">
      <c r="A250" s="429" t="n"/>
      <c r="B250" s="429" t="n"/>
      <c r="C250" s="429" t="n"/>
      <c r="D250" s="429" t="n"/>
      <c r="E250" s="460" t="inlineStr">
        <is>
          <t>Amir Ali</t>
        </is>
      </c>
      <c r="F250" s="136" t="inlineStr">
        <is>
          <t>Soft Service</t>
        </is>
      </c>
      <c r="G250" s="68" t="inlineStr">
        <is>
          <t>L01319</t>
        </is>
      </c>
      <c r="H250" s="460" t="n">
        <v>2636632602</v>
      </c>
      <c r="I250" s="425" t="inlineStr">
        <is>
          <t>Approved</t>
        </is>
      </c>
      <c r="J250" s="496" t="n">
        <v>46163</v>
      </c>
      <c r="K250" s="425" t="inlineStr">
        <is>
          <t>MEHAN RENTAL</t>
        </is>
      </c>
      <c r="L250" s="29" t="inlineStr">
        <is>
          <t>-</t>
        </is>
      </c>
      <c r="N250" s="128" t="n"/>
      <c r="O250" s="128" t="n"/>
      <c r="P250" s="128" t="n"/>
      <c r="Q250" s="128" t="n"/>
      <c r="R250" s="128" t="n"/>
      <c r="S250" s="128" t="n"/>
      <c r="T250" s="128" t="n"/>
    </row>
    <row r="251" ht="15.75" customHeight="1">
      <c r="A251" s="429" t="n"/>
      <c r="B251" s="429" t="n"/>
      <c r="C251" s="429" t="n"/>
      <c r="D251" s="429" t="n"/>
      <c r="E251" s="460" t="inlineStr">
        <is>
          <t>Ishuf Ali</t>
        </is>
      </c>
      <c r="F251" s="136" t="inlineStr">
        <is>
          <t>Soft Service</t>
        </is>
      </c>
      <c r="G251" s="68" t="inlineStr">
        <is>
          <t>R09742</t>
        </is>
      </c>
      <c r="H251" s="460" t="n">
        <v>2618556068</v>
      </c>
      <c r="I251" s="425" t="inlineStr">
        <is>
          <t>Approved</t>
        </is>
      </c>
      <c r="J251" s="496" t="n">
        <v>46163</v>
      </c>
      <c r="K251" s="425" t="inlineStr">
        <is>
          <t>MEHAN RENTAL</t>
        </is>
      </c>
      <c r="L251" s="29" t="inlineStr">
        <is>
          <t>-</t>
        </is>
      </c>
      <c r="N251" s="128" t="n"/>
      <c r="O251" s="128" t="n"/>
      <c r="P251" s="128" t="n"/>
      <c r="Q251" s="128" t="n"/>
      <c r="R251" s="128" t="n"/>
      <c r="S251" s="128" t="n"/>
      <c r="T251" s="128" t="n"/>
    </row>
    <row r="252" ht="15.75" customHeight="1">
      <c r="A252" s="429" t="n"/>
      <c r="B252" s="429" t="n"/>
      <c r="C252" s="429" t="n"/>
      <c r="D252" s="429" t="n"/>
      <c r="E252" s="460" t="inlineStr">
        <is>
          <t>Rabi Paswan</t>
        </is>
      </c>
      <c r="F252" s="136" t="inlineStr">
        <is>
          <t>Soft Service</t>
        </is>
      </c>
      <c r="G252" s="68" t="inlineStr">
        <is>
          <t>L01297</t>
        </is>
      </c>
      <c r="H252" s="460" t="n">
        <v>2636631562</v>
      </c>
      <c r="I252" s="425" t="inlineStr">
        <is>
          <t>Approved</t>
        </is>
      </c>
      <c r="J252" s="496" t="n">
        <v>46163</v>
      </c>
      <c r="K252" s="425" t="inlineStr">
        <is>
          <t>MEHAN RENTAL</t>
        </is>
      </c>
      <c r="L252" s="29" t="inlineStr">
        <is>
          <t>-</t>
        </is>
      </c>
      <c r="N252" s="128" t="n"/>
      <c r="O252" s="128" t="n"/>
      <c r="P252" s="128" t="n"/>
      <c r="Q252" s="128" t="n"/>
      <c r="R252" s="128" t="n"/>
      <c r="S252" s="128" t="n"/>
      <c r="T252" s="128" t="n"/>
    </row>
    <row r="253" ht="15.75" customHeight="1">
      <c r="A253" s="429" t="n"/>
      <c r="B253" s="429" t="n"/>
      <c r="C253" s="429" t="n"/>
      <c r="D253" s="429" t="n"/>
      <c r="E253" s="460" t="inlineStr">
        <is>
          <t>Pardeep Kumar</t>
        </is>
      </c>
      <c r="F253" s="136" t="inlineStr">
        <is>
          <t>Soft Service</t>
        </is>
      </c>
      <c r="G253" s="68" t="inlineStr">
        <is>
          <t>L01313</t>
        </is>
      </c>
      <c r="H253" s="460" t="n">
        <v>2636632339</v>
      </c>
      <c r="I253" s="425" t="inlineStr">
        <is>
          <t>Approved</t>
        </is>
      </c>
      <c r="J253" s="496" t="n">
        <v>46163</v>
      </c>
      <c r="K253" s="425" t="inlineStr">
        <is>
          <t>MEHAN RENTAL</t>
        </is>
      </c>
      <c r="L253" s="29" t="inlineStr">
        <is>
          <t>-</t>
        </is>
      </c>
      <c r="N253" s="128" t="n"/>
      <c r="O253" s="128" t="n"/>
      <c r="P253" s="128" t="n"/>
      <c r="Q253" s="128" t="n"/>
      <c r="R253" s="128" t="n"/>
      <c r="S253" s="128" t="n"/>
      <c r="T253" s="128" t="n"/>
    </row>
    <row r="254" ht="15.75" customHeight="1">
      <c r="A254" s="429" t="n"/>
      <c r="B254" s="429" t="n"/>
      <c r="C254" s="429" t="n"/>
      <c r="D254" s="429" t="n"/>
      <c r="E254" s="460" t="inlineStr">
        <is>
          <t>Rajeshwar Yadav</t>
        </is>
      </c>
      <c r="F254" s="136" t="inlineStr">
        <is>
          <t>Soft Service</t>
        </is>
      </c>
      <c r="G254" s="68" t="inlineStr">
        <is>
          <t>L01309</t>
        </is>
      </c>
      <c r="H254" s="460" t="n">
        <v>2636632172</v>
      </c>
      <c r="I254" s="425" t="inlineStr">
        <is>
          <t>Approved</t>
        </is>
      </c>
      <c r="J254" s="496" t="n">
        <v>46163</v>
      </c>
      <c r="K254" s="425" t="inlineStr">
        <is>
          <t>MEHAN RENTAL</t>
        </is>
      </c>
      <c r="L254" s="29" t="inlineStr">
        <is>
          <t>-</t>
        </is>
      </c>
      <c r="N254" s="128" t="n"/>
      <c r="O254" s="128" t="n"/>
      <c r="P254" s="128" t="n"/>
      <c r="Q254" s="128" t="n"/>
      <c r="R254" s="128" t="n"/>
      <c r="S254" s="128" t="n"/>
      <c r="T254" s="128" t="n"/>
    </row>
    <row r="255" ht="15.75" customHeight="1">
      <c r="A255" s="429" t="n"/>
      <c r="B255" s="429" t="n"/>
      <c r="C255" s="429" t="n"/>
      <c r="D255" s="429" t="n"/>
      <c r="E255" s="460" t="inlineStr">
        <is>
          <t>Sandip Rajbhar</t>
        </is>
      </c>
      <c r="F255" s="136" t="inlineStr">
        <is>
          <t>Soft Service</t>
        </is>
      </c>
      <c r="G255" s="68" t="inlineStr">
        <is>
          <t>L01314</t>
        </is>
      </c>
      <c r="H255" s="460" t="n">
        <v>2636890663</v>
      </c>
      <c r="I255" s="425" t="inlineStr">
        <is>
          <t>Approved</t>
        </is>
      </c>
      <c r="J255" s="496" t="n">
        <v>46163</v>
      </c>
      <c r="K255" s="425" t="inlineStr">
        <is>
          <t>MEHAN RENTAL</t>
        </is>
      </c>
      <c r="L255" s="29" t="inlineStr">
        <is>
          <t>-</t>
        </is>
      </c>
      <c r="N255" s="128" t="n"/>
      <c r="O255" s="128" t="n"/>
      <c r="P255" s="128" t="n"/>
      <c r="Q255" s="128" t="n"/>
      <c r="R255" s="128" t="n"/>
      <c r="S255" s="128" t="n"/>
      <c r="T255" s="128" t="n"/>
    </row>
    <row r="256" ht="15.75" customHeight="1">
      <c r="A256" s="429" t="n"/>
      <c r="B256" s="429" t="n"/>
      <c r="C256" s="429" t="n"/>
      <c r="D256" s="429" t="n"/>
      <c r="E256" s="460" t="inlineStr">
        <is>
          <t xml:space="preserve">Md Masud </t>
        </is>
      </c>
      <c r="F256" s="136" t="inlineStr">
        <is>
          <t>Soft Service</t>
        </is>
      </c>
      <c r="G256" s="68" t="inlineStr">
        <is>
          <t>-</t>
        </is>
      </c>
      <c r="H256" s="460" t="n">
        <v>2574258568</v>
      </c>
      <c r="I256" s="425" t="inlineStr">
        <is>
          <t>Approved</t>
        </is>
      </c>
      <c r="J256" s="496" t="n">
        <v>46168</v>
      </c>
      <c r="K256" s="425" t="inlineStr">
        <is>
          <t>UCC( RENTAL)</t>
        </is>
      </c>
      <c r="L256" s="29" t="inlineStr">
        <is>
          <t>-</t>
        </is>
      </c>
      <c r="N256" s="128" t="n"/>
      <c r="O256" s="128" t="n"/>
      <c r="P256" s="128" t="n"/>
      <c r="Q256" s="128" t="n"/>
      <c r="R256" s="128" t="n"/>
      <c r="S256" s="128" t="n"/>
      <c r="T256" s="128" t="n"/>
    </row>
    <row r="257" ht="15.75" customHeight="1">
      <c r="A257" s="429" t="n"/>
      <c r="B257" s="429" t="n"/>
      <c r="C257" s="429" t="n"/>
      <c r="D257" s="429" t="n"/>
      <c r="E257" s="460" t="inlineStr">
        <is>
          <t>Md Nazrul Islam</t>
        </is>
      </c>
      <c r="F257" s="136" t="inlineStr">
        <is>
          <t>Soft Service</t>
        </is>
      </c>
      <c r="G257" s="68" t="inlineStr">
        <is>
          <t>-</t>
        </is>
      </c>
      <c r="H257" s="460" t="n">
        <v>2628922607</v>
      </c>
      <c r="I257" s="425" t="inlineStr">
        <is>
          <t>Approved</t>
        </is>
      </c>
      <c r="J257" s="496" t="n">
        <v>46168</v>
      </c>
      <c r="K257" s="425" t="inlineStr">
        <is>
          <t>UCC( RENTAL)</t>
        </is>
      </c>
      <c r="L257" s="29" t="inlineStr">
        <is>
          <t>-</t>
        </is>
      </c>
      <c r="N257" s="128" t="n"/>
      <c r="O257" s="128" t="n"/>
      <c r="P257" s="128" t="n"/>
      <c r="Q257" s="128" t="n"/>
      <c r="R257" s="128" t="n"/>
      <c r="S257" s="128" t="n"/>
      <c r="T257" s="128" t="n"/>
    </row>
    <row r="258" ht="15.75" customHeight="1">
      <c r="A258" s="429" t="n"/>
      <c r="B258" s="429" t="n"/>
      <c r="C258" s="429" t="n"/>
      <c r="D258" s="429" t="n"/>
      <c r="E258" s="460" t="inlineStr">
        <is>
          <t>Md Shoni Mia</t>
        </is>
      </c>
      <c r="F258" s="136" t="inlineStr">
        <is>
          <t>Soft Service</t>
        </is>
      </c>
      <c r="G258" s="68" t="inlineStr">
        <is>
          <t>-</t>
        </is>
      </c>
      <c r="H258" s="460" t="n">
        <v>2573946387</v>
      </c>
      <c r="I258" s="425" t="inlineStr">
        <is>
          <t>Approved</t>
        </is>
      </c>
      <c r="J258" s="496" t="n">
        <v>46168</v>
      </c>
      <c r="K258" s="425" t="inlineStr">
        <is>
          <t>UCC( RENTAL)</t>
        </is>
      </c>
      <c r="L258" s="29" t="inlineStr">
        <is>
          <t>-</t>
        </is>
      </c>
      <c r="N258" s="128" t="n"/>
      <c r="O258" s="128" t="n"/>
      <c r="P258" s="128" t="n"/>
      <c r="Q258" s="128" t="n"/>
      <c r="R258" s="128" t="n"/>
      <c r="S258" s="128" t="n"/>
      <c r="T258" s="128" t="n"/>
    </row>
    <row r="259" ht="15.75" customHeight="1">
      <c r="A259" s="429" t="n"/>
      <c r="B259" s="429" t="n"/>
      <c r="C259" s="429" t="n"/>
      <c r="D259" s="429" t="n"/>
      <c r="E259" s="460" t="inlineStr">
        <is>
          <t>Md Omor Faruqe</t>
        </is>
      </c>
      <c r="F259" s="136" t="inlineStr">
        <is>
          <t>Soft Service</t>
        </is>
      </c>
      <c r="G259" s="68" t="inlineStr">
        <is>
          <t>-</t>
        </is>
      </c>
      <c r="H259" s="460" t="n">
        <v>2597424270</v>
      </c>
      <c r="I259" s="425" t="inlineStr">
        <is>
          <t>Approved</t>
        </is>
      </c>
      <c r="J259" s="496" t="n">
        <v>46168</v>
      </c>
      <c r="K259" s="425" t="inlineStr">
        <is>
          <t>UCC( RENTAL)</t>
        </is>
      </c>
      <c r="L259" s="29" t="inlineStr">
        <is>
          <t>-</t>
        </is>
      </c>
      <c r="N259" s="128" t="n"/>
      <c r="O259" s="128" t="n"/>
      <c r="P259" s="128" t="n"/>
      <c r="Q259" s="128" t="n"/>
      <c r="R259" s="128" t="n"/>
      <c r="S259" s="128" t="n"/>
      <c r="T259" s="128" t="n"/>
    </row>
    <row r="260" ht="15.75" customHeight="1">
      <c r="A260" s="429" t="n"/>
      <c r="B260" s="429" t="n"/>
      <c r="C260" s="429" t="n"/>
      <c r="D260" s="429" t="n"/>
      <c r="E260" s="460" t="inlineStr">
        <is>
          <t>Md Apple Mia</t>
        </is>
      </c>
      <c r="F260" s="136" t="inlineStr">
        <is>
          <t>Soft Service</t>
        </is>
      </c>
      <c r="G260" s="68" t="inlineStr">
        <is>
          <t>-</t>
        </is>
      </c>
      <c r="H260" s="460" t="n">
        <v>2573946114</v>
      </c>
      <c r="I260" s="425" t="inlineStr">
        <is>
          <t>Approved</t>
        </is>
      </c>
      <c r="J260" s="496" t="n">
        <v>46168</v>
      </c>
      <c r="K260" s="425" t="inlineStr">
        <is>
          <t>UCC( RENTAL)</t>
        </is>
      </c>
      <c r="L260" s="29" t="inlineStr">
        <is>
          <t>-</t>
        </is>
      </c>
      <c r="N260" s="128" t="n"/>
      <c r="O260" s="128" t="n"/>
      <c r="P260" s="128" t="n"/>
      <c r="Q260" s="128" t="n"/>
      <c r="R260" s="128" t="n"/>
      <c r="S260" s="128" t="n"/>
      <c r="T260" s="128" t="n"/>
    </row>
    <row r="261" ht="15.75" customHeight="1">
      <c r="A261" s="429" t="n"/>
      <c r="B261" s="429" t="n"/>
      <c r="C261" s="429" t="n"/>
      <c r="D261" s="429" t="n"/>
      <c r="E261" s="460" t="inlineStr">
        <is>
          <t>Ravi Shiv - Narayan</t>
        </is>
      </c>
      <c r="F261" s="136" t="inlineStr">
        <is>
          <t>Soft Service</t>
        </is>
      </c>
      <c r="G261" s="139" t="inlineStr">
        <is>
          <t>R08797</t>
        </is>
      </c>
      <c r="H261" s="139" t="n">
        <v>2608383416</v>
      </c>
      <c r="I261" s="425" t="inlineStr">
        <is>
          <t>Approved</t>
        </is>
      </c>
      <c r="J261" s="162" t="n">
        <v>46208</v>
      </c>
      <c r="K261" s="139" t="inlineStr">
        <is>
          <t>MEHAN RENTAL</t>
        </is>
      </c>
      <c r="L261" s="29" t="inlineStr">
        <is>
          <t>-</t>
        </is>
      </c>
      <c r="N261" s="128" t="n"/>
      <c r="O261" s="128" t="n"/>
      <c r="P261" s="128" t="n"/>
      <c r="Q261" s="128" t="n"/>
      <c r="R261" s="128" t="n"/>
      <c r="S261" s="128" t="n"/>
      <c r="T261" s="128" t="n"/>
    </row>
    <row r="262" ht="15.75" customHeight="1">
      <c r="A262" s="429" t="n"/>
      <c r="B262" s="429" t="n"/>
      <c r="C262" s="429" t="n"/>
      <c r="D262" s="429" t="n"/>
      <c r="E262" s="460" t="inlineStr">
        <is>
          <t>Akhlaq - - Jamal</t>
        </is>
      </c>
      <c r="F262" s="136" t="inlineStr">
        <is>
          <t>Soft Service</t>
        </is>
      </c>
      <c r="G262" s="139" t="inlineStr">
        <is>
          <t>R09519</t>
        </is>
      </c>
      <c r="H262" s="139" t="n">
        <v>2615134067</v>
      </c>
      <c r="I262" s="425" t="inlineStr">
        <is>
          <t>Approved</t>
        </is>
      </c>
      <c r="J262" s="162" t="n">
        <v>46208</v>
      </c>
      <c r="K262" s="139" t="inlineStr">
        <is>
          <t>MEHAN RENTAL</t>
        </is>
      </c>
      <c r="L262" s="29" t="inlineStr">
        <is>
          <t>-</t>
        </is>
      </c>
      <c r="N262" s="128" t="n"/>
      <c r="O262" s="128" t="n"/>
      <c r="P262" s="128" t="n"/>
      <c r="Q262" s="128" t="n"/>
      <c r="R262" s="128" t="n"/>
      <c r="S262" s="128" t="n"/>
      <c r="T262" s="128" t="n"/>
    </row>
    <row r="263" ht="15.75" customHeight="1">
      <c r="A263" s="429" t="n"/>
      <c r="B263" s="429" t="n"/>
      <c r="C263" s="429" t="n"/>
      <c r="D263" s="429" t="n"/>
      <c r="E263" s="460" t="inlineStr">
        <is>
          <t>Kamal - - Sekh</t>
        </is>
      </c>
      <c r="F263" s="136" t="inlineStr">
        <is>
          <t>Soft Service</t>
        </is>
      </c>
      <c r="G263" s="139" t="inlineStr">
        <is>
          <t>R09520</t>
        </is>
      </c>
      <c r="H263" s="139" t="n">
        <v>2615134190</v>
      </c>
      <c r="I263" s="425" t="inlineStr">
        <is>
          <t>Approved</t>
        </is>
      </c>
      <c r="J263" s="162" t="n">
        <v>46208</v>
      </c>
      <c r="K263" s="139" t="inlineStr">
        <is>
          <t>MEHAN RENTAL</t>
        </is>
      </c>
      <c r="L263" s="29" t="inlineStr">
        <is>
          <t>-</t>
        </is>
      </c>
      <c r="N263" s="128" t="n"/>
      <c r="O263" s="128" t="n"/>
      <c r="P263" s="128" t="n"/>
      <c r="Q263" s="128" t="n"/>
      <c r="R263" s="128" t="n"/>
      <c r="S263" s="128" t="n"/>
      <c r="T263" s="128" t="n"/>
    </row>
    <row r="264" ht="15.75" customHeight="1">
      <c r="A264" s="429" t="n"/>
      <c r="B264" s="429" t="n"/>
      <c r="C264" s="429" t="n"/>
      <c r="D264" s="429" t="n"/>
      <c r="E264" s="460" t="inlineStr">
        <is>
          <t>Indrajeet Kumar - Parsaadi</t>
        </is>
      </c>
      <c r="F264" s="136" t="inlineStr">
        <is>
          <t>Soft Service</t>
        </is>
      </c>
      <c r="G264" s="139" t="inlineStr">
        <is>
          <t>R08550</t>
        </is>
      </c>
      <c r="H264" s="139" t="n">
        <v>2607220312</v>
      </c>
      <c r="I264" s="425" t="inlineStr">
        <is>
          <t>Approved</t>
        </is>
      </c>
      <c r="J264" s="162" t="n">
        <v>46208</v>
      </c>
      <c r="K264" s="139" t="inlineStr">
        <is>
          <t>MEHAN RENTAL</t>
        </is>
      </c>
      <c r="L264" s="29" t="inlineStr">
        <is>
          <t>-</t>
        </is>
      </c>
      <c r="N264" s="128" t="n"/>
      <c r="O264" s="128" t="n"/>
      <c r="P264" s="128" t="n"/>
      <c r="Q264" s="128" t="n"/>
      <c r="R264" s="128" t="n"/>
      <c r="S264" s="128" t="n"/>
      <c r="T264" s="128" t="n"/>
    </row>
    <row r="265" ht="15.75" customHeight="1">
      <c r="A265" s="429" t="n"/>
      <c r="B265" s="429" t="n"/>
      <c r="C265" s="429" t="n"/>
      <c r="D265" s="429" t="n"/>
      <c r="E265" s="460" t="inlineStr">
        <is>
          <t>Vidyakant Chandra - Bhushan</t>
        </is>
      </c>
      <c r="F265" s="136" t="inlineStr">
        <is>
          <t>Soft Service</t>
        </is>
      </c>
      <c r="G265" s="139" t="inlineStr">
        <is>
          <t>R09606</t>
        </is>
      </c>
      <c r="H265" s="139" t="n">
        <v>2616699506</v>
      </c>
      <c r="I265" s="425" t="inlineStr">
        <is>
          <t>Approved</t>
        </is>
      </c>
      <c r="J265" s="162" t="n">
        <v>46208</v>
      </c>
      <c r="K265" s="139" t="inlineStr">
        <is>
          <t>MEHAN RENTAL</t>
        </is>
      </c>
      <c r="L265" s="29" t="inlineStr">
        <is>
          <t>-</t>
        </is>
      </c>
      <c r="N265" s="128" t="n"/>
      <c r="O265" s="128" t="n"/>
      <c r="P265" s="128" t="n"/>
      <c r="Q265" s="128" t="n"/>
      <c r="R265" s="128" t="n"/>
      <c r="S265" s="128" t="n"/>
      <c r="T265" s="128" t="n"/>
    </row>
    <row r="266" ht="15.75" customHeight="1">
      <c r="A266" s="429" t="n"/>
      <c r="B266" s="429" t="n"/>
      <c r="C266" s="429" t="n"/>
      <c r="D266" s="429" t="n"/>
      <c r="E266" s="460" t="inlineStr">
        <is>
          <t>Adil - - Asharaf</t>
        </is>
      </c>
      <c r="F266" s="136" t="inlineStr">
        <is>
          <t>Soft Service</t>
        </is>
      </c>
      <c r="G266" s="139" t="inlineStr">
        <is>
          <t>R09886</t>
        </is>
      </c>
      <c r="H266" s="139" t="n">
        <v>2621396197</v>
      </c>
      <c r="I266" s="425" t="inlineStr">
        <is>
          <t>Approved</t>
        </is>
      </c>
      <c r="J266" s="162" t="n">
        <v>46208</v>
      </c>
      <c r="K266" s="139" t="inlineStr">
        <is>
          <t>MEHAN RENTAL</t>
        </is>
      </c>
      <c r="L266" s="29" t="inlineStr">
        <is>
          <t>-</t>
        </is>
      </c>
      <c r="N266" s="128" t="n"/>
      <c r="O266" s="128" t="n"/>
      <c r="P266" s="128" t="n"/>
      <c r="Q266" s="128" t="n"/>
      <c r="R266" s="128" t="n"/>
      <c r="S266" s="128" t="n"/>
      <c r="T266" s="128" t="n"/>
    </row>
    <row r="267" ht="15.75" customHeight="1">
      <c r="A267" s="429" t="n"/>
      <c r="B267" s="429" t="n"/>
      <c r="C267" s="429" t="n"/>
      <c r="D267" s="429" t="n"/>
      <c r="E267" s="460" t="inlineStr">
        <is>
          <t>Mohd - - Ahmad</t>
        </is>
      </c>
      <c r="F267" s="136" t="inlineStr">
        <is>
          <t>Soft Service</t>
        </is>
      </c>
      <c r="G267" s="139" t="inlineStr">
        <is>
          <t>R07515</t>
        </is>
      </c>
      <c r="H267" s="139" t="n">
        <v>2590401176</v>
      </c>
      <c r="I267" s="425" t="inlineStr">
        <is>
          <t>Approved</t>
        </is>
      </c>
      <c r="J267" s="162" t="n">
        <v>46208</v>
      </c>
      <c r="K267" s="139" t="inlineStr">
        <is>
          <t>MEHAN RENTAL</t>
        </is>
      </c>
      <c r="L267" s="29" t="inlineStr">
        <is>
          <t>-</t>
        </is>
      </c>
      <c r="N267" s="128" t="n"/>
      <c r="O267" s="128" t="n"/>
      <c r="P267" s="128" t="n"/>
      <c r="Q267" s="128" t="n"/>
      <c r="R267" s="128" t="n"/>
      <c r="S267" s="128" t="n"/>
      <c r="T267" s="128" t="n"/>
    </row>
    <row r="268" ht="15.75" customHeight="1">
      <c r="A268" s="429" t="n"/>
      <c r="B268" s="429" t="n"/>
      <c r="C268" s="429" t="n"/>
      <c r="D268" s="429" t="n"/>
      <c r="E268" s="460" t="inlineStr">
        <is>
          <t>Shabban - - Israil</t>
        </is>
      </c>
      <c r="F268" s="136" t="inlineStr">
        <is>
          <t>Soft Service</t>
        </is>
      </c>
      <c r="G268" s="139" t="inlineStr">
        <is>
          <t>R08890</t>
        </is>
      </c>
      <c r="H268" s="139" t="n">
        <v>2609033762</v>
      </c>
      <c r="I268" s="425" t="inlineStr">
        <is>
          <t>Approved</t>
        </is>
      </c>
      <c r="J268" s="162" t="n">
        <v>46208</v>
      </c>
      <c r="K268" s="139" t="inlineStr">
        <is>
          <t>MEHAN RENTAL</t>
        </is>
      </c>
      <c r="L268" s="29" t="inlineStr">
        <is>
          <t>-</t>
        </is>
      </c>
      <c r="N268" s="128" t="n"/>
      <c r="O268" s="128" t="n"/>
      <c r="P268" s="128" t="n"/>
      <c r="Q268" s="128" t="n"/>
      <c r="R268" s="128" t="n"/>
      <c r="S268" s="128" t="n"/>
      <c r="T268" s="128" t="n"/>
    </row>
    <row r="269" ht="15.75" customHeight="1">
      <c r="A269" s="429" t="n"/>
      <c r="B269" s="429" t="n"/>
      <c r="C269" s="429" t="n"/>
      <c r="D269" s="429" t="n"/>
      <c r="E269" s="460" t="inlineStr">
        <is>
          <t>Qayamuddin - - Islamuddin</t>
        </is>
      </c>
      <c r="F269" s="136" t="inlineStr">
        <is>
          <t>Soft Service</t>
        </is>
      </c>
      <c r="G269" s="139" t="inlineStr">
        <is>
          <t>R08549</t>
        </is>
      </c>
      <c r="H269" s="139" t="n">
        <v>2607220197</v>
      </c>
      <c r="I269" s="425" t="inlineStr">
        <is>
          <t>Approved</t>
        </is>
      </c>
      <c r="J269" s="162" t="n">
        <v>46208</v>
      </c>
      <c r="K269" s="139" t="inlineStr">
        <is>
          <t>MEHAN RENTAL</t>
        </is>
      </c>
      <c r="L269" s="29" t="inlineStr">
        <is>
          <t>-</t>
        </is>
      </c>
      <c r="N269" s="128" t="n"/>
      <c r="O269" s="128" t="n"/>
      <c r="P269" s="128" t="n"/>
      <c r="Q269" s="128" t="n"/>
      <c r="R269" s="128" t="n"/>
      <c r="S269" s="128" t="n"/>
      <c r="T269" s="128" t="n"/>
    </row>
    <row r="270" ht="15.75" customHeight="1">
      <c r="A270" s="429" t="n"/>
      <c r="B270" s="429" t="n"/>
      <c r="C270" s="429" t="n"/>
      <c r="D270" s="429" t="n"/>
      <c r="E270" s="460" t="inlineStr">
        <is>
          <t>Juber   Alam</t>
        </is>
      </c>
      <c r="F270" s="136" t="inlineStr">
        <is>
          <t>Soft Service</t>
        </is>
      </c>
      <c r="G270" s="139" t="inlineStr">
        <is>
          <t>R05213</t>
        </is>
      </c>
      <c r="H270" s="139" t="n">
        <v>2518629759</v>
      </c>
      <c r="I270" s="425" t="inlineStr">
        <is>
          <t>Approved</t>
        </is>
      </c>
      <c r="J270" s="162" t="n">
        <v>46208</v>
      </c>
      <c r="K270" s="139" t="inlineStr">
        <is>
          <t>MEHAN RENTAL</t>
        </is>
      </c>
      <c r="L270" s="29" t="inlineStr">
        <is>
          <t>-</t>
        </is>
      </c>
      <c r="N270" s="128" t="n"/>
      <c r="O270" s="128" t="n"/>
      <c r="P270" s="128" t="n"/>
      <c r="Q270" s="128" t="n"/>
      <c r="R270" s="128" t="n"/>
      <c r="S270" s="128" t="n"/>
      <c r="T270" s="128" t="n"/>
    </row>
    <row r="271" ht="15.75" customHeight="1">
      <c r="A271" s="429" t="n"/>
      <c r="B271" s="429" t="n"/>
      <c r="C271" s="429" t="n"/>
      <c r="D271" s="429" t="n"/>
      <c r="E271" s="460" t="inlineStr">
        <is>
          <t>Bandhu - - Sah</t>
        </is>
      </c>
      <c r="F271" s="136" t="inlineStr">
        <is>
          <t>Soft Service</t>
        </is>
      </c>
      <c r="G271" s="139" t="inlineStr">
        <is>
          <t>R07994</t>
        </is>
      </c>
      <c r="H271" s="139" t="n">
        <v>2597485651</v>
      </c>
      <c r="I271" s="425" t="inlineStr">
        <is>
          <t>Approved</t>
        </is>
      </c>
      <c r="J271" s="162" t="n">
        <v>46208</v>
      </c>
      <c r="K271" s="139" t="inlineStr">
        <is>
          <t>MEHAN RENTAL</t>
        </is>
      </c>
      <c r="L271" s="29" t="inlineStr">
        <is>
          <t>-</t>
        </is>
      </c>
      <c r="N271" s="128" t="n"/>
      <c r="O271" s="128" t="n"/>
      <c r="P271" s="128" t="n"/>
      <c r="Q271" s="128" t="n"/>
      <c r="R271" s="128" t="n"/>
      <c r="S271" s="128" t="n"/>
      <c r="T271" s="128" t="n"/>
    </row>
    <row r="272" ht="15.75" customHeight="1">
      <c r="A272" s="429" t="n"/>
      <c r="B272" s="429" t="n"/>
      <c r="C272" s="429" t="n"/>
      <c r="D272" s="429" t="n"/>
      <c r="E272" s="460" t="inlineStr">
        <is>
          <t>Salam - - Momin</t>
        </is>
      </c>
      <c r="F272" s="136" t="inlineStr">
        <is>
          <t>Soft Service</t>
        </is>
      </c>
      <c r="G272" s="139" t="inlineStr">
        <is>
          <t>R08595</t>
        </is>
      </c>
      <c r="H272" s="139" t="n">
        <v>2607738313</v>
      </c>
      <c r="I272" s="425" t="inlineStr">
        <is>
          <t>Approved</t>
        </is>
      </c>
      <c r="J272" s="162" t="n">
        <v>46208</v>
      </c>
      <c r="K272" s="139" t="inlineStr">
        <is>
          <t>MEHAN RENTAL</t>
        </is>
      </c>
      <c r="L272" s="29" t="inlineStr">
        <is>
          <t>-</t>
        </is>
      </c>
      <c r="N272" s="128" t="n"/>
      <c r="O272" s="128" t="n"/>
      <c r="P272" s="128" t="n"/>
      <c r="Q272" s="128" t="n"/>
      <c r="R272" s="128" t="n"/>
      <c r="S272" s="128" t="n"/>
      <c r="T272" s="128" t="n"/>
    </row>
    <row r="273" ht="15.75" customHeight="1">
      <c r="A273" s="429" t="n"/>
      <c r="B273" s="429" t="n"/>
      <c r="C273" s="429" t="n"/>
      <c r="D273" s="429" t="n"/>
      <c r="E273" s="460" t="inlineStr">
        <is>
          <t>HANIFA MD MAJIBUR - RAHMAN</t>
        </is>
      </c>
      <c r="F273" s="136" t="inlineStr">
        <is>
          <t>Soft Service</t>
        </is>
      </c>
      <c r="G273" s="169" t="inlineStr">
        <is>
          <t>L01871</t>
        </is>
      </c>
      <c r="H273" s="169" t="n">
        <v>2641899865</v>
      </c>
      <c r="I273" s="425" t="inlineStr">
        <is>
          <t>Approved</t>
        </is>
      </c>
      <c r="J273" s="162" t="n">
        <v>46232</v>
      </c>
      <c r="K273" s="139" t="inlineStr">
        <is>
          <t>MEHAN RENTAL</t>
        </is>
      </c>
      <c r="L273" s="29" t="inlineStr">
        <is>
          <t>-</t>
        </is>
      </c>
      <c r="N273" s="128" t="n"/>
      <c r="O273" s="128" t="n"/>
      <c r="P273" s="128" t="n"/>
      <c r="Q273" s="128" t="n"/>
      <c r="R273" s="128" t="n"/>
      <c r="S273" s="128" t="n"/>
      <c r="T273" s="128" t="n"/>
    </row>
    <row r="274" ht="15.75" customHeight="1">
      <c r="A274" s="429" t="n"/>
      <c r="B274" s="429" t="n"/>
      <c r="C274" s="429" t="n"/>
      <c r="D274" s="429" t="n"/>
      <c r="E274" s="460" t="inlineStr">
        <is>
          <t>Rajesh - - Yadav</t>
        </is>
      </c>
      <c r="F274" s="136" t="inlineStr">
        <is>
          <t>Soft Service</t>
        </is>
      </c>
      <c r="G274" s="139" t="inlineStr">
        <is>
          <t>R08207</t>
        </is>
      </c>
      <c r="H274" s="139" t="n">
        <v>2602951879</v>
      </c>
      <c r="I274" s="425" t="inlineStr">
        <is>
          <t>Approved</t>
        </is>
      </c>
      <c r="J274" s="162" t="n">
        <v>46208</v>
      </c>
      <c r="K274" s="139" t="inlineStr">
        <is>
          <t>MEHAN RENTAL</t>
        </is>
      </c>
      <c r="L274" s="29" t="inlineStr">
        <is>
          <t>-</t>
        </is>
      </c>
      <c r="N274" s="128" t="n"/>
      <c r="O274" s="128" t="n"/>
      <c r="P274" s="128" t="n"/>
      <c r="Q274" s="128" t="n"/>
      <c r="R274" s="128" t="n"/>
      <c r="S274" s="128" t="n"/>
      <c r="T274" s="128" t="n"/>
    </row>
    <row r="275" ht="15.75" customHeight="1">
      <c r="A275" s="429" t="n"/>
      <c r="B275" s="429" t="n"/>
      <c r="C275" s="429" t="n"/>
      <c r="D275" s="429" t="n"/>
      <c r="E275" s="460" t="inlineStr">
        <is>
          <t>Gokul Prasad - Gurung</t>
        </is>
      </c>
      <c r="F275" s="136" t="inlineStr">
        <is>
          <t>Soft Service</t>
        </is>
      </c>
      <c r="G275" s="139" t="inlineStr">
        <is>
          <t>R09102</t>
        </is>
      </c>
      <c r="H275" s="139" t="n">
        <v>2610429108</v>
      </c>
      <c r="I275" s="425" t="inlineStr">
        <is>
          <t>Approved</t>
        </is>
      </c>
      <c r="J275" s="162" t="n">
        <v>46208</v>
      </c>
      <c r="K275" s="139" t="inlineStr">
        <is>
          <t>MEHAN RENTAL</t>
        </is>
      </c>
      <c r="L275" s="29" t="inlineStr">
        <is>
          <t>-</t>
        </is>
      </c>
      <c r="N275" s="128" t="n"/>
      <c r="O275" s="128" t="n"/>
      <c r="P275" s="128" t="n"/>
      <c r="Q275" s="128" t="n"/>
      <c r="R275" s="128" t="n"/>
      <c r="S275" s="128" t="n"/>
      <c r="T275" s="128" t="n"/>
    </row>
    <row r="276" ht="15.75" customHeight="1">
      <c r="A276" s="429" t="n"/>
      <c r="B276" s="429" t="n"/>
      <c r="C276" s="429" t="n"/>
      <c r="D276" s="429" t="n"/>
      <c r="E276" s="460" t="inlineStr">
        <is>
          <t>Gopichandra Prasad - Sah</t>
        </is>
      </c>
      <c r="F276" s="136" t="inlineStr">
        <is>
          <t>Soft Service</t>
        </is>
      </c>
      <c r="G276" s="139" t="inlineStr">
        <is>
          <t>R09774</t>
        </is>
      </c>
      <c r="H276" s="139" t="n">
        <v>2619579473</v>
      </c>
      <c r="I276" s="425" t="inlineStr">
        <is>
          <t>Approved</t>
        </is>
      </c>
      <c r="J276" s="162" t="n">
        <v>46208</v>
      </c>
      <c r="K276" s="139" t="inlineStr">
        <is>
          <t>MEHAN RENTAL</t>
        </is>
      </c>
      <c r="L276" s="29" t="inlineStr">
        <is>
          <t>-</t>
        </is>
      </c>
      <c r="N276" s="128" t="n"/>
      <c r="O276" s="128" t="n"/>
      <c r="P276" s="128" t="n"/>
      <c r="Q276" s="128" t="n"/>
      <c r="R276" s="128" t="n"/>
      <c r="S276" s="128" t="n"/>
      <c r="T276" s="128" t="n"/>
    </row>
    <row r="277" ht="15.75" customHeight="1">
      <c r="A277" s="429" t="n"/>
      <c r="B277" s="429" t="n"/>
      <c r="C277" s="429" t="n"/>
      <c r="D277" s="429" t="n"/>
      <c r="E277" s="460" t="inlineStr">
        <is>
          <t>MD ABDUR - - ROHIM</t>
        </is>
      </c>
      <c r="F277" s="136" t="inlineStr">
        <is>
          <t>Soft Service</t>
        </is>
      </c>
      <c r="G277" s="169" t="inlineStr">
        <is>
          <t>L01872</t>
        </is>
      </c>
      <c r="H277" s="169" t="n">
        <v>2641899931</v>
      </c>
      <c r="I277" s="425" t="inlineStr">
        <is>
          <t>Approved</t>
        </is>
      </c>
      <c r="J277" s="162" t="n">
        <v>46232</v>
      </c>
      <c r="K277" s="139" t="inlineStr">
        <is>
          <t>MEHAN RENTAL</t>
        </is>
      </c>
      <c r="L277" s="29" t="inlineStr">
        <is>
          <t>-</t>
        </is>
      </c>
      <c r="N277" s="128" t="n"/>
      <c r="O277" s="128" t="n"/>
      <c r="P277" s="128" t="n"/>
      <c r="Q277" s="128" t="n"/>
      <c r="R277" s="128" t="n"/>
      <c r="S277" s="128" t="n"/>
      <c r="T277" s="128" t="n"/>
    </row>
    <row r="278" ht="15.75" customHeight="1">
      <c r="A278" s="429" t="n"/>
      <c r="B278" s="429" t="n"/>
      <c r="C278" s="429" t="n"/>
      <c r="D278" s="429" t="n"/>
      <c r="E278" s="460" t="inlineStr">
        <is>
          <t>Bijay Kumar - Raut</t>
        </is>
      </c>
      <c r="F278" s="136" t="inlineStr">
        <is>
          <t>Soft Service</t>
        </is>
      </c>
      <c r="G278" s="139" t="inlineStr">
        <is>
          <t>R09138</t>
        </is>
      </c>
      <c r="H278" s="139" t="n">
        <v>2610431328</v>
      </c>
      <c r="I278" s="425" t="inlineStr">
        <is>
          <t>Approved</t>
        </is>
      </c>
      <c r="J278" s="162" t="n">
        <v>46208</v>
      </c>
      <c r="K278" s="139" t="inlineStr">
        <is>
          <t>MEHAN RENTAL</t>
        </is>
      </c>
      <c r="L278" s="29" t="inlineStr">
        <is>
          <t>-</t>
        </is>
      </c>
      <c r="N278" s="128" t="n"/>
      <c r="O278" s="128" t="n"/>
      <c r="P278" s="128" t="n"/>
      <c r="Q278" s="128" t="n"/>
      <c r="R278" s="128" t="n"/>
      <c r="S278" s="128" t="n"/>
      <c r="T278" s="128" t="n"/>
    </row>
    <row r="279" ht="15.75" customHeight="1">
      <c r="A279" s="429" t="n"/>
      <c r="B279" s="429" t="n"/>
      <c r="C279" s="429" t="n"/>
      <c r="D279" s="429" t="n"/>
      <c r="E279" s="460" t="inlineStr">
        <is>
          <t>Abdul Rashid Gulam Hussain</t>
        </is>
      </c>
      <c r="F279" s="136" t="inlineStr">
        <is>
          <t>Soft Service</t>
        </is>
      </c>
      <c r="G279" s="139" t="inlineStr">
        <is>
          <t>R09497</t>
        </is>
      </c>
      <c r="H279" s="139" t="n">
        <v>2615122476</v>
      </c>
      <c r="I279" s="425" t="inlineStr">
        <is>
          <t>Approved</t>
        </is>
      </c>
      <c r="J279" s="162" t="n">
        <v>46208</v>
      </c>
      <c r="K279" s="139" t="inlineStr">
        <is>
          <t>MEHAN RENTAL</t>
        </is>
      </c>
      <c r="L279" s="29" t="inlineStr">
        <is>
          <t>-</t>
        </is>
      </c>
      <c r="N279" s="128" t="n"/>
      <c r="O279" s="128" t="n"/>
      <c r="P279" s="128" t="n"/>
      <c r="Q279" s="128" t="n"/>
      <c r="R279" s="128" t="n"/>
      <c r="S279" s="128" t="n"/>
      <c r="T279" s="128" t="n"/>
    </row>
    <row r="280" ht="15.75" customHeight="1">
      <c r="A280" s="429" t="n"/>
      <c r="B280" s="429" t="n"/>
      <c r="C280" s="429" t="n"/>
      <c r="D280" s="429" t="n"/>
      <c r="E280" s="460" t="inlineStr">
        <is>
          <t>MD SHOHEL</t>
        </is>
      </c>
      <c r="F280" s="136" t="n"/>
      <c r="G280" s="139" t="inlineStr">
        <is>
          <t>EM-0004120</t>
        </is>
      </c>
      <c r="H280" s="139" t="inlineStr">
        <is>
          <t>2643066851</t>
        </is>
      </c>
      <c r="I280" s="425" t="inlineStr">
        <is>
          <t>Approved</t>
        </is>
      </c>
      <c r="J280" s="162" t="n">
        <v>46249</v>
      </c>
      <c r="K280" s="139" t="inlineStr">
        <is>
          <t>AL-FALAK VISA</t>
        </is>
      </c>
      <c r="L280" s="29" t="n"/>
      <c r="N280" s="128" t="n"/>
      <c r="O280" s="128" t="n"/>
      <c r="P280" s="128" t="n"/>
      <c r="Q280" s="128" t="n"/>
      <c r="R280" s="128" t="n"/>
      <c r="S280" s="128" t="n"/>
      <c r="T280" s="128" t="n"/>
    </row>
    <row r="281" ht="15.75" customHeight="1">
      <c r="A281" s="429" t="n"/>
      <c r="B281" s="429" t="n"/>
      <c r="C281" s="429" t="n"/>
      <c r="D281" s="429" t="n"/>
      <c r="E281" s="460" t="inlineStr">
        <is>
          <t>Md Joy Shah</t>
        </is>
      </c>
      <c r="F281" s="136" t="inlineStr">
        <is>
          <t>Soft Service</t>
        </is>
      </c>
      <c r="G281" s="139" t="inlineStr">
        <is>
          <t>-</t>
        </is>
      </c>
      <c r="H281" s="139" t="n">
        <v>2619123546</v>
      </c>
      <c r="I281" s="425" t="inlineStr">
        <is>
          <t>Approved</t>
        </is>
      </c>
      <c r="J281" s="162" t="n">
        <v>46208</v>
      </c>
      <c r="K281" s="139" t="inlineStr">
        <is>
          <t>AB-HOOR</t>
        </is>
      </c>
      <c r="L281" s="29" t="inlineStr">
        <is>
          <t>-</t>
        </is>
      </c>
      <c r="N281" s="128" t="n"/>
      <c r="O281" s="128" t="n"/>
      <c r="P281" s="128" t="n"/>
      <c r="Q281" s="128" t="n"/>
      <c r="R281" s="128" t="n"/>
      <c r="S281" s="128" t="n"/>
      <c r="T281" s="128" t="n"/>
    </row>
    <row r="282" ht="15.75" customHeight="1">
      <c r="A282" s="431" t="n"/>
      <c r="B282" s="431" t="n"/>
      <c r="C282" s="431" t="n"/>
      <c r="D282" s="431" t="n"/>
      <c r="E282" s="460" t="n"/>
      <c r="F282" s="136" t="n"/>
      <c r="G282" s="139" t="n"/>
      <c r="H282" s="139" t="n"/>
      <c r="I282" s="425" t="inlineStr">
        <is>
          <t>Vacant</t>
        </is>
      </c>
      <c r="J282" s="162" t="n"/>
      <c r="K282" s="139" t="n"/>
      <c r="L282" s="29" t="n"/>
      <c r="N282" s="128" t="n"/>
      <c r="O282" s="128" t="n"/>
      <c r="P282" s="128" t="n"/>
      <c r="Q282" s="128" t="n"/>
      <c r="R282" s="128" t="n"/>
      <c r="S282" s="128" t="n"/>
      <c r="T282" s="128" t="n"/>
    </row>
    <row r="283" ht="15.75" customHeight="1">
      <c r="A283" s="440" t="inlineStr">
        <is>
          <t>Litter Picker Supervisor</t>
        </is>
      </c>
      <c r="B283" s="440" t="n">
        <v>2</v>
      </c>
      <c r="C283" s="440">
        <f>COUNTIF(E283:E284,"&lt;&gt;")</f>
        <v/>
      </c>
      <c r="D283" s="441">
        <f>C283-B283</f>
        <v/>
      </c>
      <c r="E283" s="135" t="n"/>
      <c r="F283" s="136" t="inlineStr">
        <is>
          <t>Soft Service</t>
        </is>
      </c>
      <c r="G283" s="68" t="inlineStr">
        <is>
          <t>-</t>
        </is>
      </c>
      <c r="H283" s="460" t="inlineStr">
        <is>
          <t>-</t>
        </is>
      </c>
      <c r="I283" s="425" t="inlineStr">
        <is>
          <t>Vacant</t>
        </is>
      </c>
      <c r="J283" s="499" t="n"/>
      <c r="K283" s="425" t="inlineStr">
        <is>
          <t>-</t>
        </is>
      </c>
      <c r="L283" s="29" t="inlineStr">
        <is>
          <t>-</t>
        </is>
      </c>
      <c r="N283" s="128" t="n"/>
      <c r="O283" s="128" t="n"/>
      <c r="P283" s="128" t="n"/>
      <c r="Q283" s="128" t="n"/>
      <c r="R283" s="128" t="n"/>
      <c r="S283" s="128" t="n"/>
      <c r="T283" s="128" t="n"/>
    </row>
    <row r="284" ht="15.75" customHeight="1">
      <c r="A284" s="431" t="n"/>
      <c r="B284" s="431" t="n"/>
      <c r="C284" s="431" t="n"/>
      <c r="D284" s="431" t="n"/>
      <c r="E284" s="135" t="n"/>
      <c r="F284" s="136" t="inlineStr">
        <is>
          <t>Soft Service</t>
        </is>
      </c>
      <c r="G284" s="68" t="inlineStr">
        <is>
          <t>-</t>
        </is>
      </c>
      <c r="H284" s="460" t="inlineStr">
        <is>
          <t>-</t>
        </is>
      </c>
      <c r="I284" s="425" t="inlineStr">
        <is>
          <t>Vacant</t>
        </is>
      </c>
      <c r="J284" s="499" t="n"/>
      <c r="K284" s="425" t="inlineStr">
        <is>
          <t>-</t>
        </is>
      </c>
      <c r="L284" s="29" t="inlineStr">
        <is>
          <t>-</t>
        </is>
      </c>
      <c r="N284" s="128" t="n"/>
      <c r="O284" s="128" t="n"/>
      <c r="P284" s="128" t="n"/>
      <c r="Q284" s="128" t="n"/>
      <c r="R284" s="128" t="n"/>
      <c r="S284" s="128" t="n"/>
      <c r="T284" s="128" t="n"/>
    </row>
    <row r="285" ht="15.75" customHeight="1">
      <c r="A285" s="440" t="inlineStr">
        <is>
          <t xml:space="preserve">Litter Picker </t>
        </is>
      </c>
      <c r="B285" s="440" t="n">
        <v>10</v>
      </c>
      <c r="C285" s="440">
        <f>COUNTIF(E285:E294,"&lt;&gt;")</f>
        <v/>
      </c>
      <c r="D285" s="440">
        <f>C285-B285</f>
        <v/>
      </c>
      <c r="E285" s="460" t="inlineStr">
        <is>
          <t>Md Hasan</t>
        </is>
      </c>
      <c r="F285" s="136" t="inlineStr">
        <is>
          <t>Soft Service</t>
        </is>
      </c>
      <c r="G285" s="68" t="n">
        <v>1276</v>
      </c>
      <c r="H285" s="460" t="n">
        <v>2598518989</v>
      </c>
      <c r="I285" s="425" t="inlineStr">
        <is>
          <t>Approved</t>
        </is>
      </c>
      <c r="J285" s="496" t="n">
        <v>45769</v>
      </c>
      <c r="K285" s="425" t="inlineStr">
        <is>
          <t>UCC( RENTAL)</t>
        </is>
      </c>
      <c r="L285" s="29" t="inlineStr">
        <is>
          <t>-</t>
        </is>
      </c>
      <c r="N285" s="128" t="n"/>
      <c r="O285" s="128" t="n"/>
      <c r="P285" s="128" t="n"/>
      <c r="Q285" s="128" t="n"/>
      <c r="R285" s="128" t="n"/>
      <c r="S285" s="128" t="n"/>
      <c r="T285" s="128" t="n"/>
    </row>
    <row r="286" ht="15.75" customHeight="1">
      <c r="A286" s="429" t="n"/>
      <c r="B286" s="429" t="n"/>
      <c r="C286" s="429" t="n"/>
      <c r="D286" s="429" t="n"/>
      <c r="E286" s="460" t="inlineStr">
        <is>
          <t>Salik Ram Prithi Pal</t>
        </is>
      </c>
      <c r="F286" s="136" t="inlineStr">
        <is>
          <t>Soft Service</t>
        </is>
      </c>
      <c r="G286" s="68" t="inlineStr">
        <is>
          <t>R01238</t>
        </is>
      </c>
      <c r="H286" s="460" t="n">
        <v>2468487299</v>
      </c>
      <c r="I286" s="425" t="inlineStr">
        <is>
          <t>Approved</t>
        </is>
      </c>
      <c r="J286" s="496" t="n">
        <v>45702</v>
      </c>
      <c r="K286" s="425" t="inlineStr">
        <is>
          <t>MEHAN (RENTAL)</t>
        </is>
      </c>
      <c r="L286" s="29" t="inlineStr">
        <is>
          <t>-</t>
        </is>
      </c>
      <c r="N286" s="128" t="n"/>
      <c r="O286" s="128" t="n"/>
      <c r="P286" s="128" t="n"/>
      <c r="Q286" s="128" t="n"/>
      <c r="R286" s="128" t="n"/>
      <c r="S286" s="128" t="n"/>
      <c r="T286" s="128" t="n"/>
    </row>
    <row r="287" ht="15.75" customHeight="1">
      <c r="A287" s="429" t="n"/>
      <c r="B287" s="429" t="n"/>
      <c r="C287" s="429" t="n"/>
      <c r="D287" s="429" t="n"/>
      <c r="E287" s="460" t="inlineStr">
        <is>
          <t>Md Sagor Ali</t>
        </is>
      </c>
      <c r="F287" s="136" t="inlineStr">
        <is>
          <t>Soft Service</t>
        </is>
      </c>
      <c r="G287" s="68" t="inlineStr">
        <is>
          <t>-</t>
        </is>
      </c>
      <c r="H287" s="460" t="n">
        <v>2624253148</v>
      </c>
      <c r="I287" s="425" t="inlineStr">
        <is>
          <t>Approved</t>
        </is>
      </c>
      <c r="J287" s="496" t="n">
        <v>46025</v>
      </c>
      <c r="K287" s="425" t="inlineStr">
        <is>
          <t>SCC ( RENTAL )</t>
        </is>
      </c>
      <c r="L287" s="29" t="inlineStr">
        <is>
          <t>-</t>
        </is>
      </c>
      <c r="N287" s="128" t="n"/>
      <c r="O287" s="128" t="n"/>
      <c r="P287" s="128" t="n"/>
      <c r="Q287" s="128" t="n"/>
      <c r="R287" s="128" t="n"/>
      <c r="S287" s="128" t="n"/>
      <c r="T287" s="128" t="n"/>
    </row>
    <row r="288" ht="15.75" customHeight="1">
      <c r="A288" s="429" t="n"/>
      <c r="B288" s="429" t="n"/>
      <c r="C288" s="429" t="n"/>
      <c r="D288" s="429" t="n"/>
      <c r="E288" s="460" t="inlineStr">
        <is>
          <t>Upman Hanoman</t>
        </is>
      </c>
      <c r="F288" s="136" t="inlineStr">
        <is>
          <t>Soft Service</t>
        </is>
      </c>
      <c r="G288" s="68" t="inlineStr">
        <is>
          <t>R09495</t>
        </is>
      </c>
      <c r="H288" s="460" t="n">
        <v>2615122153</v>
      </c>
      <c r="I288" s="425" t="inlineStr">
        <is>
          <t>Approved</t>
        </is>
      </c>
      <c r="J288" s="499" t="n"/>
      <c r="K288" s="425" t="inlineStr">
        <is>
          <t>MEHAN RENTAL</t>
        </is>
      </c>
      <c r="L288" s="29" t="inlineStr">
        <is>
          <t>-</t>
        </is>
      </c>
      <c r="N288" s="128" t="n"/>
      <c r="O288" s="128" t="n"/>
      <c r="P288" s="128" t="n"/>
      <c r="Q288" s="128" t="n"/>
      <c r="R288" s="128" t="n"/>
      <c r="S288" s="128" t="n"/>
      <c r="T288" s="128" t="n"/>
    </row>
    <row r="289" ht="15.75" customHeight="1">
      <c r="A289" s="429" t="n"/>
      <c r="B289" s="429" t="n"/>
      <c r="C289" s="429" t="n"/>
      <c r="D289" s="429" t="n"/>
      <c r="E289" s="460" t="inlineStr">
        <is>
          <t>MD JONY</t>
        </is>
      </c>
      <c r="F289" s="136" t="inlineStr">
        <is>
          <t>Soft Service</t>
        </is>
      </c>
      <c r="G289" s="68" t="inlineStr">
        <is>
          <t>-</t>
        </is>
      </c>
      <c r="H289" s="159" t="n">
        <v>2621897475</v>
      </c>
      <c r="I289" s="425" t="inlineStr">
        <is>
          <t>Approved</t>
        </is>
      </c>
      <c r="J289" s="499" t="n"/>
      <c r="K289" s="425" t="inlineStr">
        <is>
          <t>SCC ( RENTAL )</t>
        </is>
      </c>
      <c r="L289" s="29" t="inlineStr">
        <is>
          <t>-</t>
        </is>
      </c>
      <c r="N289" s="128" t="n"/>
      <c r="O289" s="128" t="n"/>
      <c r="P289" s="128" t="n"/>
      <c r="Q289" s="128" t="n"/>
      <c r="R289" s="128" t="n"/>
      <c r="S289" s="128" t="n"/>
      <c r="T289" s="128" t="n"/>
    </row>
    <row r="290" ht="15.75" customHeight="1">
      <c r="A290" s="429" t="n"/>
      <c r="B290" s="429" t="n"/>
      <c r="C290" s="429" t="n"/>
      <c r="D290" s="429" t="n"/>
      <c r="E290" s="460" t="inlineStr">
        <is>
          <t>MAHMAD - - IBRAHIM</t>
        </is>
      </c>
      <c r="F290" s="136" t="inlineStr">
        <is>
          <t>Soft Service</t>
        </is>
      </c>
      <c r="G290" s="169" t="inlineStr">
        <is>
          <t>R09602</t>
        </is>
      </c>
      <c r="H290" s="169" t="n">
        <v>2616698979</v>
      </c>
      <c r="I290" s="425" t="inlineStr">
        <is>
          <t>Approved</t>
        </is>
      </c>
      <c r="J290" s="499" t="n"/>
      <c r="K290" s="425" t="inlineStr">
        <is>
          <t>MEHAN RENTAL</t>
        </is>
      </c>
      <c r="L290" s="29" t="inlineStr">
        <is>
          <t>-</t>
        </is>
      </c>
      <c r="N290" s="128" t="n"/>
      <c r="O290" s="128" t="n"/>
      <c r="P290" s="128" t="n"/>
      <c r="Q290" s="128" t="n"/>
      <c r="R290" s="128" t="n"/>
      <c r="S290" s="128" t="n"/>
      <c r="T290" s="128" t="n"/>
    </row>
    <row r="291" ht="15.75" customHeight="1">
      <c r="A291" s="429" t="n"/>
      <c r="B291" s="429" t="n"/>
      <c r="C291" s="429" t="n"/>
      <c r="D291" s="429" t="n"/>
      <c r="E291" s="460" t="inlineStr">
        <is>
          <t>SAROJ - - YADAV</t>
        </is>
      </c>
      <c r="F291" s="136" t="inlineStr">
        <is>
          <t>Soft Service</t>
        </is>
      </c>
      <c r="G291" s="169" t="inlineStr">
        <is>
          <t>R06294</t>
        </is>
      </c>
      <c r="H291" s="169" t="n">
        <v>2560181980</v>
      </c>
      <c r="I291" s="425" t="inlineStr">
        <is>
          <t>Approved</t>
        </is>
      </c>
      <c r="J291" s="499" t="n"/>
      <c r="K291" s="425" t="inlineStr">
        <is>
          <t>MEHAN RENTAL</t>
        </is>
      </c>
      <c r="L291" s="29" t="inlineStr">
        <is>
          <t>-</t>
        </is>
      </c>
      <c r="N291" s="128" t="n"/>
      <c r="O291" s="128" t="n"/>
      <c r="P291" s="128" t="n"/>
      <c r="Q291" s="128" t="n"/>
      <c r="R291" s="128" t="n"/>
      <c r="S291" s="128" t="n"/>
      <c r="T291" s="128" t="n"/>
    </row>
    <row r="292" ht="15.75" customHeight="1">
      <c r="A292" s="429" t="n"/>
      <c r="B292" s="429" t="n"/>
      <c r="C292" s="429" t="n"/>
      <c r="D292" s="429" t="n"/>
      <c r="E292" s="460" t="inlineStr">
        <is>
          <t>ASHOK KUMAR - BAITHA</t>
        </is>
      </c>
      <c r="F292" s="136" t="inlineStr">
        <is>
          <t>Soft Service</t>
        </is>
      </c>
      <c r="G292" s="169" t="inlineStr">
        <is>
          <t>R06415</t>
        </is>
      </c>
      <c r="H292" s="169" t="n">
        <v>2562766762</v>
      </c>
      <c r="I292" s="425" t="inlineStr">
        <is>
          <t>Approved</t>
        </is>
      </c>
      <c r="J292" s="499" t="n"/>
      <c r="K292" s="425" t="inlineStr">
        <is>
          <t>MEHAN RENTAL</t>
        </is>
      </c>
      <c r="L292" s="29" t="inlineStr">
        <is>
          <t>-</t>
        </is>
      </c>
      <c r="N292" s="128" t="n"/>
      <c r="O292" s="128" t="n"/>
      <c r="P292" s="128" t="n"/>
      <c r="Q292" s="128" t="n"/>
      <c r="R292" s="128" t="n"/>
      <c r="S292" s="128" t="n"/>
      <c r="T292" s="128" t="n"/>
    </row>
    <row r="293" ht="15.75" customHeight="1">
      <c r="A293" s="429" t="n"/>
      <c r="B293" s="429" t="n"/>
      <c r="C293" s="429" t="n"/>
      <c r="D293" s="429" t="n"/>
      <c r="E293" s="460" t="inlineStr">
        <is>
          <t>NABI AHAMAD MOHD MURSALIN</t>
        </is>
      </c>
      <c r="F293" s="136" t="inlineStr">
        <is>
          <t>Soft Service</t>
        </is>
      </c>
      <c r="G293" s="169" t="inlineStr">
        <is>
          <t>R04781</t>
        </is>
      </c>
      <c r="H293" s="169" t="n">
        <v>2517996738</v>
      </c>
      <c r="I293" s="425" t="inlineStr">
        <is>
          <t>Approved</t>
        </is>
      </c>
      <c r="J293" s="499" t="n"/>
      <c r="K293" s="425" t="inlineStr">
        <is>
          <t>MEHAN RENTAL</t>
        </is>
      </c>
      <c r="L293" s="29" t="inlineStr">
        <is>
          <t>-</t>
        </is>
      </c>
      <c r="N293" s="128" t="n"/>
      <c r="O293" s="128" t="n"/>
      <c r="P293" s="128" t="n"/>
      <c r="Q293" s="128" t="n"/>
      <c r="R293" s="128" t="n"/>
      <c r="S293" s="128" t="n"/>
      <c r="T293" s="128" t="n"/>
    </row>
    <row r="294" ht="15.75" customHeight="1">
      <c r="A294" s="431" t="n"/>
      <c r="B294" s="431" t="n"/>
      <c r="C294" s="431" t="n"/>
      <c r="D294" s="431" t="n"/>
      <c r="E294" s="460" t="inlineStr">
        <is>
          <t>NAB RAJ - BUDHATHOKI</t>
        </is>
      </c>
      <c r="F294" s="136" t="inlineStr">
        <is>
          <t>Soft Service</t>
        </is>
      </c>
      <c r="G294" s="169" t="inlineStr">
        <is>
          <t>R08024</t>
        </is>
      </c>
      <c r="H294" s="169" t="n">
        <v>2598080717</v>
      </c>
      <c r="I294" s="425" t="inlineStr">
        <is>
          <t>Approved</t>
        </is>
      </c>
      <c r="J294" s="499" t="n"/>
      <c r="K294" s="425" t="inlineStr">
        <is>
          <t>MEHAN RENTAL</t>
        </is>
      </c>
      <c r="L294" s="29" t="inlineStr">
        <is>
          <t>-</t>
        </is>
      </c>
      <c r="N294" s="128" t="n"/>
      <c r="O294" s="128" t="n"/>
      <c r="P294" s="128" t="n"/>
      <c r="Q294" s="128" t="n"/>
      <c r="R294" s="128" t="n"/>
      <c r="S294" s="128" t="n"/>
      <c r="T294" s="128" t="n"/>
    </row>
    <row r="295" ht="15.75" customHeight="1">
      <c r="A295" s="440" t="inlineStr">
        <is>
          <t>Road Sweeper Driver</t>
        </is>
      </c>
      <c r="B295" s="440" t="n">
        <v>1</v>
      </c>
      <c r="C295" s="440">
        <f>COUNTIF(E295,"&lt;&gt;")</f>
        <v/>
      </c>
      <c r="D295" s="456">
        <f>C295-B295</f>
        <v/>
      </c>
      <c r="E295" s="460" t="inlineStr">
        <is>
          <t>Aqib Nawaz</t>
        </is>
      </c>
      <c r="F295" s="136" t="inlineStr">
        <is>
          <t>Soft Service</t>
        </is>
      </c>
      <c r="G295" s="68" t="inlineStr">
        <is>
          <t>-</t>
        </is>
      </c>
      <c r="H295" s="460" t="n">
        <v>2638443768</v>
      </c>
      <c r="I295" s="425" t="inlineStr">
        <is>
          <t>Approved</t>
        </is>
      </c>
      <c r="J295" s="496" t="n">
        <v>46219</v>
      </c>
      <c r="K295" s="425" t="inlineStr">
        <is>
          <t>AL-FALAK VISA</t>
        </is>
      </c>
      <c r="L295" s="29" t="inlineStr">
        <is>
          <t>-</t>
        </is>
      </c>
      <c r="N295" s="128" t="n"/>
      <c r="O295" s="128" t="n"/>
      <c r="P295" s="128" t="n"/>
      <c r="Q295" s="128" t="n"/>
      <c r="R295" s="128" t="n"/>
      <c r="S295" s="128" t="n"/>
      <c r="T295" s="128" t="n"/>
    </row>
    <row r="296" ht="15.75" customHeight="1">
      <c r="A296" s="440" t="inlineStr">
        <is>
          <t>Barber</t>
        </is>
      </c>
      <c r="B296" s="440" t="n">
        <v>4</v>
      </c>
      <c r="C296" s="440">
        <f>COUNTIF(E296:E299,"&lt;&gt;")</f>
        <v/>
      </c>
      <c r="D296" s="440">
        <f>C296-B296</f>
        <v/>
      </c>
      <c r="E296" s="460" t="inlineStr">
        <is>
          <t>Khalid Suleman</t>
        </is>
      </c>
      <c r="F296" s="136" t="inlineStr">
        <is>
          <t>Soft Service</t>
        </is>
      </c>
      <c r="G296" s="68" t="inlineStr">
        <is>
          <t>C00936</t>
        </is>
      </c>
      <c r="H296" s="460" t="n">
        <v>2600062489</v>
      </c>
      <c r="I296" s="425" t="inlineStr">
        <is>
          <t>Approved</t>
        </is>
      </c>
      <c r="J296" s="496" t="n">
        <v>45757</v>
      </c>
      <c r="K296" s="425" t="inlineStr">
        <is>
          <t>MEHAN VISA</t>
        </is>
      </c>
      <c r="L296" s="29" t="inlineStr">
        <is>
          <t>-</t>
        </is>
      </c>
      <c r="N296" s="128" t="n"/>
      <c r="O296" s="128" t="n"/>
      <c r="P296" s="128" t="n"/>
      <c r="Q296" s="128" t="n"/>
      <c r="R296" s="128" t="n"/>
      <c r="S296" s="128" t="n"/>
      <c r="T296" s="128" t="n"/>
    </row>
    <row r="297" ht="15.75" customHeight="1">
      <c r="A297" s="429" t="n"/>
      <c r="B297" s="429" t="n"/>
      <c r="C297" s="429" t="n"/>
      <c r="D297" s="429" t="n"/>
      <c r="E297" s="460" t="inlineStr">
        <is>
          <t>Waseem Akram</t>
        </is>
      </c>
      <c r="F297" s="136" t="inlineStr">
        <is>
          <t>Soft Service</t>
        </is>
      </c>
      <c r="G297" s="68" t="inlineStr">
        <is>
          <t>C01341</t>
        </is>
      </c>
      <c r="H297" s="460" t="n">
        <v>2616698003</v>
      </c>
      <c r="I297" s="425" t="inlineStr">
        <is>
          <t>Approved</t>
        </is>
      </c>
      <c r="J297" s="496" t="n">
        <v>45954</v>
      </c>
      <c r="K297" s="425" t="inlineStr">
        <is>
          <t>MEHAN VISA</t>
        </is>
      </c>
      <c r="L297" s="29" t="inlineStr">
        <is>
          <t>-</t>
        </is>
      </c>
      <c r="N297" s="128" t="n"/>
      <c r="O297" s="128" t="n"/>
      <c r="P297" s="128" t="n"/>
      <c r="Q297" s="128" t="n"/>
      <c r="R297" s="128" t="n"/>
      <c r="S297" s="128" t="n"/>
      <c r="T297" s="128" t="n"/>
    </row>
    <row r="298" ht="15.75" customHeight="1">
      <c r="A298" s="429" t="n"/>
      <c r="B298" s="429" t="n"/>
      <c r="C298" s="429" t="n"/>
      <c r="D298" s="429" t="n"/>
      <c r="E298" s="460" t="inlineStr">
        <is>
          <t>Sarfaraz Ahmad</t>
        </is>
      </c>
      <c r="F298" s="136" t="inlineStr">
        <is>
          <t>Soft Service</t>
        </is>
      </c>
      <c r="G298" s="170" t="inlineStr">
        <is>
          <t>EM-0003033</t>
        </is>
      </c>
      <c r="H298" s="154" t="n">
        <v>2617053547</v>
      </c>
      <c r="I298" s="425" t="inlineStr">
        <is>
          <t>Approved</t>
        </is>
      </c>
      <c r="J298" s="496" t="n">
        <v>45954</v>
      </c>
      <c r="K298" s="425" t="inlineStr">
        <is>
          <t>AL-FALAK VISA</t>
        </is>
      </c>
      <c r="L298" s="29" t="inlineStr">
        <is>
          <t>-</t>
        </is>
      </c>
      <c r="N298" s="128" t="n"/>
      <c r="O298" s="128" t="n"/>
      <c r="P298" s="128" t="n"/>
      <c r="Q298" s="128" t="n"/>
      <c r="R298" s="128" t="n"/>
      <c r="S298" s="128" t="n"/>
      <c r="T298" s="128" t="n"/>
    </row>
    <row r="299" ht="15.75" customHeight="1">
      <c r="A299" s="431" t="n"/>
      <c r="B299" s="431" t="n"/>
      <c r="C299" s="431" t="n"/>
      <c r="D299" s="431" t="n"/>
      <c r="E299" s="135" t="n"/>
      <c r="F299" s="136" t="inlineStr">
        <is>
          <t>Soft Service</t>
        </is>
      </c>
      <c r="G299" s="68" t="inlineStr">
        <is>
          <t>-</t>
        </is>
      </c>
      <c r="H299" s="460" t="inlineStr">
        <is>
          <t>-</t>
        </is>
      </c>
      <c r="I299" s="425" t="inlineStr">
        <is>
          <t>Vacant</t>
        </is>
      </c>
      <c r="J299" s="499" t="n"/>
      <c r="K299" s="425" t="inlineStr">
        <is>
          <t>-</t>
        </is>
      </c>
      <c r="L299" s="29" t="inlineStr">
        <is>
          <t>-</t>
        </is>
      </c>
      <c r="N299" s="128" t="n"/>
      <c r="O299" s="128" t="n"/>
      <c r="P299" s="128" t="n"/>
      <c r="Q299" s="128" t="n"/>
      <c r="R299" s="128" t="n"/>
      <c r="S299" s="128" t="n"/>
      <c r="T299" s="128" t="n"/>
    </row>
    <row r="300" ht="15.75" customHeight="1">
      <c r="A300" s="440" t="inlineStr">
        <is>
          <t>Landscaping Supervisor</t>
        </is>
      </c>
      <c r="B300" s="440" t="n">
        <v>2</v>
      </c>
      <c r="C300" s="440">
        <f>COUNTIF(E300:E301,"&lt;&gt;")</f>
        <v/>
      </c>
      <c r="D300" s="441">
        <f>C300-B300</f>
        <v/>
      </c>
      <c r="E300" s="460" t="inlineStr">
        <is>
          <t xml:space="preserve">Sourav Chatterjee </t>
        </is>
      </c>
      <c r="F300" s="136" t="inlineStr">
        <is>
          <t>Soft Service</t>
        </is>
      </c>
      <c r="G300" s="68" t="inlineStr">
        <is>
          <t>EM-0003022</t>
        </is>
      </c>
      <c r="H300" s="460" t="n">
        <v>2617053299</v>
      </c>
      <c r="I300" s="425" t="inlineStr">
        <is>
          <t>Approved</t>
        </is>
      </c>
      <c r="J300" s="496" t="n">
        <v>45954</v>
      </c>
      <c r="K300" s="425" t="inlineStr">
        <is>
          <t>AL-FALAK VISA</t>
        </is>
      </c>
      <c r="L300" s="29" t="inlineStr">
        <is>
          <t>-</t>
        </is>
      </c>
      <c r="N300" s="128" t="n"/>
      <c r="O300" s="128" t="n"/>
      <c r="P300" s="128" t="n"/>
      <c r="Q300" s="128" t="n"/>
      <c r="R300" s="128" t="n"/>
      <c r="S300" s="128" t="n"/>
      <c r="T300" s="128" t="n"/>
    </row>
    <row r="301" ht="15.75" customHeight="1">
      <c r="A301" s="431" t="n"/>
      <c r="B301" s="431" t="n"/>
      <c r="C301" s="431" t="n"/>
      <c r="D301" s="431" t="n"/>
      <c r="E301" s="135" t="inlineStr">
        <is>
          <t>MD MAHABUBUR RAHMAN ROBI</t>
        </is>
      </c>
      <c r="F301" s="136" t="inlineStr">
        <is>
          <t>Soft Service</t>
        </is>
      </c>
      <c r="G301" s="68" t="n">
        <v>703456</v>
      </c>
      <c r="H301" s="460" t="inlineStr">
        <is>
          <t>2582129645</t>
        </is>
      </c>
      <c r="I301" s="425" t="inlineStr">
        <is>
          <t>Approved</t>
        </is>
      </c>
      <c r="J301" s="499" t="n">
        <v>45599</v>
      </c>
      <c r="K301" s="425" t="inlineStr">
        <is>
          <t>FMCO</t>
        </is>
      </c>
      <c r="L301" s="29" t="n"/>
      <c r="N301" s="128" t="n"/>
      <c r="O301" s="128" t="n"/>
      <c r="P301" s="128" t="n"/>
      <c r="Q301" s="128" t="n"/>
      <c r="R301" s="128" t="n"/>
      <c r="S301" s="128" t="n"/>
      <c r="T301" s="128" t="n"/>
    </row>
    <row r="302" ht="15.75" customHeight="1">
      <c r="A302" s="440" t="inlineStr">
        <is>
          <t>Irigation Technician</t>
        </is>
      </c>
      <c r="B302" s="440" t="n">
        <v>2</v>
      </c>
      <c r="C302" s="440">
        <f>COUNTIF(E302:E303,"&lt;&gt;")</f>
        <v/>
      </c>
      <c r="D302" s="441">
        <f>C302-B302</f>
        <v/>
      </c>
      <c r="E302" s="474" t="inlineStr">
        <is>
          <t>Md Kamrul Hasan Tota Mia</t>
        </is>
      </c>
      <c r="F302" s="199" t="inlineStr">
        <is>
          <t>HARD SERVICE</t>
        </is>
      </c>
      <c r="G302" s="200" t="inlineStr">
        <is>
          <t>-</t>
        </is>
      </c>
      <c r="H302" s="200" t="n">
        <v>2633409327</v>
      </c>
      <c r="I302" s="425" t="inlineStr">
        <is>
          <t>Approved</t>
        </is>
      </c>
      <c r="J302" s="516" t="n"/>
      <c r="K302" s="175" t="inlineStr">
        <is>
          <t xml:space="preserve">RAMZ </t>
        </is>
      </c>
      <c r="L302" s="29" t="inlineStr">
        <is>
          <t>-</t>
        </is>
      </c>
      <c r="N302" s="128" t="n"/>
      <c r="O302" s="128" t="n"/>
      <c r="P302" s="128" t="n"/>
      <c r="Q302" s="128" t="n"/>
      <c r="R302" s="128" t="n"/>
      <c r="S302" s="128" t="n"/>
      <c r="T302" s="128" t="n"/>
    </row>
    <row r="303" ht="15.75" customHeight="1">
      <c r="A303" s="431" t="n"/>
      <c r="B303" s="431" t="n"/>
      <c r="C303" s="431" t="n"/>
      <c r="D303" s="431" t="n"/>
      <c r="E303" s="460" t="inlineStr">
        <is>
          <t>Shopan Mia Lal Mia</t>
        </is>
      </c>
      <c r="F303" s="136" t="inlineStr">
        <is>
          <t>Soft Service</t>
        </is>
      </c>
      <c r="G303" s="68" t="inlineStr">
        <is>
          <t>-</t>
        </is>
      </c>
      <c r="H303" s="460" t="n">
        <v>2579825502</v>
      </c>
      <c r="I303" s="425" t="inlineStr">
        <is>
          <t>Approved</t>
        </is>
      </c>
      <c r="J303" s="499" t="n"/>
      <c r="K303" s="425" t="inlineStr">
        <is>
          <t xml:space="preserve">RAMZ </t>
        </is>
      </c>
      <c r="L303" s="29" t="inlineStr">
        <is>
          <t>-</t>
        </is>
      </c>
      <c r="N303" s="128" t="n"/>
      <c r="O303" s="128" t="n"/>
      <c r="P303" s="128" t="n"/>
      <c r="Q303" s="128" t="n"/>
      <c r="R303" s="128" t="n"/>
      <c r="S303" s="128" t="n"/>
      <c r="T303" s="128" t="n"/>
    </row>
    <row r="304" ht="15.75" customHeight="1">
      <c r="A304" s="440" t="inlineStr">
        <is>
          <t>Gardener</t>
        </is>
      </c>
      <c r="B304" s="440" t="n">
        <v>20</v>
      </c>
      <c r="C304" s="440">
        <f>COUNTIF(E304:E323,"&lt;&gt;")</f>
        <v/>
      </c>
      <c r="D304" s="441">
        <f>C304-B304</f>
        <v/>
      </c>
      <c r="E304" s="460" t="inlineStr">
        <is>
          <t>Md Shobuz Islam</t>
        </is>
      </c>
      <c r="F304" s="136" t="inlineStr">
        <is>
          <t>Soft Service</t>
        </is>
      </c>
      <c r="G304" s="68" t="inlineStr">
        <is>
          <t>-</t>
        </is>
      </c>
      <c r="H304" s="460" t="n">
        <v>2624660417</v>
      </c>
      <c r="I304" s="425" t="inlineStr">
        <is>
          <t>Approved</t>
        </is>
      </c>
      <c r="J304" s="496" t="n">
        <v>46025</v>
      </c>
      <c r="K304" s="425" t="inlineStr">
        <is>
          <t>SCC ( RENTAL )</t>
        </is>
      </c>
      <c r="L304" s="29" t="inlineStr">
        <is>
          <t>-</t>
        </is>
      </c>
      <c r="N304" s="128" t="n"/>
      <c r="O304" s="128" t="n"/>
      <c r="P304" s="128" t="n"/>
      <c r="Q304" s="128" t="n"/>
      <c r="R304" s="128" t="n"/>
      <c r="S304" s="128" t="n"/>
      <c r="T304" s="128" t="n"/>
    </row>
    <row r="305" ht="15.75" customHeight="1">
      <c r="A305" s="429" t="n"/>
      <c r="B305" s="429" t="n"/>
      <c r="C305" s="429" t="n"/>
      <c r="D305" s="429" t="n"/>
      <c r="E305" s="460" t="inlineStr">
        <is>
          <t>Md Udu Miah</t>
        </is>
      </c>
      <c r="F305" s="136" t="inlineStr">
        <is>
          <t>Soft Service</t>
        </is>
      </c>
      <c r="G305" s="68" t="inlineStr">
        <is>
          <t>-</t>
        </is>
      </c>
      <c r="H305" s="460" t="n">
        <v>2624658759</v>
      </c>
      <c r="I305" s="425" t="inlineStr">
        <is>
          <t>Approved</t>
        </is>
      </c>
      <c r="J305" s="496" t="n">
        <v>46025</v>
      </c>
      <c r="K305" s="425" t="inlineStr">
        <is>
          <t>SCC ( RENTAL )</t>
        </is>
      </c>
      <c r="L305" s="29" t="inlineStr">
        <is>
          <t>-</t>
        </is>
      </c>
      <c r="N305" s="128" t="n"/>
      <c r="O305" s="128" t="n"/>
      <c r="P305" s="128" t="n"/>
      <c r="Q305" s="128" t="n"/>
      <c r="R305" s="128" t="n"/>
      <c r="S305" s="128" t="n"/>
      <c r="T305" s="128" t="n"/>
    </row>
    <row r="306" ht="15.75" customHeight="1">
      <c r="A306" s="429" t="n"/>
      <c r="B306" s="429" t="n"/>
      <c r="C306" s="429" t="n"/>
      <c r="D306" s="429" t="n"/>
      <c r="E306" s="474" t="inlineStr">
        <is>
          <t>Md Sanzur</t>
        </is>
      </c>
      <c r="F306" s="199" t="inlineStr">
        <is>
          <t>SOFT SERVICE</t>
        </is>
      </c>
      <c r="G306" s="200" t="inlineStr">
        <is>
          <t>-</t>
        </is>
      </c>
      <c r="H306" s="201" t="n">
        <v>2630686844</v>
      </c>
      <c r="I306" s="425" t="inlineStr">
        <is>
          <t>Approved</t>
        </is>
      </c>
      <c r="J306" s="521" t="n">
        <v>46217</v>
      </c>
      <c r="K306" s="175" t="inlineStr">
        <is>
          <t>MEHAN RENTAL</t>
        </is>
      </c>
      <c r="L306" s="29" t="inlineStr">
        <is>
          <t>-</t>
        </is>
      </c>
      <c r="N306" s="128" t="n"/>
      <c r="O306" s="128" t="n"/>
      <c r="P306" s="128" t="n"/>
      <c r="Q306" s="128" t="n"/>
      <c r="R306" s="128" t="n"/>
      <c r="S306" s="128" t="n"/>
      <c r="T306" s="128" t="n"/>
    </row>
    <row r="307" ht="15.75" customHeight="1">
      <c r="A307" s="429" t="n"/>
      <c r="B307" s="429" t="n"/>
      <c r="C307" s="429" t="n"/>
      <c r="D307" s="429" t="n"/>
      <c r="E307" s="460" t="inlineStr">
        <is>
          <t>Md Al Amin</t>
        </is>
      </c>
      <c r="F307" s="136" t="inlineStr">
        <is>
          <t>Soft Service</t>
        </is>
      </c>
      <c r="G307" s="68" t="n">
        <v>1253</v>
      </c>
      <c r="H307" s="460" t="n">
        <v>2590703415</v>
      </c>
      <c r="I307" s="425" t="inlineStr">
        <is>
          <t>Approved</t>
        </is>
      </c>
      <c r="J307" s="496" t="n">
        <v>45643</v>
      </c>
      <c r="K307" s="425" t="inlineStr">
        <is>
          <t>UCC( RENTAL)</t>
        </is>
      </c>
      <c r="L307" s="29" t="inlineStr">
        <is>
          <t>-</t>
        </is>
      </c>
      <c r="N307" s="128" t="n"/>
      <c r="O307" s="128" t="n"/>
      <c r="P307" s="128" t="n"/>
      <c r="Q307" s="128" t="n"/>
      <c r="R307" s="128" t="n"/>
      <c r="S307" s="128" t="n"/>
      <c r="T307" s="128" t="n"/>
    </row>
    <row r="308" ht="15.75" customHeight="1">
      <c r="A308" s="429" t="n"/>
      <c r="B308" s="429" t="n"/>
      <c r="C308" s="429" t="n"/>
      <c r="D308" s="429" t="n"/>
      <c r="E308" s="460" t="inlineStr">
        <is>
          <t>Md Hasan Mia</t>
        </is>
      </c>
      <c r="F308" s="136" t="inlineStr">
        <is>
          <t>Soft Service</t>
        </is>
      </c>
      <c r="G308" s="68" t="n">
        <v>1256</v>
      </c>
      <c r="H308" s="460" t="n">
        <v>2590604969</v>
      </c>
      <c r="I308" s="425" t="inlineStr">
        <is>
          <t>Approved</t>
        </is>
      </c>
      <c r="J308" s="496" t="n">
        <v>45643</v>
      </c>
      <c r="K308" s="425" t="inlineStr">
        <is>
          <t>UCC( RENTAL)</t>
        </is>
      </c>
      <c r="L308" s="29" t="inlineStr">
        <is>
          <t>-</t>
        </is>
      </c>
      <c r="N308" s="128" t="n"/>
      <c r="O308" s="128" t="n"/>
      <c r="P308" s="128" t="n"/>
      <c r="Q308" s="128" t="n"/>
      <c r="R308" s="128" t="n"/>
      <c r="S308" s="128" t="n"/>
      <c r="T308" s="128" t="n"/>
    </row>
    <row r="309" ht="15.75" customHeight="1">
      <c r="A309" s="429" t="n"/>
      <c r="B309" s="429" t="n"/>
      <c r="C309" s="429" t="n"/>
      <c r="D309" s="429" t="n"/>
      <c r="E309" s="460" t="inlineStr">
        <is>
          <t>Md Maksud Ali</t>
        </is>
      </c>
      <c r="F309" s="136" t="inlineStr">
        <is>
          <t>Soft Service</t>
        </is>
      </c>
      <c r="G309" s="68" t="n">
        <v>1277</v>
      </c>
      <c r="H309" s="460" t="n">
        <v>2598518872</v>
      </c>
      <c r="I309" s="425" t="inlineStr">
        <is>
          <t>Approved</t>
        </is>
      </c>
      <c r="J309" s="496" t="n">
        <v>45769</v>
      </c>
      <c r="K309" s="425" t="inlineStr">
        <is>
          <t>UCC( RENTAL)</t>
        </is>
      </c>
      <c r="L309" s="29" t="inlineStr">
        <is>
          <t>-</t>
        </is>
      </c>
      <c r="N309" s="128" t="n"/>
      <c r="O309" s="128" t="n"/>
      <c r="P309" s="128" t="n"/>
      <c r="Q309" s="128" t="n"/>
      <c r="R309" s="128" t="n"/>
      <c r="S309" s="128" t="n"/>
      <c r="T309" s="128" t="n"/>
    </row>
    <row r="310" ht="15.75" customHeight="1">
      <c r="A310" s="429" t="n"/>
      <c r="B310" s="429" t="n"/>
      <c r="C310" s="429" t="n"/>
      <c r="D310" s="429" t="n"/>
      <c r="E310" s="460" t="inlineStr">
        <is>
          <t>Md Joyl Hossen</t>
        </is>
      </c>
      <c r="F310" s="136" t="inlineStr">
        <is>
          <t>Soft Service</t>
        </is>
      </c>
      <c r="G310" s="68" t="n">
        <v>1281</v>
      </c>
      <c r="H310" s="460" t="n">
        <v>2598119929</v>
      </c>
      <c r="I310" s="425" t="inlineStr">
        <is>
          <t>Approved</t>
        </is>
      </c>
      <c r="J310" s="496" t="n">
        <v>45769</v>
      </c>
      <c r="K310" s="425" t="inlineStr">
        <is>
          <t>UCC( RENTAL)</t>
        </is>
      </c>
      <c r="L310" s="29" t="inlineStr">
        <is>
          <t>-</t>
        </is>
      </c>
      <c r="N310" s="128" t="n"/>
      <c r="O310" s="128" t="n"/>
      <c r="P310" s="128" t="n"/>
      <c r="Q310" s="128" t="n"/>
      <c r="R310" s="128" t="n"/>
      <c r="S310" s="128" t="n"/>
      <c r="T310" s="128" t="n"/>
    </row>
    <row r="311" ht="15.75" customHeight="1">
      <c r="A311" s="429" t="n"/>
      <c r="B311" s="429" t="n"/>
      <c r="C311" s="429" t="n"/>
      <c r="D311" s="429" t="n"/>
      <c r="E311" s="460" t="inlineStr">
        <is>
          <t>Md Ab Jalil</t>
        </is>
      </c>
      <c r="F311" s="136" t="inlineStr">
        <is>
          <t>Soft Service</t>
        </is>
      </c>
      <c r="G311" s="68" t="n">
        <v>1285</v>
      </c>
      <c r="H311" s="460" t="n">
        <v>2600287524</v>
      </c>
      <c r="I311" s="425" t="inlineStr">
        <is>
          <t>Approved</t>
        </is>
      </c>
      <c r="J311" s="496" t="n">
        <v>45769</v>
      </c>
      <c r="K311" s="425" t="inlineStr">
        <is>
          <t>UCC( RENTAL)</t>
        </is>
      </c>
      <c r="L311" s="29" t="inlineStr">
        <is>
          <t>-</t>
        </is>
      </c>
      <c r="N311" s="128" t="n"/>
      <c r="O311" s="128" t="n"/>
      <c r="P311" s="128" t="n"/>
      <c r="Q311" s="128" t="n"/>
      <c r="R311" s="128" t="n"/>
      <c r="S311" s="128" t="n"/>
      <c r="T311" s="128" t="n"/>
    </row>
    <row r="312" ht="15.75" customHeight="1">
      <c r="A312" s="429" t="n"/>
      <c r="B312" s="429" t="n"/>
      <c r="C312" s="429" t="n"/>
      <c r="D312" s="429" t="n"/>
      <c r="E312" s="460" t="inlineStr">
        <is>
          <t>Masidul Sardar</t>
        </is>
      </c>
      <c r="F312" s="136" t="inlineStr">
        <is>
          <t>Soft Service</t>
        </is>
      </c>
      <c r="G312" s="68" t="n">
        <v>1286</v>
      </c>
      <c r="H312" s="460" t="n">
        <v>2600287532</v>
      </c>
      <c r="I312" s="425" t="inlineStr">
        <is>
          <t>Approved</t>
        </is>
      </c>
      <c r="J312" s="496" t="n">
        <v>45769</v>
      </c>
      <c r="K312" s="425" t="inlineStr">
        <is>
          <t>UCC( RENTAL)</t>
        </is>
      </c>
      <c r="L312" s="29" t="inlineStr">
        <is>
          <t>-</t>
        </is>
      </c>
      <c r="N312" s="128" t="n"/>
      <c r="O312" s="128" t="n"/>
      <c r="P312" s="128" t="n"/>
      <c r="Q312" s="128" t="n"/>
      <c r="R312" s="128" t="n"/>
      <c r="S312" s="128" t="n"/>
      <c r="T312" s="128" t="n"/>
    </row>
    <row r="313" ht="15.75" customHeight="1">
      <c r="A313" s="429" t="n"/>
      <c r="B313" s="429" t="n"/>
      <c r="C313" s="429" t="n"/>
      <c r="D313" s="429" t="n"/>
      <c r="E313" s="460" t="inlineStr">
        <is>
          <t>Dharmendar Kharbind</t>
        </is>
      </c>
      <c r="F313" s="136" t="inlineStr">
        <is>
          <t>Soft Service</t>
        </is>
      </c>
      <c r="G313" s="68" t="inlineStr">
        <is>
          <t>R07871</t>
        </is>
      </c>
      <c r="H313" s="460" t="n">
        <v>2596718409</v>
      </c>
      <c r="I313" s="425" t="inlineStr">
        <is>
          <t>Approved</t>
        </is>
      </c>
      <c r="J313" s="496" t="n">
        <v>45902</v>
      </c>
      <c r="K313" s="425" t="inlineStr">
        <is>
          <t>MEHAN (RENTAL)</t>
        </is>
      </c>
      <c r="L313" s="29" t="inlineStr">
        <is>
          <t>-</t>
        </is>
      </c>
      <c r="N313" s="128" t="n"/>
      <c r="O313" s="128" t="n"/>
      <c r="P313" s="128" t="n"/>
      <c r="Q313" s="128" t="n"/>
      <c r="R313" s="128" t="n"/>
      <c r="S313" s="128" t="n"/>
      <c r="T313" s="128" t="n"/>
    </row>
    <row r="314" ht="15.75" customHeight="1">
      <c r="A314" s="429" t="n"/>
      <c r="B314" s="429" t="n"/>
      <c r="C314" s="429" t="n"/>
      <c r="D314" s="429" t="n"/>
      <c r="E314" s="460" t="inlineStr">
        <is>
          <t>Ebrahim Mia</t>
        </is>
      </c>
      <c r="F314" s="136" t="inlineStr">
        <is>
          <t>Soft Service</t>
        </is>
      </c>
      <c r="G314" s="68" t="n">
        <v>1199</v>
      </c>
      <c r="H314" s="460" t="n">
        <v>2579352861</v>
      </c>
      <c r="I314" s="425" t="inlineStr">
        <is>
          <t>Approved</t>
        </is>
      </c>
      <c r="J314" s="496" t="n">
        <v>45902</v>
      </c>
      <c r="K314" s="425" t="inlineStr">
        <is>
          <t>UCC( RENTAL)</t>
        </is>
      </c>
      <c r="L314" s="29" t="inlineStr">
        <is>
          <t>-</t>
        </is>
      </c>
      <c r="N314" s="128" t="n"/>
      <c r="O314" s="128" t="n"/>
      <c r="P314" s="128" t="n"/>
      <c r="Q314" s="128" t="n"/>
      <c r="R314" s="128" t="n"/>
      <c r="S314" s="128" t="n"/>
      <c r="T314" s="128" t="n"/>
    </row>
    <row r="315" ht="15.75" customHeight="1">
      <c r="A315" s="429" t="n"/>
      <c r="B315" s="429" t="n"/>
      <c r="C315" s="429" t="n"/>
      <c r="D315" s="429" t="n"/>
      <c r="E315" s="460" t="inlineStr">
        <is>
          <t>Md Rifat Hossain</t>
        </is>
      </c>
      <c r="F315" s="136" t="inlineStr">
        <is>
          <t>Soft Service</t>
        </is>
      </c>
      <c r="G315" s="68" t="inlineStr">
        <is>
          <t>-</t>
        </is>
      </c>
      <c r="H315" s="460" t="n">
        <v>2624758252</v>
      </c>
      <c r="I315" s="425" t="inlineStr">
        <is>
          <t>Approved</t>
        </is>
      </c>
      <c r="J315" s="496" t="n">
        <v>46027</v>
      </c>
      <c r="K315" s="425" t="inlineStr">
        <is>
          <t>SCC ( RENTAL )</t>
        </is>
      </c>
      <c r="L315" s="29" t="inlineStr">
        <is>
          <t>-</t>
        </is>
      </c>
      <c r="N315" s="128" t="n"/>
      <c r="O315" s="128" t="n"/>
      <c r="P315" s="128" t="n"/>
      <c r="Q315" s="128" t="n"/>
      <c r="R315" s="128" t="n"/>
      <c r="S315" s="128" t="n"/>
      <c r="T315" s="128" t="n"/>
    </row>
    <row r="316" ht="15.75" customHeight="1">
      <c r="A316" s="429" t="n"/>
      <c r="B316" s="429" t="n"/>
      <c r="C316" s="429" t="n"/>
      <c r="D316" s="429" t="n"/>
      <c r="E316" s="460" t="inlineStr">
        <is>
          <t>Shiv Kumar  Gaderi</t>
        </is>
      </c>
      <c r="F316" s="136" t="inlineStr">
        <is>
          <t>Soft Service</t>
        </is>
      </c>
      <c r="G316" s="460" t="inlineStr">
        <is>
          <t>R00319</t>
        </is>
      </c>
      <c r="H316" s="460" t="n">
        <v>2462855293</v>
      </c>
      <c r="I316" s="425" t="inlineStr">
        <is>
          <t>Approved</t>
        </is>
      </c>
      <c r="J316" s="499" t="n"/>
      <c r="K316" s="425" t="inlineStr">
        <is>
          <t>MEHAN RENTAL</t>
        </is>
      </c>
      <c r="L316" s="29" t="inlineStr">
        <is>
          <t>-</t>
        </is>
      </c>
      <c r="N316" s="128" t="n"/>
      <c r="O316" s="128" t="n"/>
      <c r="P316" s="128" t="n"/>
      <c r="Q316" s="128" t="n"/>
      <c r="R316" s="128" t="n"/>
      <c r="S316" s="128" t="n"/>
      <c r="T316" s="128" t="n"/>
    </row>
    <row r="317" ht="15.75" customHeight="1">
      <c r="A317" s="429" t="n"/>
      <c r="B317" s="429" t="n"/>
      <c r="C317" s="429" t="n"/>
      <c r="D317" s="429" t="n"/>
      <c r="E317" s="460" t="inlineStr">
        <is>
          <t>Mohd - - Shameem</t>
        </is>
      </c>
      <c r="F317" s="136" t="inlineStr">
        <is>
          <t>Soft Service</t>
        </is>
      </c>
      <c r="G317" s="460" t="inlineStr">
        <is>
          <t>L00537</t>
        </is>
      </c>
      <c r="H317" s="460" t="n">
        <v>2629303617</v>
      </c>
      <c r="I317" s="425" t="inlineStr">
        <is>
          <t>Approved</t>
        </is>
      </c>
      <c r="J317" s="499" t="n"/>
      <c r="K317" s="425" t="inlineStr">
        <is>
          <t>MEHAN RENTAL</t>
        </is>
      </c>
      <c r="L317" s="29" t="inlineStr">
        <is>
          <t>-</t>
        </is>
      </c>
      <c r="N317" s="128" t="n"/>
      <c r="O317" s="128" t="n"/>
      <c r="P317" s="128" t="n"/>
      <c r="Q317" s="128" t="n"/>
      <c r="R317" s="128" t="n"/>
      <c r="S317" s="128" t="n"/>
      <c r="T317" s="128" t="n"/>
    </row>
    <row r="318" ht="15.75" customHeight="1">
      <c r="A318" s="429" t="n"/>
      <c r="B318" s="429" t="n"/>
      <c r="C318" s="429" t="n"/>
      <c r="D318" s="429" t="n"/>
      <c r="E318" s="460" t="inlineStr">
        <is>
          <t>Abdus Sukur</t>
        </is>
      </c>
      <c r="F318" s="136" t="inlineStr">
        <is>
          <t>Soft Service</t>
        </is>
      </c>
      <c r="G318" s="68" t="n">
        <v>1111</v>
      </c>
      <c r="H318" s="460" t="n">
        <v>2571689872</v>
      </c>
      <c r="I318" s="425" t="inlineStr">
        <is>
          <t>Approved</t>
        </is>
      </c>
      <c r="J318" s="496" t="n">
        <v>46114</v>
      </c>
      <c r="K318" s="425" t="inlineStr">
        <is>
          <t>UCC( RENTAL)</t>
        </is>
      </c>
      <c r="L318" s="29" t="inlineStr">
        <is>
          <t>-</t>
        </is>
      </c>
      <c r="N318" s="128" t="n"/>
      <c r="O318" s="128" t="n"/>
      <c r="P318" s="128" t="n"/>
      <c r="Q318" s="128" t="n"/>
      <c r="R318" s="128" t="n"/>
      <c r="S318" s="128" t="n"/>
      <c r="T318" s="128" t="n"/>
    </row>
    <row r="319" ht="15.75" customHeight="1">
      <c r="A319" s="429" t="n"/>
      <c r="B319" s="429" t="n"/>
      <c r="C319" s="429" t="n"/>
      <c r="D319" s="429" t="n"/>
      <c r="E319" s="460" t="inlineStr">
        <is>
          <t>Nazmul Mia</t>
        </is>
      </c>
      <c r="F319" s="136" t="inlineStr">
        <is>
          <t>Soft Service</t>
        </is>
      </c>
      <c r="G319" s="68" t="n">
        <v>1128</v>
      </c>
      <c r="H319" s="460" t="n">
        <v>2576665042</v>
      </c>
      <c r="I319" s="425" t="inlineStr">
        <is>
          <t>Approved</t>
        </is>
      </c>
      <c r="J319" s="496" t="n">
        <v>46114</v>
      </c>
      <c r="K319" s="425" t="inlineStr">
        <is>
          <t>UCC( RENTAL)</t>
        </is>
      </c>
      <c r="L319" s="29" t="inlineStr">
        <is>
          <t>-</t>
        </is>
      </c>
      <c r="N319" s="128" t="n"/>
      <c r="O319" s="128" t="n"/>
      <c r="P319" s="128" t="n"/>
      <c r="Q319" s="128" t="n"/>
      <c r="R319" s="128" t="n"/>
      <c r="S319" s="128" t="n"/>
      <c r="T319" s="128" t="n"/>
    </row>
    <row r="320" ht="15.75" customHeight="1">
      <c r="A320" s="429" t="n"/>
      <c r="B320" s="429" t="n"/>
      <c r="C320" s="429" t="n"/>
      <c r="D320" s="429" t="n"/>
      <c r="E320" s="460" t="inlineStr">
        <is>
          <t>Kabir Sardar</t>
        </is>
      </c>
      <c r="F320" s="136" t="inlineStr">
        <is>
          <t>Soft Service</t>
        </is>
      </c>
      <c r="G320" s="68" t="n">
        <v>1155</v>
      </c>
      <c r="H320" s="460" t="n">
        <v>2579679578</v>
      </c>
      <c r="I320" s="425" t="inlineStr">
        <is>
          <t>Approved</t>
        </is>
      </c>
      <c r="J320" s="496" t="n">
        <v>46114</v>
      </c>
      <c r="K320" s="425" t="inlineStr">
        <is>
          <t>UCC( RENTAL)</t>
        </is>
      </c>
      <c r="L320" s="29" t="inlineStr">
        <is>
          <t>-</t>
        </is>
      </c>
      <c r="N320" s="128" t="n"/>
      <c r="O320" s="128" t="n"/>
      <c r="P320" s="128" t="n"/>
      <c r="Q320" s="128" t="n"/>
      <c r="R320" s="128" t="n"/>
      <c r="S320" s="128" t="n"/>
      <c r="T320" s="128" t="n"/>
    </row>
    <row r="321" ht="15.75" customHeight="1">
      <c r="A321" s="429" t="n"/>
      <c r="B321" s="429" t="n"/>
      <c r="C321" s="429" t="n"/>
      <c r="D321" s="429" t="n"/>
      <c r="E321" s="460" t="inlineStr">
        <is>
          <t>Md Yaekub Ali</t>
        </is>
      </c>
      <c r="F321" s="136" t="inlineStr">
        <is>
          <t>Soft Service</t>
        </is>
      </c>
      <c r="G321" s="68" t="n">
        <v>1324</v>
      </c>
      <c r="H321" s="460" t="n">
        <v>2597531793</v>
      </c>
      <c r="I321" s="425" t="inlineStr">
        <is>
          <t>Approved</t>
        </is>
      </c>
      <c r="J321" s="496" t="n">
        <v>46114</v>
      </c>
      <c r="K321" s="425" t="inlineStr">
        <is>
          <t>UCC( RENTAL)</t>
        </is>
      </c>
      <c r="L321" s="29" t="inlineStr">
        <is>
          <t>-</t>
        </is>
      </c>
      <c r="N321" s="128" t="n"/>
      <c r="O321" s="128" t="n"/>
      <c r="P321" s="128" t="n"/>
      <c r="Q321" s="128" t="n"/>
      <c r="R321" s="128" t="n"/>
      <c r="S321" s="128" t="n"/>
      <c r="T321" s="128" t="n"/>
    </row>
    <row r="322" ht="15.75" customHeight="1">
      <c r="A322" s="429" t="n"/>
      <c r="B322" s="429" t="n"/>
      <c r="C322" s="429" t="n"/>
      <c r="D322" s="429" t="n"/>
      <c r="E322" s="460" t="inlineStr">
        <is>
          <t>Md Arman</t>
        </is>
      </c>
      <c r="F322" s="136" t="inlineStr">
        <is>
          <t>Soft Service</t>
        </is>
      </c>
      <c r="G322" s="68" t="n">
        <v>1118</v>
      </c>
      <c r="H322" s="460" t="n">
        <v>2554164257</v>
      </c>
      <c r="I322" s="425" t="inlineStr">
        <is>
          <t>Approved</t>
        </is>
      </c>
      <c r="J322" s="496" t="n">
        <v>46114</v>
      </c>
      <c r="K322" s="425" t="inlineStr">
        <is>
          <t>UCC( RENTAL)</t>
        </is>
      </c>
      <c r="L322" s="29" t="inlineStr">
        <is>
          <t>-</t>
        </is>
      </c>
      <c r="N322" s="128" t="n"/>
      <c r="O322" s="128" t="n"/>
      <c r="P322" s="128" t="n"/>
      <c r="Q322" s="128" t="n"/>
      <c r="R322" s="128" t="n"/>
      <c r="S322" s="128" t="n"/>
      <c r="T322" s="128" t="n"/>
    </row>
    <row r="323" ht="28.5" customHeight="1">
      <c r="A323" s="431" t="n"/>
      <c r="B323" s="431" t="n"/>
      <c r="C323" s="431" t="n"/>
      <c r="D323" s="431" t="n"/>
      <c r="E323" s="460" t="inlineStr">
        <is>
          <t>Abdul Kalam</t>
        </is>
      </c>
      <c r="F323" s="136" t="inlineStr">
        <is>
          <t>Soft Service</t>
        </is>
      </c>
      <c r="G323" s="68" t="n">
        <v>1158</v>
      </c>
      <c r="H323" s="460" t="n">
        <v>2580020481</v>
      </c>
      <c r="I323" s="425" t="inlineStr">
        <is>
          <t>Approved</t>
        </is>
      </c>
      <c r="J323" s="496" t="n">
        <v>46114</v>
      </c>
      <c r="K323" s="425" t="inlineStr">
        <is>
          <t>UCC( RENTAL)</t>
        </is>
      </c>
      <c r="L323" s="29" t="inlineStr">
        <is>
          <t>-</t>
        </is>
      </c>
      <c r="N323" s="128" t="n"/>
      <c r="O323" s="128" t="n"/>
      <c r="P323" s="128" t="n"/>
      <c r="Q323" s="128" t="n"/>
      <c r="R323" s="128" t="n"/>
      <c r="S323" s="128" t="n"/>
      <c r="T323" s="128" t="n"/>
    </row>
    <row r="324" ht="15.75" customHeight="1">
      <c r="A324" s="440" t="inlineStr">
        <is>
          <t>Pest Control Supervisor</t>
        </is>
      </c>
      <c r="B324" s="440" t="n">
        <v>2</v>
      </c>
      <c r="C324" s="440">
        <f>COUNTIF(E324:E325,"&lt;&gt;")</f>
        <v/>
      </c>
      <c r="D324" s="441">
        <f>C324-B324</f>
        <v/>
      </c>
      <c r="E324" s="460" t="inlineStr">
        <is>
          <t>MOHAMMAD IMTIYAZ HUSHAIN ANSARI</t>
        </is>
      </c>
      <c r="F324" s="136" t="inlineStr">
        <is>
          <t>Soft Service</t>
        </is>
      </c>
      <c r="G324" s="68" t="inlineStr">
        <is>
          <t>-</t>
        </is>
      </c>
      <c r="H324" s="159" t="n">
        <v>2641304825</v>
      </c>
      <c r="I324" s="425" t="inlineStr">
        <is>
          <t>Approved</t>
        </is>
      </c>
      <c r="J324" s="519" t="n">
        <v>46234</v>
      </c>
      <c r="K324" s="425" t="inlineStr">
        <is>
          <t>-</t>
        </is>
      </c>
      <c r="L324" s="29" t="inlineStr">
        <is>
          <t>-</t>
        </is>
      </c>
      <c r="N324" s="128" t="n"/>
      <c r="O324" s="128" t="n"/>
      <c r="P324" s="128" t="n"/>
      <c r="Q324" s="128" t="n"/>
      <c r="R324" s="128" t="n"/>
      <c r="S324" s="128" t="n"/>
      <c r="T324" s="128" t="n"/>
    </row>
    <row r="325" ht="15.75" customHeight="1">
      <c r="A325" s="431" t="n"/>
      <c r="B325" s="431" t="n"/>
      <c r="C325" s="431" t="n"/>
      <c r="D325" s="431" t="n"/>
      <c r="E325" s="135" t="inlineStr">
        <is>
          <t>GULAB SHAH</t>
        </is>
      </c>
      <c r="F325" s="136" t="inlineStr">
        <is>
          <t>Soft Service</t>
        </is>
      </c>
      <c r="G325" s="68" t="inlineStr">
        <is>
          <t>C00746</t>
        </is>
      </c>
      <c r="H325" s="460" t="inlineStr">
        <is>
          <t>2582901209</t>
        </is>
      </c>
      <c r="I325" s="425" t="inlineStr">
        <is>
          <t>Approved</t>
        </is>
      </c>
      <c r="J325" s="398" t="n">
        <v>45586</v>
      </c>
      <c r="K325" s="425" t="inlineStr">
        <is>
          <t>MEHAN VISA</t>
        </is>
      </c>
      <c r="L325" s="29" t="n"/>
      <c r="N325" s="128" t="n"/>
      <c r="O325" s="128" t="n"/>
      <c r="P325" s="128" t="n"/>
      <c r="Q325" s="128" t="n"/>
      <c r="R325" s="128" t="n"/>
      <c r="S325" s="128" t="n"/>
      <c r="T325" s="128" t="n"/>
    </row>
    <row r="326" ht="15.75" customHeight="1">
      <c r="A326" s="440" t="inlineStr">
        <is>
          <t>Pest Control Technician</t>
        </is>
      </c>
      <c r="B326" s="440" t="n">
        <v>6</v>
      </c>
      <c r="C326" s="440">
        <f>COUNTIF(E326:E331,"&lt;&gt;")</f>
        <v/>
      </c>
      <c r="D326" s="441">
        <f>C326-B326</f>
        <v/>
      </c>
      <c r="E326" s="460" t="inlineStr">
        <is>
          <t>Mohammad Dilnawaz Ansari</t>
        </is>
      </c>
      <c r="F326" s="136" t="inlineStr">
        <is>
          <t>Soft Service</t>
        </is>
      </c>
      <c r="G326" s="68" t="inlineStr">
        <is>
          <t>C00761</t>
        </is>
      </c>
      <c r="H326" s="460" t="n">
        <v>2583231374</v>
      </c>
      <c r="I326" s="425" t="inlineStr">
        <is>
          <t>Approved</t>
        </is>
      </c>
      <c r="J326" s="496" t="n">
        <v>45586</v>
      </c>
      <c r="K326" s="425" t="inlineStr">
        <is>
          <t>MEHAN VISA</t>
        </is>
      </c>
      <c r="L326" s="29" t="inlineStr">
        <is>
          <t>-</t>
        </is>
      </c>
      <c r="N326" s="128" t="n"/>
      <c r="O326" s="128" t="n"/>
      <c r="P326" s="128" t="n"/>
      <c r="Q326" s="128" t="n"/>
      <c r="R326" s="128" t="n"/>
      <c r="S326" s="128" t="n"/>
      <c r="T326" s="128" t="n"/>
    </row>
    <row r="327" ht="15.75" customHeight="1">
      <c r="A327" s="429" t="n"/>
      <c r="B327" s="429" t="n"/>
      <c r="C327" s="429" t="n"/>
      <c r="D327" s="429" t="n"/>
      <c r="E327" s="460" t="inlineStr">
        <is>
          <t>Md Rabbi Ahmed</t>
        </is>
      </c>
      <c r="F327" s="136" t="inlineStr">
        <is>
          <t>Soft Service</t>
        </is>
      </c>
      <c r="G327" s="68" t="inlineStr">
        <is>
          <t>S579</t>
        </is>
      </c>
      <c r="H327" s="460" t="n">
        <v>2629944311</v>
      </c>
      <c r="I327" s="425" t="inlineStr">
        <is>
          <t>Approved</t>
        </is>
      </c>
      <c r="J327" s="496" t="n">
        <v>46070</v>
      </c>
      <c r="K327" s="425" t="inlineStr">
        <is>
          <t>SCC ( RENTAL )</t>
        </is>
      </c>
      <c r="L327" s="29" t="inlineStr">
        <is>
          <t>-</t>
        </is>
      </c>
      <c r="N327" s="128" t="n"/>
      <c r="O327" s="128" t="n"/>
      <c r="P327" s="128" t="n"/>
      <c r="Q327" s="128" t="n"/>
      <c r="R327" s="128" t="n"/>
      <c r="S327" s="128" t="n"/>
      <c r="T327" s="128" t="n"/>
    </row>
    <row r="328" ht="15.75" customHeight="1">
      <c r="A328" s="429" t="n"/>
      <c r="B328" s="429" t="n"/>
      <c r="C328" s="429" t="n"/>
      <c r="D328" s="429" t="n"/>
      <c r="E328" s="437" t="inlineStr">
        <is>
          <t xml:space="preserve">SHANTA MIA </t>
        </is>
      </c>
      <c r="F328" s="199" t="inlineStr">
        <is>
          <t>SOFT SERVICE</t>
        </is>
      </c>
      <c r="G328" s="200" t="inlineStr">
        <is>
          <t>-</t>
        </is>
      </c>
      <c r="H328" s="437" t="n">
        <v>2625444456</v>
      </c>
      <c r="I328" s="425" t="inlineStr">
        <is>
          <t>Approved</t>
        </is>
      </c>
      <c r="J328" s="209" t="n">
        <v>46611</v>
      </c>
      <c r="K328" s="175" t="inlineStr">
        <is>
          <t>-</t>
        </is>
      </c>
      <c r="L328" s="29" t="inlineStr">
        <is>
          <t>-</t>
        </is>
      </c>
      <c r="N328" s="128" t="n"/>
      <c r="O328" s="128" t="n"/>
      <c r="P328" s="128" t="n"/>
      <c r="Q328" s="128" t="n"/>
      <c r="R328" s="128" t="n"/>
      <c r="S328" s="128" t="n"/>
      <c r="T328" s="128" t="n"/>
    </row>
    <row r="329" ht="15.75" customHeight="1">
      <c r="A329" s="429" t="n"/>
      <c r="B329" s="429" t="n"/>
      <c r="C329" s="429" t="n"/>
      <c r="D329" s="429" t="n"/>
      <c r="E329" s="437" t="inlineStr">
        <is>
          <t xml:space="preserve">SAIFUL ISLAM </t>
        </is>
      </c>
      <c r="F329" s="199" t="inlineStr">
        <is>
          <t>SOFT SERVICE</t>
        </is>
      </c>
      <c r="G329" s="200" t="inlineStr">
        <is>
          <t>-</t>
        </is>
      </c>
      <c r="H329" s="437" t="n">
        <v>2501225433</v>
      </c>
      <c r="I329" s="425" t="inlineStr">
        <is>
          <t>Approved</t>
        </is>
      </c>
      <c r="J329" s="209" t="n">
        <v>46611</v>
      </c>
      <c r="K329" s="175" t="inlineStr">
        <is>
          <t>-</t>
        </is>
      </c>
      <c r="L329" s="29" t="inlineStr">
        <is>
          <t>-</t>
        </is>
      </c>
      <c r="N329" s="128" t="n"/>
      <c r="O329" s="128" t="n"/>
      <c r="P329" s="128" t="n"/>
      <c r="Q329" s="128" t="n"/>
      <c r="R329" s="128" t="n"/>
      <c r="S329" s="128" t="n"/>
      <c r="T329" s="128" t="n"/>
    </row>
    <row r="330" ht="15.75" customHeight="1">
      <c r="A330" s="429" t="n"/>
      <c r="B330" s="429" t="n"/>
      <c r="C330" s="429" t="n"/>
      <c r="D330" s="429" t="n"/>
      <c r="E330" s="437" t="inlineStr">
        <is>
          <t xml:space="preserve">MD TAIZUL ISLAM </t>
        </is>
      </c>
      <c r="F330" s="199" t="inlineStr">
        <is>
          <t>SOFT SERVICE</t>
        </is>
      </c>
      <c r="G330" s="200" t="inlineStr">
        <is>
          <t>-</t>
        </is>
      </c>
      <c r="H330" s="437" t="n">
        <v>2639209119</v>
      </c>
      <c r="I330" s="425" t="inlineStr">
        <is>
          <t>Approved</t>
        </is>
      </c>
      <c r="J330" s="209" t="n">
        <v>46611</v>
      </c>
      <c r="K330" s="175" t="inlineStr">
        <is>
          <t>-</t>
        </is>
      </c>
      <c r="L330" s="29" t="inlineStr">
        <is>
          <t>-</t>
        </is>
      </c>
      <c r="N330" s="128" t="n"/>
      <c r="O330" s="128" t="n"/>
      <c r="P330" s="128" t="n"/>
      <c r="Q330" s="128" t="n"/>
      <c r="R330" s="128" t="n"/>
      <c r="S330" s="128" t="n"/>
      <c r="T330" s="128" t="n"/>
    </row>
    <row r="331" ht="15.75" customHeight="1">
      <c r="A331" s="431" t="n"/>
      <c r="B331" s="431" t="n"/>
      <c r="C331" s="431" t="n"/>
      <c r="D331" s="431" t="n"/>
      <c r="E331" s="437" t="inlineStr">
        <is>
          <t xml:space="preserve">MD ROKIB HOSSEN </t>
        </is>
      </c>
      <c r="F331" s="199" t="inlineStr">
        <is>
          <t>SOFT SERVICE</t>
        </is>
      </c>
      <c r="G331" s="200" t="inlineStr">
        <is>
          <t>-</t>
        </is>
      </c>
      <c r="H331" s="437" t="n">
        <v>2631415193</v>
      </c>
      <c r="I331" s="425" t="inlineStr">
        <is>
          <t>Approved</t>
        </is>
      </c>
      <c r="J331" s="209" t="n">
        <v>46611</v>
      </c>
      <c r="K331" s="175" t="inlineStr">
        <is>
          <t>-</t>
        </is>
      </c>
      <c r="L331" s="29" t="inlineStr">
        <is>
          <t>-</t>
        </is>
      </c>
      <c r="N331" s="128" t="n"/>
      <c r="O331" s="128" t="n"/>
      <c r="P331" s="128" t="n"/>
      <c r="Q331" s="128" t="n"/>
      <c r="R331" s="128" t="n"/>
      <c r="S331" s="128" t="n"/>
      <c r="T331" s="128" t="n"/>
    </row>
    <row r="332" ht="15.75" customHeight="1">
      <c r="A332" s="440" t="inlineStr">
        <is>
          <t>Waste Service Supervisor</t>
        </is>
      </c>
      <c r="B332" s="440" t="n">
        <v>2</v>
      </c>
      <c r="C332" s="440">
        <f>COUNTIF(E332:E333,"&lt;&gt;")</f>
        <v/>
      </c>
      <c r="D332" s="441">
        <f>C332-B332</f>
        <v/>
      </c>
      <c r="E332" s="135" t="n"/>
      <c r="F332" s="136" t="inlineStr">
        <is>
          <t>Soft Service</t>
        </is>
      </c>
      <c r="G332" s="68" t="inlineStr">
        <is>
          <t>-</t>
        </is>
      </c>
      <c r="H332" s="460" t="inlineStr">
        <is>
          <t>-</t>
        </is>
      </c>
      <c r="I332" s="425" t="inlineStr">
        <is>
          <t>Vacant</t>
        </is>
      </c>
      <c r="J332" s="499" t="n"/>
      <c r="K332" s="425" t="inlineStr">
        <is>
          <t>-</t>
        </is>
      </c>
      <c r="L332" s="29" t="inlineStr">
        <is>
          <t>-</t>
        </is>
      </c>
      <c r="N332" s="128" t="n"/>
      <c r="O332" s="128" t="n"/>
      <c r="P332" s="128" t="n"/>
      <c r="Q332" s="128" t="n"/>
      <c r="R332" s="128" t="n"/>
      <c r="S332" s="128" t="n"/>
      <c r="T332" s="128" t="n"/>
    </row>
    <row r="333" ht="15.75" customHeight="1">
      <c r="A333" s="431" t="n"/>
      <c r="B333" s="431" t="n"/>
      <c r="C333" s="431" t="n"/>
      <c r="D333" s="431" t="n"/>
      <c r="E333" s="135" t="n"/>
      <c r="F333" s="136" t="inlineStr">
        <is>
          <t>Soft Service</t>
        </is>
      </c>
      <c r="G333" s="29" t="inlineStr">
        <is>
          <t>-</t>
        </is>
      </c>
      <c r="H333" s="57" t="inlineStr">
        <is>
          <t>-</t>
        </is>
      </c>
      <c r="I333" s="425" t="inlineStr">
        <is>
          <t>Vacant</t>
        </is>
      </c>
      <c r="J333" s="499" t="n"/>
      <c r="K333" s="425" t="inlineStr">
        <is>
          <t>-</t>
        </is>
      </c>
      <c r="L333" s="29" t="inlineStr">
        <is>
          <t>-</t>
        </is>
      </c>
      <c r="N333" s="128" t="n"/>
      <c r="O333" s="128" t="n"/>
      <c r="P333" s="128" t="n"/>
      <c r="Q333" s="128" t="n"/>
      <c r="R333" s="128" t="n"/>
      <c r="S333" s="128" t="n"/>
      <c r="T333" s="128" t="n"/>
    </row>
    <row r="334" ht="15.75" customHeight="1">
      <c r="A334" s="440" t="inlineStr">
        <is>
          <t>Waste Segrigator</t>
        </is>
      </c>
      <c r="B334" s="440" t="n">
        <v>12</v>
      </c>
      <c r="C334" s="440">
        <f>COUNTIF(E334:E345,"&lt;&gt;")</f>
        <v/>
      </c>
      <c r="D334" s="441">
        <f>C334-B334</f>
        <v/>
      </c>
      <c r="E334" s="460" t="inlineStr">
        <is>
          <t>Md Shamim  Sarkar</t>
        </is>
      </c>
      <c r="F334" s="136" t="inlineStr">
        <is>
          <t>Soft Service</t>
        </is>
      </c>
      <c r="G334" s="68" t="inlineStr">
        <is>
          <t>S569</t>
        </is>
      </c>
      <c r="H334" s="460" t="n">
        <v>2629528965</v>
      </c>
      <c r="I334" s="425" t="inlineStr">
        <is>
          <t>Approved</t>
        </is>
      </c>
      <c r="J334" s="496" t="n">
        <v>46070</v>
      </c>
      <c r="K334" s="425" t="inlineStr">
        <is>
          <t>SCC ( RENTAL )</t>
        </is>
      </c>
      <c r="L334" s="29" t="inlineStr">
        <is>
          <t>-</t>
        </is>
      </c>
      <c r="N334" s="128" t="n"/>
      <c r="O334" s="128" t="n"/>
      <c r="P334" s="128" t="n"/>
      <c r="Q334" s="128" t="n"/>
      <c r="R334" s="128" t="n"/>
      <c r="S334" s="128" t="n"/>
      <c r="T334" s="128" t="n"/>
    </row>
    <row r="335" ht="15.75" customHeight="1">
      <c r="A335" s="429" t="n"/>
      <c r="B335" s="429" t="n"/>
      <c r="C335" s="429" t="n"/>
      <c r="D335" s="429" t="n"/>
      <c r="E335" s="460" t="inlineStr">
        <is>
          <t>Md Rakibul Islam</t>
        </is>
      </c>
      <c r="F335" s="136" t="inlineStr">
        <is>
          <t>Soft Service</t>
        </is>
      </c>
      <c r="G335" s="460" t="inlineStr">
        <is>
          <t>-</t>
        </is>
      </c>
      <c r="H335" s="460" t="n">
        <v>2630690804</v>
      </c>
      <c r="I335" s="425" t="inlineStr">
        <is>
          <t>Approved</t>
        </is>
      </c>
      <c r="J335" s="499" t="n"/>
      <c r="K335" s="425" t="inlineStr">
        <is>
          <t>AB-HOOR</t>
        </is>
      </c>
      <c r="L335" s="29" t="inlineStr">
        <is>
          <t>-</t>
        </is>
      </c>
      <c r="N335" s="128" t="n"/>
      <c r="O335" s="128" t="n"/>
      <c r="P335" s="128" t="n"/>
      <c r="Q335" s="128" t="n"/>
      <c r="R335" s="128" t="n"/>
      <c r="S335" s="128" t="n"/>
      <c r="T335" s="128" t="n"/>
    </row>
    <row r="336" ht="15.75" customHeight="1">
      <c r="A336" s="429" t="n"/>
      <c r="B336" s="429" t="n"/>
      <c r="C336" s="429" t="n"/>
      <c r="D336" s="429" t="n"/>
      <c r="E336" s="460" t="inlineStr">
        <is>
          <t>HIMANSHU - - KUMAR</t>
        </is>
      </c>
      <c r="F336" s="136" t="inlineStr">
        <is>
          <t>Soft Service</t>
        </is>
      </c>
      <c r="G336" s="169" t="inlineStr">
        <is>
          <t>L00115</t>
        </is>
      </c>
      <c r="H336" s="169" t="n">
        <v>2624338436</v>
      </c>
      <c r="I336" s="425" t="inlineStr">
        <is>
          <t>Approved</t>
        </is>
      </c>
      <c r="J336" s="496" t="n">
        <v>46232</v>
      </c>
      <c r="K336" s="159" t="inlineStr">
        <is>
          <t>MEHAN RENTAL</t>
        </is>
      </c>
      <c r="L336" s="29" t="inlineStr">
        <is>
          <t>-</t>
        </is>
      </c>
      <c r="N336" s="128" t="n"/>
      <c r="O336" s="128" t="n"/>
      <c r="P336" s="128" t="n"/>
      <c r="Q336" s="128" t="n"/>
      <c r="R336" s="128" t="n"/>
      <c r="S336" s="128" t="n"/>
      <c r="T336" s="128" t="n"/>
    </row>
    <row r="337" ht="15.75" customHeight="1">
      <c r="A337" s="429" t="n"/>
      <c r="B337" s="429" t="n"/>
      <c r="C337" s="429" t="n"/>
      <c r="D337" s="429" t="n"/>
      <c r="E337" s="460" t="inlineStr">
        <is>
          <t>IJAZ AHAMAD MOHAMMAD AYYAZ</t>
        </is>
      </c>
      <c r="F337" s="136" t="inlineStr">
        <is>
          <t>Soft Service</t>
        </is>
      </c>
      <c r="G337" s="169" t="inlineStr">
        <is>
          <t>L01170</t>
        </is>
      </c>
      <c r="H337" s="169" t="n">
        <v>2635912930</v>
      </c>
      <c r="I337" s="425" t="inlineStr">
        <is>
          <t>Approved</t>
        </is>
      </c>
      <c r="J337" s="496" t="n">
        <v>46232</v>
      </c>
      <c r="K337" s="159" t="inlineStr">
        <is>
          <t>MEHAN RENTAL</t>
        </is>
      </c>
      <c r="L337" s="29" t="inlineStr">
        <is>
          <t>-</t>
        </is>
      </c>
      <c r="N337" s="128" t="n"/>
      <c r="O337" s="128" t="n"/>
      <c r="P337" s="128" t="n"/>
      <c r="Q337" s="128" t="n"/>
      <c r="R337" s="128" t="n"/>
      <c r="S337" s="128" t="n"/>
      <c r="T337" s="128" t="n"/>
    </row>
    <row r="338" ht="15.75" customHeight="1">
      <c r="A338" s="429" t="n"/>
      <c r="B338" s="429" t="n"/>
      <c r="C338" s="429" t="n"/>
      <c r="D338" s="429" t="n"/>
      <c r="E338" s="135" t="n"/>
      <c r="F338" s="136" t="inlineStr">
        <is>
          <t>Soft Service</t>
        </is>
      </c>
      <c r="G338" s="460" t="inlineStr">
        <is>
          <t>-</t>
        </is>
      </c>
      <c r="H338" s="460" t="inlineStr">
        <is>
          <t>-</t>
        </is>
      </c>
      <c r="I338" s="425" t="inlineStr">
        <is>
          <t>Vacant</t>
        </is>
      </c>
      <c r="J338" s="499" t="n"/>
      <c r="K338" s="425" t="inlineStr">
        <is>
          <t>-</t>
        </is>
      </c>
      <c r="L338" s="29" t="inlineStr">
        <is>
          <t>-</t>
        </is>
      </c>
      <c r="N338" s="128" t="n"/>
      <c r="O338" s="128" t="n"/>
      <c r="P338" s="128" t="n"/>
      <c r="Q338" s="128" t="n"/>
      <c r="R338" s="128" t="n"/>
      <c r="S338" s="128" t="n"/>
      <c r="T338" s="128" t="n"/>
    </row>
    <row r="339" ht="15.75" customHeight="1">
      <c r="A339" s="429" t="n"/>
      <c r="B339" s="429" t="n"/>
      <c r="C339" s="429" t="n"/>
      <c r="D339" s="429" t="n"/>
      <c r="E339" s="135" t="n"/>
      <c r="F339" s="136" t="inlineStr">
        <is>
          <t>Soft Service</t>
        </is>
      </c>
      <c r="G339" s="460" t="inlineStr">
        <is>
          <t>-</t>
        </is>
      </c>
      <c r="H339" s="460" t="inlineStr">
        <is>
          <t>-</t>
        </is>
      </c>
      <c r="I339" s="425" t="inlineStr">
        <is>
          <t>Vacant</t>
        </is>
      </c>
      <c r="J339" s="499" t="n"/>
      <c r="K339" s="425" t="inlineStr">
        <is>
          <t>-</t>
        </is>
      </c>
      <c r="L339" s="29" t="inlineStr">
        <is>
          <t>-</t>
        </is>
      </c>
      <c r="N339" s="128" t="n"/>
      <c r="O339" s="128" t="n"/>
      <c r="P339" s="128" t="n"/>
      <c r="Q339" s="128" t="n"/>
      <c r="R339" s="128" t="n"/>
      <c r="S339" s="128" t="n"/>
      <c r="T339" s="128" t="n"/>
    </row>
    <row r="340" ht="15.75" customHeight="1">
      <c r="A340" s="429" t="n"/>
      <c r="B340" s="429" t="n"/>
      <c r="C340" s="429" t="n"/>
      <c r="D340" s="429" t="n"/>
      <c r="E340" s="135" t="n"/>
      <c r="F340" s="136" t="inlineStr">
        <is>
          <t>Soft Service</t>
        </is>
      </c>
      <c r="G340" s="460" t="inlineStr">
        <is>
          <t>-</t>
        </is>
      </c>
      <c r="H340" s="460" t="inlineStr">
        <is>
          <t>-</t>
        </is>
      </c>
      <c r="I340" s="425" t="inlineStr">
        <is>
          <t>Vacant</t>
        </is>
      </c>
      <c r="J340" s="499" t="n"/>
      <c r="K340" s="425" t="inlineStr">
        <is>
          <t>-</t>
        </is>
      </c>
      <c r="L340" s="29" t="inlineStr">
        <is>
          <t>-</t>
        </is>
      </c>
      <c r="N340" s="128" t="n"/>
      <c r="O340" s="128" t="n"/>
      <c r="P340" s="128" t="n"/>
      <c r="Q340" s="128" t="n"/>
      <c r="R340" s="128" t="n"/>
      <c r="S340" s="128" t="n"/>
      <c r="T340" s="128" t="n"/>
    </row>
    <row r="341" ht="15.75" customHeight="1">
      <c r="A341" s="429" t="n"/>
      <c r="B341" s="429" t="n"/>
      <c r="C341" s="429" t="n"/>
      <c r="D341" s="429" t="n"/>
      <c r="E341" s="135" t="n"/>
      <c r="F341" s="136" t="inlineStr">
        <is>
          <t>Soft Service</t>
        </is>
      </c>
      <c r="G341" s="460" t="inlineStr">
        <is>
          <t>-</t>
        </is>
      </c>
      <c r="H341" s="460" t="inlineStr">
        <is>
          <t>-</t>
        </is>
      </c>
      <c r="I341" s="425" t="inlineStr">
        <is>
          <t>Vacant</t>
        </is>
      </c>
      <c r="J341" s="499" t="n"/>
      <c r="K341" s="425" t="inlineStr">
        <is>
          <t>-</t>
        </is>
      </c>
      <c r="L341" s="29" t="inlineStr">
        <is>
          <t>-</t>
        </is>
      </c>
      <c r="N341" s="128" t="n"/>
      <c r="O341" s="128" t="n"/>
      <c r="P341" s="128" t="n"/>
      <c r="Q341" s="128" t="n"/>
      <c r="R341" s="128" t="n"/>
      <c r="S341" s="128" t="n"/>
      <c r="T341" s="128" t="n"/>
    </row>
    <row r="342" ht="15.75" customHeight="1">
      <c r="A342" s="429" t="n"/>
      <c r="B342" s="429" t="n"/>
      <c r="C342" s="429" t="n"/>
      <c r="D342" s="429" t="n"/>
      <c r="E342" s="135" t="n"/>
      <c r="F342" s="136" t="inlineStr">
        <is>
          <t>Soft Service</t>
        </is>
      </c>
      <c r="G342" s="460" t="inlineStr">
        <is>
          <t>-</t>
        </is>
      </c>
      <c r="H342" s="460" t="inlineStr">
        <is>
          <t>-</t>
        </is>
      </c>
      <c r="I342" s="425" t="inlineStr">
        <is>
          <t>Vacant</t>
        </is>
      </c>
      <c r="J342" s="499" t="n"/>
      <c r="K342" s="425" t="inlineStr">
        <is>
          <t>-</t>
        </is>
      </c>
      <c r="L342" s="29" t="inlineStr">
        <is>
          <t>-</t>
        </is>
      </c>
      <c r="N342" s="128" t="n"/>
      <c r="O342" s="128" t="n"/>
      <c r="P342" s="128" t="n"/>
      <c r="Q342" s="128" t="n"/>
      <c r="R342" s="128" t="n"/>
      <c r="S342" s="128" t="n"/>
      <c r="T342" s="128" t="n"/>
    </row>
    <row r="343" ht="15.75" customHeight="1">
      <c r="A343" s="429" t="n"/>
      <c r="B343" s="429" t="n"/>
      <c r="C343" s="429" t="n"/>
      <c r="D343" s="429" t="n"/>
      <c r="E343" s="135" t="n"/>
      <c r="F343" s="136" t="inlineStr">
        <is>
          <t>Soft Service</t>
        </is>
      </c>
      <c r="G343" s="460" t="inlineStr">
        <is>
          <t>-</t>
        </is>
      </c>
      <c r="H343" s="460" t="inlineStr">
        <is>
          <t>-</t>
        </is>
      </c>
      <c r="I343" s="425" t="inlineStr">
        <is>
          <t>Vacant</t>
        </is>
      </c>
      <c r="J343" s="499" t="n"/>
      <c r="K343" s="425" t="inlineStr">
        <is>
          <t>-</t>
        </is>
      </c>
      <c r="L343" s="29" t="inlineStr">
        <is>
          <t>-</t>
        </is>
      </c>
      <c r="N343" s="128" t="n"/>
      <c r="O343" s="128" t="n"/>
      <c r="P343" s="128" t="n"/>
      <c r="Q343" s="128" t="n"/>
      <c r="R343" s="128" t="n"/>
      <c r="S343" s="128" t="n"/>
      <c r="T343" s="128" t="n"/>
    </row>
    <row r="344" ht="15.75" customHeight="1">
      <c r="A344" s="429" t="n"/>
      <c r="B344" s="429" t="n"/>
      <c r="C344" s="429" t="n"/>
      <c r="D344" s="429" t="n"/>
      <c r="E344" s="135" t="n"/>
      <c r="F344" s="136" t="inlineStr">
        <is>
          <t>Soft Service</t>
        </is>
      </c>
      <c r="G344" s="460" t="inlineStr">
        <is>
          <t>-</t>
        </is>
      </c>
      <c r="H344" s="460" t="inlineStr">
        <is>
          <t>-</t>
        </is>
      </c>
      <c r="I344" s="425" t="inlineStr">
        <is>
          <t>Vacant</t>
        </is>
      </c>
      <c r="J344" s="499" t="n"/>
      <c r="K344" s="425" t="inlineStr">
        <is>
          <t>-</t>
        </is>
      </c>
      <c r="L344" s="29" t="inlineStr">
        <is>
          <t>-</t>
        </is>
      </c>
      <c r="N344" s="128" t="n"/>
      <c r="O344" s="128" t="n"/>
      <c r="P344" s="128" t="n"/>
      <c r="Q344" s="128" t="n"/>
      <c r="R344" s="128" t="n"/>
      <c r="S344" s="128" t="n"/>
      <c r="T344" s="128" t="n"/>
    </row>
    <row r="345" ht="15.75" customHeight="1">
      <c r="A345" s="431" t="n"/>
      <c r="B345" s="431" t="n"/>
      <c r="C345" s="431" t="n"/>
      <c r="D345" s="431" t="n"/>
      <c r="E345" s="135" t="n"/>
      <c r="F345" s="136" t="inlineStr">
        <is>
          <t>Soft Service</t>
        </is>
      </c>
      <c r="G345" s="460" t="inlineStr">
        <is>
          <t>-</t>
        </is>
      </c>
      <c r="H345" s="460" t="inlineStr">
        <is>
          <t>-</t>
        </is>
      </c>
      <c r="I345" s="425" t="inlineStr">
        <is>
          <t>Vacant</t>
        </is>
      </c>
      <c r="J345" s="499" t="n"/>
      <c r="K345" s="425" t="inlineStr">
        <is>
          <t>-</t>
        </is>
      </c>
      <c r="L345" s="29" t="inlineStr">
        <is>
          <t>-</t>
        </is>
      </c>
      <c r="N345" s="128" t="n"/>
      <c r="O345" s="128" t="n"/>
      <c r="P345" s="128" t="n"/>
      <c r="Q345" s="128" t="n"/>
      <c r="R345" s="128" t="n"/>
      <c r="S345" s="128" t="n"/>
      <c r="T345" s="128" t="n"/>
    </row>
    <row r="346" ht="15.75" customHeight="1">
      <c r="A346" s="440" t="inlineStr">
        <is>
          <t>Waste Collector</t>
        </is>
      </c>
      <c r="B346" s="440" t="n">
        <v>6</v>
      </c>
      <c r="C346" s="440">
        <f>COUNTIF(E346:E351,"&lt;&gt;")</f>
        <v/>
      </c>
      <c r="D346" s="441">
        <f>C346-B346</f>
        <v/>
      </c>
      <c r="E346" s="460" t="inlineStr">
        <is>
          <t>KISHUN SAHANI - MURAT</t>
        </is>
      </c>
      <c r="F346" s="136" t="inlineStr">
        <is>
          <t>Soft Service</t>
        </is>
      </c>
      <c r="G346" s="169" t="inlineStr">
        <is>
          <t>R08676</t>
        </is>
      </c>
      <c r="H346" s="169" t="n">
        <v>2607963945</v>
      </c>
      <c r="I346" s="425" t="inlineStr">
        <is>
          <t>Approved</t>
        </is>
      </c>
      <c r="J346" s="496" t="n">
        <v>46232</v>
      </c>
      <c r="K346" s="425" t="inlineStr">
        <is>
          <t>MEHAN RENTAL</t>
        </is>
      </c>
      <c r="L346" s="29" t="inlineStr">
        <is>
          <t>-</t>
        </is>
      </c>
      <c r="N346" s="128" t="n"/>
      <c r="O346" s="128" t="n"/>
      <c r="P346" s="128" t="n"/>
      <c r="Q346" s="128" t="n"/>
      <c r="R346" s="128" t="n"/>
      <c r="S346" s="128" t="n"/>
      <c r="T346" s="128" t="n"/>
    </row>
    <row r="347" ht="15.75" customHeight="1">
      <c r="A347" s="429" t="n"/>
      <c r="B347" s="429" t="n"/>
      <c r="C347" s="429" t="n"/>
      <c r="D347" s="429" t="n"/>
      <c r="E347" s="460" t="inlineStr">
        <is>
          <t>ABHIMANYOO - - SOLHAI</t>
        </is>
      </c>
      <c r="F347" s="136" t="inlineStr">
        <is>
          <t>Soft Service</t>
        </is>
      </c>
      <c r="G347" s="169" t="inlineStr">
        <is>
          <t>R09538</t>
        </is>
      </c>
      <c r="H347" s="169" t="n">
        <v>2615110596</v>
      </c>
      <c r="I347" s="425" t="inlineStr">
        <is>
          <t>Approved</t>
        </is>
      </c>
      <c r="J347" s="496" t="n">
        <v>46232</v>
      </c>
      <c r="K347" s="425" t="inlineStr">
        <is>
          <t>MEHAN RENTAL</t>
        </is>
      </c>
      <c r="L347" s="29" t="inlineStr">
        <is>
          <t>-</t>
        </is>
      </c>
      <c r="N347" s="128" t="n"/>
      <c r="O347" s="128" t="n"/>
      <c r="P347" s="128" t="n"/>
      <c r="Q347" s="128" t="n"/>
      <c r="R347" s="128" t="n"/>
      <c r="S347" s="128" t="n"/>
      <c r="T347" s="128" t="n"/>
    </row>
    <row r="348" ht="15.75" customHeight="1">
      <c r="A348" s="429" t="n"/>
      <c r="B348" s="429" t="n"/>
      <c r="C348" s="429" t="n"/>
      <c r="D348" s="429" t="n"/>
      <c r="E348" s="135" t="n"/>
      <c r="F348" s="136" t="inlineStr">
        <is>
          <t>Soft Service</t>
        </is>
      </c>
      <c r="G348" s="460" t="inlineStr">
        <is>
          <t>-</t>
        </is>
      </c>
      <c r="H348" s="460" t="inlineStr">
        <is>
          <t>-</t>
        </is>
      </c>
      <c r="I348" s="425" t="inlineStr">
        <is>
          <t>Vacant</t>
        </is>
      </c>
      <c r="J348" s="499" t="n"/>
      <c r="K348" s="425" t="inlineStr">
        <is>
          <t>-</t>
        </is>
      </c>
      <c r="L348" s="29" t="inlineStr">
        <is>
          <t>-</t>
        </is>
      </c>
      <c r="N348" s="128" t="n"/>
      <c r="O348" s="128" t="n"/>
      <c r="P348" s="128" t="n"/>
      <c r="Q348" s="128" t="n"/>
      <c r="R348" s="128" t="n"/>
      <c r="S348" s="128" t="n"/>
      <c r="T348" s="128" t="n"/>
    </row>
    <row r="349" ht="15.75" customHeight="1">
      <c r="A349" s="429" t="n"/>
      <c r="B349" s="429" t="n"/>
      <c r="C349" s="429" t="n"/>
      <c r="D349" s="429" t="n"/>
      <c r="E349" s="135" t="n"/>
      <c r="F349" s="136" t="inlineStr">
        <is>
          <t>Soft Service</t>
        </is>
      </c>
      <c r="G349" s="460" t="inlineStr">
        <is>
          <t>-</t>
        </is>
      </c>
      <c r="H349" s="460" t="inlineStr">
        <is>
          <t>-</t>
        </is>
      </c>
      <c r="I349" s="425" t="inlineStr">
        <is>
          <t>Vacant</t>
        </is>
      </c>
      <c r="J349" s="499" t="n"/>
      <c r="K349" s="425" t="inlineStr">
        <is>
          <t>-</t>
        </is>
      </c>
      <c r="L349" s="29" t="inlineStr">
        <is>
          <t>-</t>
        </is>
      </c>
      <c r="N349" s="128" t="n"/>
      <c r="O349" s="128" t="n"/>
      <c r="P349" s="128" t="n"/>
      <c r="Q349" s="128" t="n"/>
      <c r="R349" s="128" t="n"/>
      <c r="S349" s="128" t="n"/>
      <c r="T349" s="128" t="n"/>
    </row>
    <row r="350" ht="15.75" customHeight="1">
      <c r="A350" s="429" t="n"/>
      <c r="B350" s="429" t="n"/>
      <c r="C350" s="429" t="n"/>
      <c r="D350" s="429" t="n"/>
      <c r="E350" s="135" t="n"/>
      <c r="F350" s="136" t="inlineStr">
        <is>
          <t>Soft Service</t>
        </is>
      </c>
      <c r="G350" s="460" t="inlineStr">
        <is>
          <t>-</t>
        </is>
      </c>
      <c r="H350" s="460" t="inlineStr">
        <is>
          <t>-</t>
        </is>
      </c>
      <c r="I350" s="425" t="inlineStr">
        <is>
          <t>Vacant</t>
        </is>
      </c>
      <c r="J350" s="499" t="n"/>
      <c r="K350" s="425" t="inlineStr">
        <is>
          <t>-</t>
        </is>
      </c>
      <c r="L350" s="29" t="inlineStr">
        <is>
          <t>-</t>
        </is>
      </c>
      <c r="N350" s="128" t="n"/>
      <c r="O350" s="128" t="n"/>
      <c r="P350" s="128" t="n"/>
      <c r="Q350" s="128" t="n"/>
      <c r="R350" s="128" t="n"/>
      <c r="S350" s="128" t="n"/>
      <c r="T350" s="128" t="n"/>
    </row>
    <row r="351" ht="15.75" customHeight="1">
      <c r="A351" s="431" t="n"/>
      <c r="B351" s="431" t="n"/>
      <c r="C351" s="431" t="n"/>
      <c r="D351" s="431" t="n"/>
      <c r="E351" s="135" t="n"/>
      <c r="F351" s="136" t="inlineStr">
        <is>
          <t>Soft Service</t>
        </is>
      </c>
      <c r="G351" s="460" t="inlineStr">
        <is>
          <t>-</t>
        </is>
      </c>
      <c r="H351" s="460" t="inlineStr">
        <is>
          <t>-</t>
        </is>
      </c>
      <c r="I351" s="425" t="inlineStr">
        <is>
          <t>Vacant</t>
        </is>
      </c>
      <c r="J351" s="499" t="n"/>
      <c r="K351" s="425" t="inlineStr">
        <is>
          <t>-</t>
        </is>
      </c>
      <c r="L351" s="29" t="inlineStr">
        <is>
          <t>-</t>
        </is>
      </c>
      <c r="N351" s="128" t="n"/>
      <c r="O351" s="128" t="n"/>
      <c r="P351" s="128" t="n"/>
      <c r="Q351" s="128" t="n"/>
      <c r="R351" s="128" t="n"/>
      <c r="S351" s="128" t="n"/>
      <c r="T351" s="128" t="n"/>
    </row>
    <row r="352" ht="15.75" customHeight="1">
      <c r="A352" s="440" t="inlineStr">
        <is>
          <t>Recreational In-Charge</t>
        </is>
      </c>
      <c r="B352" s="440" t="n">
        <v>1</v>
      </c>
      <c r="C352" s="441">
        <f>COUNTIF(E352,"&lt;&gt;")</f>
        <v/>
      </c>
      <c r="D352" s="450">
        <f>C352-B352</f>
        <v/>
      </c>
      <c r="E352" s="460" t="inlineStr">
        <is>
          <t>MOHAMMAD ASAD</t>
        </is>
      </c>
      <c r="F352" s="171" t="inlineStr">
        <is>
          <t>Recreation</t>
        </is>
      </c>
      <c r="G352" s="172" t="inlineStr">
        <is>
          <t>EM-0004097</t>
        </is>
      </c>
      <c r="H352" s="417" t="n">
        <v>2643063056</v>
      </c>
      <c r="I352" s="174" t="inlineStr">
        <is>
          <t>Additional</t>
        </is>
      </c>
      <c r="J352" s="522" t="n">
        <v>46245</v>
      </c>
      <c r="K352" s="175" t="inlineStr">
        <is>
          <t>AL-FALAK VISA</t>
        </is>
      </c>
      <c r="L352" s="29" t="inlineStr">
        <is>
          <t>-</t>
        </is>
      </c>
      <c r="N352" s="128" t="n"/>
      <c r="O352" s="128" t="n"/>
      <c r="P352" s="128" t="n"/>
      <c r="Q352" s="128" t="n"/>
      <c r="R352" s="128" t="n"/>
      <c r="S352" s="128" t="n"/>
      <c r="T352" s="128" t="n"/>
    </row>
    <row r="353" ht="15.75" customHeight="1">
      <c r="A353" s="440" t="inlineStr">
        <is>
          <t>Recreational Coordinator</t>
        </is>
      </c>
      <c r="B353" s="440" t="n">
        <v>1</v>
      </c>
      <c r="C353" s="441">
        <f>COUNTIF(E353,"&lt;&gt;")</f>
        <v/>
      </c>
      <c r="D353" s="450">
        <f>C353-B353</f>
        <v/>
      </c>
      <c r="E353" s="460" t="inlineStr">
        <is>
          <t>Syed Jamshed Iqubal</t>
        </is>
      </c>
      <c r="F353" s="171" t="inlineStr">
        <is>
          <t>Recreation</t>
        </is>
      </c>
      <c r="G353" s="425" t="inlineStr">
        <is>
          <t>EM-0002656</t>
        </is>
      </c>
      <c r="H353" s="425" t="n">
        <v>2578565232</v>
      </c>
      <c r="I353" s="425" t="inlineStr">
        <is>
          <t>Approved</t>
        </is>
      </c>
      <c r="J353" s="496" t="n">
        <v>45600</v>
      </c>
      <c r="K353" s="425" t="inlineStr">
        <is>
          <t>AL-FALAK VISA</t>
        </is>
      </c>
      <c r="L353" s="29" t="inlineStr">
        <is>
          <t>On vacation</t>
        </is>
      </c>
      <c r="N353" s="128" t="n"/>
      <c r="O353" s="128" t="n"/>
      <c r="P353" s="128" t="n"/>
      <c r="Q353" s="128" t="n"/>
      <c r="R353" s="128" t="n"/>
      <c r="S353" s="128" t="n"/>
      <c r="T353" s="128" t="n"/>
    </row>
    <row r="354" ht="15.75" customHeight="1">
      <c r="A354" s="440" t="inlineStr">
        <is>
          <t>Tea Boy/Operation Office</t>
        </is>
      </c>
      <c r="B354" s="440" t="n">
        <v>2</v>
      </c>
      <c r="C354" s="441">
        <f>COUNTIF(E354,"&lt;&gt;")</f>
        <v/>
      </c>
      <c r="D354" s="441">
        <f>C354-B354</f>
        <v/>
      </c>
      <c r="E354" s="460" t="inlineStr">
        <is>
          <t>REPL -SHIPON YADAV</t>
        </is>
      </c>
      <c r="F354" s="136" t="inlineStr">
        <is>
          <t>Soft Service</t>
        </is>
      </c>
      <c r="G354" s="425" t="n"/>
      <c r="H354" s="425" t="inlineStr">
        <is>
          <t>A21264343</t>
        </is>
      </c>
      <c r="I354" s="425" t="inlineStr">
        <is>
          <t>Approved</t>
        </is>
      </c>
      <c r="J354" s="496" t="n">
        <v>46263</v>
      </c>
      <c r="K354" s="425" t="n"/>
      <c r="L354" s="29" t="inlineStr">
        <is>
          <t>-</t>
        </is>
      </c>
      <c r="N354" s="128" t="n"/>
      <c r="O354" s="128" t="n"/>
      <c r="P354" s="128" t="n"/>
      <c r="Q354" s="128" t="n"/>
      <c r="R354" s="128" t="n"/>
      <c r="S354" s="128" t="n"/>
      <c r="T354" s="128" t="n"/>
    </row>
    <row r="355" ht="15.75" customHeight="1">
      <c r="A355" s="431" t="n"/>
      <c r="B355" s="431" t="n"/>
      <c r="C355" s="431" t="n"/>
      <c r="D355" s="431" t="n"/>
      <c r="E355" s="135" t="inlineStr">
        <is>
          <t>MOHD ABUZAR</t>
        </is>
      </c>
      <c r="F355" s="136" t="inlineStr">
        <is>
          <t>Soft Service</t>
        </is>
      </c>
      <c r="G355" s="425" t="inlineStr">
        <is>
          <t>GV117</t>
        </is>
      </c>
      <c r="H355" s="425" t="inlineStr">
        <is>
          <t>2583416991</t>
        </is>
      </c>
      <c r="I355" s="425" t="inlineStr">
        <is>
          <t>Approved</t>
        </is>
      </c>
      <c r="J355" s="499" t="n">
        <v>45585</v>
      </c>
      <c r="K355" s="425" t="inlineStr">
        <is>
          <t>GULF VISION ( RENTAL)</t>
        </is>
      </c>
      <c r="L355" s="29" t="n"/>
      <c r="N355" s="128" t="n"/>
      <c r="O355" s="128" t="n"/>
      <c r="P355" s="128" t="n"/>
      <c r="Q355" s="128" t="n"/>
      <c r="R355" s="128" t="n"/>
      <c r="S355" s="128" t="n"/>
      <c r="T355" s="128" t="n"/>
    </row>
    <row r="356" ht="14.25" customHeight="1">
      <c r="A356" s="439" t="inlineStr">
        <is>
          <t>Laundry Supervisor</t>
        </is>
      </c>
      <c r="B356" s="439" t="n">
        <v>2</v>
      </c>
      <c r="C356" s="439">
        <f>COUNTIF(E356:E357,"&lt;&gt;")</f>
        <v/>
      </c>
      <c r="D356" s="439">
        <f>C356-B356</f>
        <v/>
      </c>
      <c r="E356" s="460" t="inlineStr">
        <is>
          <t>Mohammed Irshad</t>
        </is>
      </c>
      <c r="F356" s="136" t="inlineStr">
        <is>
          <t>Soft Service</t>
        </is>
      </c>
      <c r="G356" s="425" t="inlineStr">
        <is>
          <t>EM-0002689</t>
        </is>
      </c>
      <c r="H356" s="425" t="n">
        <v>2586437143</v>
      </c>
      <c r="I356" s="425" t="inlineStr">
        <is>
          <t>Approved</t>
        </is>
      </c>
      <c r="J356" s="496" t="n">
        <v>45599</v>
      </c>
      <c r="K356" s="425" t="inlineStr">
        <is>
          <t>AL-FALAK VISA</t>
        </is>
      </c>
      <c r="L356" s="29" t="inlineStr">
        <is>
          <t>-</t>
        </is>
      </c>
      <c r="N356" s="128" t="n"/>
      <c r="O356" s="128" t="n"/>
      <c r="P356" s="128" t="n"/>
      <c r="Q356" s="128" t="n"/>
      <c r="R356" s="128" t="n"/>
      <c r="S356" s="128" t="n"/>
      <c r="T356" s="128" t="n"/>
    </row>
    <row r="357" ht="14.25" customHeight="1">
      <c r="A357" s="431" t="n"/>
      <c r="B357" s="431" t="n"/>
      <c r="C357" s="431" t="n"/>
      <c r="D357" s="431" t="n"/>
      <c r="E357" s="460" t="inlineStr">
        <is>
          <t xml:space="preserve">Shahid Raja </t>
        </is>
      </c>
      <c r="F357" s="136" t="inlineStr">
        <is>
          <t>Soft Service</t>
        </is>
      </c>
      <c r="G357" s="425" t="n">
        <v>700479</v>
      </c>
      <c r="H357" s="425" t="n">
        <v>2509354268</v>
      </c>
      <c r="I357" s="425" t="inlineStr">
        <is>
          <t>Approved</t>
        </is>
      </c>
      <c r="J357" s="496" t="n">
        <v>45604</v>
      </c>
      <c r="K357" s="425" t="inlineStr">
        <is>
          <t>FMCO</t>
        </is>
      </c>
      <c r="L357" s="29" t="inlineStr">
        <is>
          <t>-</t>
        </is>
      </c>
      <c r="N357" s="128" t="n"/>
      <c r="O357" s="128" t="n"/>
      <c r="P357" s="128" t="n"/>
      <c r="Q357" s="128" t="n"/>
      <c r="R357" s="128" t="n"/>
      <c r="S357" s="128" t="n"/>
      <c r="T357" s="128" t="n"/>
    </row>
    <row r="358" ht="14.25" customHeight="1">
      <c r="A358" s="439" t="inlineStr">
        <is>
          <t>Laundry Team leader</t>
        </is>
      </c>
      <c r="B358" s="439" t="n">
        <v>2</v>
      </c>
      <c r="C358" s="439">
        <f>COUNTIF(E358:E359,"&lt;&gt;")</f>
        <v/>
      </c>
      <c r="D358" s="439">
        <f>C358-B358</f>
        <v/>
      </c>
      <c r="E358" s="460" t="inlineStr">
        <is>
          <t>Waseem Ali Rafaqat Ali</t>
        </is>
      </c>
      <c r="F358" s="136" t="inlineStr">
        <is>
          <t>Soft Service</t>
        </is>
      </c>
      <c r="G358" s="425" t="n">
        <v>701727</v>
      </c>
      <c r="H358" s="425" t="n">
        <v>2537908960</v>
      </c>
      <c r="I358" s="425" t="inlineStr">
        <is>
          <t>Approved</t>
        </is>
      </c>
      <c r="J358" s="496" t="n">
        <v>45604</v>
      </c>
      <c r="K358" s="425" t="inlineStr">
        <is>
          <t>FMCO</t>
        </is>
      </c>
      <c r="L358" s="29" t="inlineStr">
        <is>
          <t>-</t>
        </is>
      </c>
      <c r="N358" s="128" t="n"/>
      <c r="O358" s="128" t="n"/>
      <c r="P358" s="128" t="n"/>
      <c r="Q358" s="128" t="n"/>
      <c r="R358" s="128" t="n"/>
      <c r="S358" s="128" t="n"/>
      <c r="T358" s="128" t="n"/>
    </row>
    <row r="359" ht="14.25" customHeight="1">
      <c r="A359" s="431" t="n"/>
      <c r="B359" s="431" t="n"/>
      <c r="C359" s="431" t="n"/>
      <c r="D359" s="431" t="n"/>
      <c r="E359" s="460" t="inlineStr">
        <is>
          <t>Mubeen Asgar Ali Shaikh</t>
        </is>
      </c>
      <c r="F359" s="136" t="inlineStr">
        <is>
          <t>Soft Service</t>
        </is>
      </c>
      <c r="G359" s="425" t="inlineStr">
        <is>
          <t>C01315</t>
        </is>
      </c>
      <c r="H359" s="425" t="n">
        <v>2616524142</v>
      </c>
      <c r="I359" s="425" t="inlineStr">
        <is>
          <t>Approved</t>
        </is>
      </c>
      <c r="J359" s="496" t="n">
        <v>45954</v>
      </c>
      <c r="K359" s="425" t="inlineStr">
        <is>
          <t>MEHAN VISA</t>
        </is>
      </c>
      <c r="L359" s="29" t="inlineStr">
        <is>
          <t>-</t>
        </is>
      </c>
      <c r="N359" s="128" t="n"/>
      <c r="O359" s="128" t="n"/>
      <c r="P359" s="128" t="n"/>
      <c r="Q359" s="128" t="n"/>
      <c r="R359" s="128" t="n"/>
      <c r="S359" s="128" t="n"/>
      <c r="T359" s="128" t="n"/>
    </row>
    <row r="360" ht="14.25" customHeight="1">
      <c r="A360" s="439" t="inlineStr">
        <is>
          <t>Laundry Operatives</t>
        </is>
      </c>
      <c r="B360" s="439" t="n">
        <v>36</v>
      </c>
      <c r="C360" s="439">
        <f>COUNTIF(E360:E395,"&lt;&gt;")</f>
        <v/>
      </c>
      <c r="D360" s="439">
        <f>C360-B360</f>
        <v/>
      </c>
      <c r="E360" s="474" t="inlineStr">
        <is>
          <t>Md Shakib Hasan</t>
        </is>
      </c>
      <c r="F360" s="199" t="inlineStr">
        <is>
          <t>LAUNDRY</t>
        </is>
      </c>
      <c r="G360" s="200" t="inlineStr">
        <is>
          <t>-</t>
        </is>
      </c>
      <c r="H360" s="200" t="n">
        <v>2619150119</v>
      </c>
      <c r="I360" s="425" t="inlineStr">
        <is>
          <t>Approved</t>
        </is>
      </c>
      <c r="J360" s="516" t="n"/>
      <c r="K360" s="175" t="inlineStr">
        <is>
          <t>AB-HOOR</t>
        </is>
      </c>
      <c r="L360" s="29" t="inlineStr">
        <is>
          <t>-</t>
        </is>
      </c>
      <c r="N360" s="128" t="n"/>
      <c r="O360" s="128" t="n"/>
      <c r="P360" s="128" t="n"/>
      <c r="Q360" s="128" t="n"/>
      <c r="R360" s="128" t="n"/>
      <c r="S360" s="128" t="n"/>
      <c r="T360" s="128" t="n"/>
    </row>
    <row r="361" ht="14.25" customHeight="1">
      <c r="A361" s="429" t="n"/>
      <c r="B361" s="429" t="n"/>
      <c r="C361" s="429" t="n"/>
      <c r="D361" s="429" t="n"/>
      <c r="E361" s="460" t="inlineStr">
        <is>
          <t>Md Siful Islam</t>
        </is>
      </c>
      <c r="F361" s="136" t="inlineStr">
        <is>
          <t>Soft Service</t>
        </is>
      </c>
      <c r="G361" s="425" t="n">
        <v>1246</v>
      </c>
      <c r="H361" s="425" t="n">
        <v>2588502498</v>
      </c>
      <c r="I361" s="425" t="inlineStr">
        <is>
          <t>Approved</t>
        </is>
      </c>
      <c r="J361" s="496" t="n">
        <v>45627</v>
      </c>
      <c r="K361" s="425" t="inlineStr">
        <is>
          <t>UCC( RENTAL)</t>
        </is>
      </c>
      <c r="L361" s="29" t="inlineStr">
        <is>
          <t>-</t>
        </is>
      </c>
      <c r="N361" s="128" t="n"/>
      <c r="O361" s="128" t="n"/>
      <c r="P361" s="128" t="n"/>
      <c r="Q361" s="128" t="n"/>
      <c r="R361" s="128" t="n"/>
      <c r="S361" s="128" t="n"/>
      <c r="T361" s="128" t="n"/>
    </row>
    <row r="362" ht="14.25" customHeight="1">
      <c r="A362" s="429" t="n"/>
      <c r="B362" s="429" t="n"/>
      <c r="C362" s="429" t="n"/>
      <c r="D362" s="429" t="n"/>
      <c r="E362" s="460" t="inlineStr">
        <is>
          <t>Mohammad Nuruzzaman Miah</t>
        </is>
      </c>
      <c r="F362" s="136" t="inlineStr">
        <is>
          <t>Soft Service</t>
        </is>
      </c>
      <c r="G362" s="425" t="n">
        <v>1280</v>
      </c>
      <c r="H362" s="425" t="n">
        <v>2598217301</v>
      </c>
      <c r="I362" s="425" t="inlineStr">
        <is>
          <t>Approved</t>
        </is>
      </c>
      <c r="J362" s="496" t="n">
        <v>45769</v>
      </c>
      <c r="K362" s="425" t="inlineStr">
        <is>
          <t>UCC( RENTAL)</t>
        </is>
      </c>
      <c r="L362" s="29" t="inlineStr">
        <is>
          <t>-</t>
        </is>
      </c>
      <c r="N362" s="128" t="n"/>
      <c r="O362" s="128" t="n"/>
      <c r="P362" s="128" t="n"/>
      <c r="Q362" s="128" t="n"/>
      <c r="R362" s="128" t="n"/>
      <c r="S362" s="128" t="n"/>
      <c r="T362" s="128" t="n"/>
    </row>
    <row r="363" ht="14.25" customHeight="1">
      <c r="A363" s="429" t="n"/>
      <c r="B363" s="429" t="n"/>
      <c r="C363" s="429" t="n"/>
      <c r="D363" s="429" t="n"/>
      <c r="E363" s="460" t="inlineStr">
        <is>
          <t>Md Afaz Uddin</t>
        </is>
      </c>
      <c r="F363" s="136" t="inlineStr">
        <is>
          <t>Soft Service</t>
        </is>
      </c>
      <c r="G363" s="425" t="inlineStr">
        <is>
          <t>-</t>
        </is>
      </c>
      <c r="H363" s="425" t="n">
        <v>2619194513</v>
      </c>
      <c r="I363" s="425" t="inlineStr">
        <is>
          <t>Approved</t>
        </is>
      </c>
      <c r="J363" s="496" t="n">
        <v>45967</v>
      </c>
      <c r="K363" s="425" t="inlineStr">
        <is>
          <t>Gulf Vision ( RENTAL)</t>
        </is>
      </c>
      <c r="L363" s="29" t="inlineStr">
        <is>
          <t>-</t>
        </is>
      </c>
      <c r="N363" s="128" t="n"/>
      <c r="O363" s="128" t="n"/>
      <c r="P363" s="128" t="n"/>
      <c r="Q363" s="128" t="n"/>
      <c r="R363" s="128" t="n"/>
      <c r="S363" s="128" t="n"/>
      <c r="T363" s="128" t="n"/>
    </row>
    <row r="364" ht="14.25" customHeight="1">
      <c r="A364" s="429" t="n"/>
      <c r="B364" s="429" t="n"/>
      <c r="C364" s="429" t="n"/>
      <c r="D364" s="429" t="n"/>
      <c r="E364" s="460" t="inlineStr">
        <is>
          <t>Mohammad Zafar Ansari</t>
        </is>
      </c>
      <c r="F364" s="136" t="inlineStr">
        <is>
          <t>Soft Service</t>
        </is>
      </c>
      <c r="G364" s="425" t="inlineStr">
        <is>
          <t>R07333</t>
        </is>
      </c>
      <c r="H364" s="425" t="n">
        <v>2584603399</v>
      </c>
      <c r="I364" s="425" t="inlineStr">
        <is>
          <t>Approved</t>
        </is>
      </c>
      <c r="J364" s="496" t="n">
        <v>45702</v>
      </c>
      <c r="K364" s="425" t="inlineStr">
        <is>
          <t>MEHAN (RENTAL)</t>
        </is>
      </c>
      <c r="L364" s="29" t="inlineStr">
        <is>
          <t>-</t>
        </is>
      </c>
      <c r="N364" s="128" t="n"/>
      <c r="O364" s="128" t="n"/>
      <c r="P364" s="128" t="n"/>
      <c r="Q364" s="128" t="n"/>
      <c r="R364" s="128" t="n"/>
      <c r="S364" s="128" t="n"/>
      <c r="T364" s="128" t="n"/>
    </row>
    <row r="365" ht="14.25" customHeight="1">
      <c r="A365" s="429" t="n"/>
      <c r="B365" s="429" t="n"/>
      <c r="C365" s="429" t="n"/>
      <c r="D365" s="429" t="n"/>
      <c r="E365" s="460" t="inlineStr">
        <is>
          <t>Ram Khawas</t>
        </is>
      </c>
      <c r="F365" s="136" t="inlineStr">
        <is>
          <t>Soft Service</t>
        </is>
      </c>
      <c r="G365" s="425" t="inlineStr">
        <is>
          <t>-</t>
        </is>
      </c>
      <c r="H365" s="425" t="n">
        <v>2571158308</v>
      </c>
      <c r="I365" s="425" t="inlineStr">
        <is>
          <t>Approved</t>
        </is>
      </c>
      <c r="J365" s="496" t="n">
        <v>45967</v>
      </c>
      <c r="K365" s="425" t="inlineStr">
        <is>
          <t>Gulf Vision ( RENTAL)</t>
        </is>
      </c>
      <c r="L365" s="29" t="inlineStr">
        <is>
          <t>-</t>
        </is>
      </c>
      <c r="N365" s="128" t="n"/>
      <c r="O365" s="128" t="n"/>
      <c r="P365" s="128" t="n"/>
      <c r="Q365" s="128" t="n"/>
      <c r="R365" s="128" t="n"/>
      <c r="S365" s="128" t="n"/>
      <c r="T365" s="128" t="n"/>
    </row>
    <row r="366" ht="14.25" customHeight="1">
      <c r="A366" s="429" t="n"/>
      <c r="B366" s="429" t="n"/>
      <c r="C366" s="429" t="n"/>
      <c r="D366" s="429" t="n"/>
      <c r="E366" s="460" t="inlineStr">
        <is>
          <t>Ahrar Alam</t>
        </is>
      </c>
      <c r="F366" s="136" t="inlineStr">
        <is>
          <t>Soft Service</t>
        </is>
      </c>
      <c r="G366" s="425" t="inlineStr">
        <is>
          <t>S217</t>
        </is>
      </c>
      <c r="H366" s="425" t="n">
        <v>2597975685</v>
      </c>
      <c r="I366" s="425" t="inlineStr">
        <is>
          <t>Approved</t>
        </is>
      </c>
      <c r="J366" s="496" t="n">
        <v>45734</v>
      </c>
      <c r="K366" s="425" t="inlineStr">
        <is>
          <t>SCC ( RENTAL )</t>
        </is>
      </c>
      <c r="L366" s="29" t="inlineStr">
        <is>
          <t>-</t>
        </is>
      </c>
      <c r="N366" s="128" t="n"/>
      <c r="O366" s="128" t="n"/>
      <c r="P366" s="128" t="n"/>
      <c r="Q366" s="128" t="n"/>
      <c r="R366" s="128" t="n"/>
      <c r="S366" s="128" t="n"/>
      <c r="T366" s="128" t="n"/>
    </row>
    <row r="367" ht="14.25" customHeight="1">
      <c r="A367" s="429" t="n"/>
      <c r="B367" s="429" t="n"/>
      <c r="C367" s="429" t="n"/>
      <c r="D367" s="429" t="n"/>
      <c r="E367" s="460" t="inlineStr">
        <is>
          <t>Md Shakil Miah</t>
        </is>
      </c>
      <c r="F367" s="136" t="inlineStr">
        <is>
          <t>Soft Service</t>
        </is>
      </c>
      <c r="G367" s="425" t="inlineStr">
        <is>
          <t>-</t>
        </is>
      </c>
      <c r="H367" s="425" t="n">
        <v>2598810063</v>
      </c>
      <c r="I367" s="425" t="inlineStr">
        <is>
          <t>Approved</t>
        </is>
      </c>
      <c r="J367" s="496" t="n">
        <v>45951</v>
      </c>
      <c r="K367" s="425" t="inlineStr">
        <is>
          <t>SCC ( RENTAL )</t>
        </is>
      </c>
      <c r="L367" s="29" t="inlineStr">
        <is>
          <t>-</t>
        </is>
      </c>
      <c r="N367" s="128" t="n"/>
      <c r="O367" s="128" t="n"/>
      <c r="P367" s="128" t="n"/>
      <c r="Q367" s="128" t="n"/>
      <c r="R367" s="128" t="n"/>
      <c r="S367" s="128" t="n"/>
      <c r="T367" s="128" t="n"/>
    </row>
    <row r="368" ht="14.25" customHeight="1">
      <c r="A368" s="429" t="n"/>
      <c r="B368" s="429" t="n"/>
      <c r="C368" s="429" t="n"/>
      <c r="D368" s="429" t="n"/>
      <c r="E368" s="460" t="inlineStr">
        <is>
          <t>Md Nayem Mia</t>
        </is>
      </c>
      <c r="F368" s="136" t="inlineStr">
        <is>
          <t>Soft Service</t>
        </is>
      </c>
      <c r="G368" s="425" t="inlineStr">
        <is>
          <t>-</t>
        </is>
      </c>
      <c r="H368" s="425" t="n">
        <v>2628521029</v>
      </c>
      <c r="I368" s="425" t="inlineStr">
        <is>
          <t>Approved</t>
        </is>
      </c>
      <c r="J368" s="496" t="n">
        <v>46068</v>
      </c>
      <c r="K368" s="425" t="inlineStr">
        <is>
          <t>SCC ( RENTAL )</t>
        </is>
      </c>
      <c r="L368" s="29" t="inlineStr">
        <is>
          <t>-</t>
        </is>
      </c>
      <c r="N368" s="128" t="n"/>
      <c r="O368" s="128" t="n"/>
      <c r="P368" s="128" t="n"/>
      <c r="Q368" s="128" t="n"/>
      <c r="R368" s="128" t="n"/>
      <c r="S368" s="128" t="n"/>
      <c r="T368" s="128" t="n"/>
    </row>
    <row r="369" ht="14.25" customHeight="1">
      <c r="A369" s="429" t="n"/>
      <c r="B369" s="429" t="n"/>
      <c r="C369" s="429" t="n"/>
      <c r="D369" s="429" t="n"/>
      <c r="E369" s="460" t="inlineStr">
        <is>
          <t>Bappi Md Mofiz</t>
        </is>
      </c>
      <c r="F369" s="136" t="inlineStr">
        <is>
          <t>Soft Service</t>
        </is>
      </c>
      <c r="G369" s="425" t="inlineStr">
        <is>
          <t>-</t>
        </is>
      </c>
      <c r="H369" s="425" t="n">
        <v>2629184793</v>
      </c>
      <c r="I369" s="425" t="inlineStr">
        <is>
          <t>Approved</t>
        </is>
      </c>
      <c r="J369" s="496" t="n">
        <v>46068</v>
      </c>
      <c r="K369" s="425" t="inlineStr">
        <is>
          <t>SCC ( RENTAL )</t>
        </is>
      </c>
      <c r="L369" s="29" t="inlineStr">
        <is>
          <t>-</t>
        </is>
      </c>
      <c r="N369" s="128" t="n"/>
      <c r="O369" s="128" t="n"/>
      <c r="P369" s="128" t="n"/>
      <c r="Q369" s="128" t="n"/>
      <c r="R369" s="128" t="n"/>
      <c r="S369" s="128" t="n"/>
      <c r="T369" s="128" t="n"/>
    </row>
    <row r="370" ht="14.25" customHeight="1">
      <c r="A370" s="429" t="n"/>
      <c r="B370" s="429" t="n"/>
      <c r="C370" s="429" t="n"/>
      <c r="D370" s="429" t="n"/>
      <c r="E370" s="460" t="inlineStr">
        <is>
          <t>Md Abu Hanifa Onontor</t>
        </is>
      </c>
      <c r="F370" s="136" t="inlineStr">
        <is>
          <t>Soft Service</t>
        </is>
      </c>
      <c r="G370" s="425" t="inlineStr">
        <is>
          <t>-</t>
        </is>
      </c>
      <c r="H370" s="425" t="n">
        <v>2629940871</v>
      </c>
      <c r="I370" s="425" t="inlineStr">
        <is>
          <t>Approved</t>
        </is>
      </c>
      <c r="J370" s="496" t="n">
        <v>46068</v>
      </c>
      <c r="K370" s="425" t="inlineStr">
        <is>
          <t>SCC ( RENTAL )</t>
        </is>
      </c>
      <c r="L370" s="29" t="inlineStr">
        <is>
          <t>-</t>
        </is>
      </c>
      <c r="N370" s="128" t="n"/>
      <c r="O370" s="128" t="n"/>
      <c r="P370" s="128" t="n"/>
      <c r="Q370" s="128" t="n"/>
      <c r="R370" s="128" t="n"/>
      <c r="S370" s="128" t="n"/>
      <c r="T370" s="128" t="n"/>
    </row>
    <row r="371" ht="14.25" customHeight="1">
      <c r="A371" s="429" t="n"/>
      <c r="B371" s="429" t="n"/>
      <c r="C371" s="429" t="n"/>
      <c r="D371" s="429" t="n"/>
      <c r="E371" s="460" t="inlineStr">
        <is>
          <t>Md Arshad Miah</t>
        </is>
      </c>
      <c r="F371" s="136" t="inlineStr">
        <is>
          <t>Soft Service</t>
        </is>
      </c>
      <c r="G371" s="425" t="inlineStr">
        <is>
          <t>-</t>
        </is>
      </c>
      <c r="H371" s="425" t="n">
        <v>2629943586</v>
      </c>
      <c r="I371" s="425" t="inlineStr">
        <is>
          <t>Approved</t>
        </is>
      </c>
      <c r="J371" s="496" t="n">
        <v>46068</v>
      </c>
      <c r="K371" s="425" t="inlineStr">
        <is>
          <t>SCC ( RENTAL )</t>
        </is>
      </c>
      <c r="L371" s="29" t="inlineStr">
        <is>
          <t>-</t>
        </is>
      </c>
      <c r="N371" s="128" t="n"/>
      <c r="O371" s="128" t="n"/>
      <c r="P371" s="128" t="n"/>
      <c r="Q371" s="128" t="n"/>
      <c r="R371" s="128" t="n"/>
      <c r="S371" s="128" t="n"/>
      <c r="T371" s="128" t="n"/>
    </row>
    <row r="372" ht="14.25" customHeight="1">
      <c r="A372" s="429" t="n"/>
      <c r="B372" s="429" t="n"/>
      <c r="C372" s="429" t="n"/>
      <c r="D372" s="429" t="n"/>
      <c r="E372" s="460" t="inlineStr">
        <is>
          <t>MD KAMAL  HOSSAIN</t>
        </is>
      </c>
      <c r="F372" s="136" t="inlineStr">
        <is>
          <t>Soft Service</t>
        </is>
      </c>
      <c r="G372" s="425" t="n">
        <v>1240</v>
      </c>
      <c r="H372" s="425" t="inlineStr">
        <is>
          <t>2586127660</t>
        </is>
      </c>
      <c r="I372" s="425" t="inlineStr">
        <is>
          <t>Approved</t>
        </is>
      </c>
      <c r="J372" s="496" t="n">
        <v>45595</v>
      </c>
      <c r="K372" s="425" t="inlineStr">
        <is>
          <t>UCC RENTAL</t>
        </is>
      </c>
      <c r="L372" s="29" t="n"/>
      <c r="N372" s="128" t="n"/>
      <c r="O372" s="128" t="n"/>
      <c r="P372" s="128" t="n"/>
      <c r="Q372" s="128" t="n"/>
      <c r="R372" s="128" t="n"/>
      <c r="S372" s="128" t="n"/>
      <c r="T372" s="128" t="n"/>
    </row>
    <row r="373" ht="14.25" customHeight="1">
      <c r="A373" s="429" t="n"/>
      <c r="B373" s="429" t="n"/>
      <c r="C373" s="429" t="n"/>
      <c r="D373" s="429" t="n"/>
      <c r="E373" s="460" t="inlineStr">
        <is>
          <t>MD ABDUR RAHIM</t>
        </is>
      </c>
      <c r="F373" s="136" t="inlineStr">
        <is>
          <t>Soft Service</t>
        </is>
      </c>
      <c r="G373" s="425" t="inlineStr">
        <is>
          <t>JWD-2337</t>
        </is>
      </c>
      <c r="H373" s="425" t="inlineStr">
        <is>
          <t>2618999763</t>
        </is>
      </c>
      <c r="I373" s="425" t="inlineStr">
        <is>
          <t>Approved</t>
        </is>
      </c>
      <c r="J373" s="496" t="n">
        <v>46199</v>
      </c>
      <c r="K373" s="425" t="inlineStr">
        <is>
          <t>AB-HOOR RENTAL</t>
        </is>
      </c>
      <c r="L373" s="29" t="n"/>
      <c r="N373" s="128" t="n"/>
      <c r="O373" s="128" t="n"/>
      <c r="P373" s="128" t="n"/>
      <c r="Q373" s="128" t="n"/>
      <c r="R373" s="128" t="n"/>
      <c r="S373" s="128" t="n"/>
      <c r="T373" s="128" t="n"/>
    </row>
    <row r="374" ht="14.25" customHeight="1">
      <c r="A374" s="429" t="n"/>
      <c r="B374" s="429" t="n"/>
      <c r="C374" s="429" t="n"/>
      <c r="D374" s="429" t="n"/>
      <c r="E374" s="460" t="inlineStr">
        <is>
          <t>Mohammad Naseem</t>
        </is>
      </c>
      <c r="F374" s="136" t="inlineStr">
        <is>
          <t>Soft Service</t>
        </is>
      </c>
      <c r="G374" s="425" t="inlineStr">
        <is>
          <t>L0641</t>
        </is>
      </c>
      <c r="H374" s="425" t="n">
        <v>2629823622</v>
      </c>
      <c r="I374" s="425" t="inlineStr">
        <is>
          <t>Approved</t>
        </is>
      </c>
      <c r="J374" s="496" t="n">
        <v>46163</v>
      </c>
      <c r="K374" s="425" t="inlineStr">
        <is>
          <t>MEHAN RENTAL</t>
        </is>
      </c>
      <c r="L374" s="29" t="inlineStr">
        <is>
          <t>-</t>
        </is>
      </c>
      <c r="N374" s="128" t="n"/>
      <c r="O374" s="128" t="n"/>
      <c r="P374" s="128" t="n"/>
      <c r="Q374" s="128" t="n"/>
      <c r="R374" s="128" t="n"/>
      <c r="S374" s="128" t="n"/>
      <c r="T374" s="128" t="n"/>
    </row>
    <row r="375" ht="14.25" customHeight="1">
      <c r="A375" s="429" t="n"/>
      <c r="B375" s="429" t="n"/>
      <c r="C375" s="429" t="n"/>
      <c r="D375" s="429" t="n"/>
      <c r="E375" s="460" t="inlineStr">
        <is>
          <t>Irfan Miya</t>
        </is>
      </c>
      <c r="F375" s="136" t="inlineStr">
        <is>
          <t>Soft Service</t>
        </is>
      </c>
      <c r="G375" s="425" t="inlineStr">
        <is>
          <t>L01299</t>
        </is>
      </c>
      <c r="H375" s="425" t="n">
        <v>2636631687</v>
      </c>
      <c r="I375" s="425" t="inlineStr">
        <is>
          <t>Approved</t>
        </is>
      </c>
      <c r="J375" s="496" t="n">
        <v>46163</v>
      </c>
      <c r="K375" s="425" t="inlineStr">
        <is>
          <t>MEHAN RENTAL</t>
        </is>
      </c>
      <c r="L375" s="29" t="inlineStr">
        <is>
          <t>-</t>
        </is>
      </c>
      <c r="N375" s="128" t="n"/>
      <c r="O375" s="128" t="n"/>
      <c r="P375" s="128" t="n"/>
      <c r="Q375" s="128" t="n"/>
      <c r="R375" s="128" t="n"/>
      <c r="S375" s="128" t="n"/>
      <c r="T375" s="128" t="n"/>
    </row>
    <row r="376" ht="14.25" customHeight="1">
      <c r="A376" s="429" t="n"/>
      <c r="B376" s="429" t="n"/>
      <c r="C376" s="429" t="n"/>
      <c r="D376" s="429" t="n"/>
      <c r="E376" s="460" t="inlineStr">
        <is>
          <t>Mo Ateek Khan</t>
        </is>
      </c>
      <c r="F376" s="136" t="inlineStr">
        <is>
          <t>Soft Service</t>
        </is>
      </c>
      <c r="G376" s="425" t="inlineStr">
        <is>
          <t>L01320</t>
        </is>
      </c>
      <c r="H376" s="425" t="n">
        <v>2636632628</v>
      </c>
      <c r="I376" s="425" t="inlineStr">
        <is>
          <t>Approved</t>
        </is>
      </c>
      <c r="J376" s="496" t="n">
        <v>46163</v>
      </c>
      <c r="K376" s="425" t="inlineStr">
        <is>
          <t>MEHAN RENTAL</t>
        </is>
      </c>
      <c r="L376" s="29" t="inlineStr">
        <is>
          <t>-</t>
        </is>
      </c>
      <c r="N376" s="128" t="n"/>
      <c r="O376" s="128" t="n"/>
      <c r="P376" s="128" t="n"/>
      <c r="Q376" s="128" t="n"/>
      <c r="R376" s="128" t="n"/>
      <c r="S376" s="128" t="n"/>
      <c r="T376" s="128" t="n"/>
    </row>
    <row r="377" ht="14.25" customHeight="1">
      <c r="A377" s="429" t="n"/>
      <c r="B377" s="429" t="n"/>
      <c r="C377" s="429" t="n"/>
      <c r="D377" s="429" t="n"/>
      <c r="E377" s="460" t="inlineStr">
        <is>
          <t>Sahzad Shekh</t>
        </is>
      </c>
      <c r="F377" s="136" t="inlineStr">
        <is>
          <t>Soft Service</t>
        </is>
      </c>
      <c r="G377" s="425" t="inlineStr">
        <is>
          <t>L01305</t>
        </is>
      </c>
      <c r="H377" s="425" t="n">
        <v>2636632008</v>
      </c>
      <c r="I377" s="425" t="inlineStr">
        <is>
          <t>Approved</t>
        </is>
      </c>
      <c r="J377" s="496" t="n">
        <v>46163</v>
      </c>
      <c r="K377" s="425" t="inlineStr">
        <is>
          <t>MEHAN RENTAL</t>
        </is>
      </c>
      <c r="L377" s="29" t="inlineStr">
        <is>
          <t>-</t>
        </is>
      </c>
      <c r="N377" s="128" t="n"/>
      <c r="O377" s="128" t="n"/>
      <c r="P377" s="128" t="n"/>
      <c r="Q377" s="128" t="n"/>
      <c r="R377" s="128" t="n"/>
      <c r="S377" s="128" t="n"/>
      <c r="T377" s="128" t="n"/>
    </row>
    <row r="378" ht="14.25" customHeight="1">
      <c r="A378" s="429" t="n"/>
      <c r="B378" s="429" t="n"/>
      <c r="C378" s="429" t="n"/>
      <c r="D378" s="429" t="n"/>
      <c r="E378" s="460" t="inlineStr">
        <is>
          <t>Md Biblab Miah</t>
        </is>
      </c>
      <c r="F378" s="136" t="inlineStr">
        <is>
          <t>Soft Service</t>
        </is>
      </c>
      <c r="G378" s="425" t="inlineStr">
        <is>
          <t> </t>
        </is>
      </c>
      <c r="H378" s="425" t="n">
        <v>2614952428</v>
      </c>
      <c r="I378" s="425" t="inlineStr">
        <is>
          <t>Approved</t>
        </is>
      </c>
      <c r="J378" s="496" t="n">
        <v>46153</v>
      </c>
      <c r="K378" s="425" t="inlineStr">
        <is>
          <t>Telal Alhamra (Rental)</t>
        </is>
      </c>
      <c r="L378" s="29" t="inlineStr">
        <is>
          <t>-</t>
        </is>
      </c>
      <c r="N378" s="128" t="n"/>
      <c r="O378" s="128" t="n"/>
      <c r="P378" s="128" t="n"/>
      <c r="Q378" s="128" t="n"/>
      <c r="R378" s="128" t="n"/>
      <c r="S378" s="128" t="n"/>
      <c r="T378" s="128" t="n"/>
    </row>
    <row r="379" ht="14.25" customHeight="1">
      <c r="A379" s="429" t="n"/>
      <c r="B379" s="429" t="n"/>
      <c r="C379" s="429" t="n"/>
      <c r="D379" s="429" t="n"/>
      <c r="E379" s="460" t="inlineStr">
        <is>
          <t xml:space="preserve">Riaz Mia </t>
        </is>
      </c>
      <c r="F379" s="136" t="inlineStr">
        <is>
          <t>Soft Service</t>
        </is>
      </c>
      <c r="G379" s="425" t="inlineStr">
        <is>
          <t> </t>
        </is>
      </c>
      <c r="H379" s="425" t="n">
        <v>2629604535</v>
      </c>
      <c r="I379" s="425" t="inlineStr">
        <is>
          <t>Approved</t>
        </is>
      </c>
      <c r="J379" s="496" t="n">
        <v>46193</v>
      </c>
      <c r="K379" s="425" t="inlineStr">
        <is>
          <t>JAWAD AL DUWAIL RENTAL</t>
        </is>
      </c>
      <c r="L379" s="29" t="inlineStr">
        <is>
          <t>-</t>
        </is>
      </c>
      <c r="N379" s="128" t="n"/>
      <c r="O379" s="128" t="n"/>
      <c r="P379" s="128" t="n"/>
      <c r="Q379" s="128" t="n"/>
      <c r="R379" s="128" t="n"/>
      <c r="S379" s="128" t="n"/>
      <c r="T379" s="128" t="n"/>
    </row>
    <row r="380" ht="14.25" customHeight="1">
      <c r="A380" s="429" t="n"/>
      <c r="B380" s="429" t="n"/>
      <c r="C380" s="429" t="n"/>
      <c r="D380" s="429" t="n"/>
      <c r="E380" s="460" t="inlineStr">
        <is>
          <t>Md Robiul Auwal Kakon</t>
        </is>
      </c>
      <c r="F380" s="136" t="inlineStr">
        <is>
          <t>Soft Service</t>
        </is>
      </c>
      <c r="G380" s="425" t="inlineStr">
        <is>
          <t> </t>
        </is>
      </c>
      <c r="H380" s="425" t="n">
        <v>2629596129</v>
      </c>
      <c r="I380" s="425" t="inlineStr">
        <is>
          <t>Approved</t>
        </is>
      </c>
      <c r="J380" s="496" t="n">
        <v>46193</v>
      </c>
      <c r="K380" s="425" t="inlineStr">
        <is>
          <t>JAWAD AL DUWAIL RENTAL</t>
        </is>
      </c>
      <c r="L380" s="29" t="inlineStr">
        <is>
          <t>-</t>
        </is>
      </c>
      <c r="N380" s="128" t="n"/>
      <c r="O380" s="128" t="n"/>
      <c r="P380" s="128" t="n"/>
      <c r="Q380" s="128" t="n"/>
      <c r="R380" s="128" t="n"/>
      <c r="S380" s="128" t="n"/>
      <c r="T380" s="128" t="n"/>
    </row>
    <row r="381" ht="14.25" customHeight="1">
      <c r="A381" s="429" t="n"/>
      <c r="B381" s="429" t="n"/>
      <c r="C381" s="429" t="n"/>
      <c r="D381" s="429" t="n"/>
      <c r="E381" s="460" t="inlineStr">
        <is>
          <t xml:space="preserve">Md Shahin Alom </t>
        </is>
      </c>
      <c r="F381" s="136" t="inlineStr">
        <is>
          <t>Soft Service</t>
        </is>
      </c>
      <c r="G381" s="425" t="inlineStr">
        <is>
          <t> </t>
        </is>
      </c>
      <c r="H381" s="425" t="n">
        <v>2635889781</v>
      </c>
      <c r="I381" s="425" t="inlineStr">
        <is>
          <t>Approved</t>
        </is>
      </c>
      <c r="J381" s="496" t="n">
        <v>46193</v>
      </c>
      <c r="K381" s="425" t="inlineStr">
        <is>
          <t>JAWAD AL DUWAIL RENTAL</t>
        </is>
      </c>
      <c r="L381" s="29" t="inlineStr">
        <is>
          <t>-</t>
        </is>
      </c>
      <c r="N381" s="128" t="n"/>
      <c r="O381" s="128" t="n"/>
      <c r="P381" s="128" t="n"/>
      <c r="Q381" s="128" t="n"/>
      <c r="R381" s="128" t="n"/>
      <c r="S381" s="128" t="n"/>
      <c r="T381" s="128" t="n"/>
    </row>
    <row r="382" ht="14.25" customHeight="1">
      <c r="A382" s="429" t="n"/>
      <c r="B382" s="429" t="n"/>
      <c r="C382" s="429" t="n"/>
      <c r="D382" s="429" t="n"/>
      <c r="E382" s="460" t="inlineStr">
        <is>
          <t>Md Hanif Hossen Meride</t>
        </is>
      </c>
      <c r="F382" s="136" t="inlineStr">
        <is>
          <t>Soft Service</t>
        </is>
      </c>
      <c r="G382" s="425" t="inlineStr">
        <is>
          <t> </t>
        </is>
      </c>
      <c r="H382" s="425" t="n">
        <v>2635974146</v>
      </c>
      <c r="I382" s="425" t="inlineStr">
        <is>
          <t>Approved</t>
        </is>
      </c>
      <c r="J382" s="496" t="n">
        <v>46193</v>
      </c>
      <c r="K382" s="425" t="inlineStr">
        <is>
          <t>JAWAD AL DUWAIL RENTAL</t>
        </is>
      </c>
      <c r="L382" s="29" t="inlineStr">
        <is>
          <t>-</t>
        </is>
      </c>
      <c r="N382" s="128" t="n"/>
      <c r="O382" s="128" t="n"/>
      <c r="P382" s="128" t="n"/>
      <c r="Q382" s="128" t="n"/>
      <c r="R382" s="128" t="n"/>
      <c r="S382" s="128" t="n"/>
      <c r="T382" s="128" t="n"/>
    </row>
    <row r="383" ht="14.25" customHeight="1">
      <c r="A383" s="429" t="n"/>
      <c r="B383" s="429" t="n"/>
      <c r="C383" s="429" t="n"/>
      <c r="D383" s="429" t="n"/>
      <c r="E383" s="460" t="inlineStr">
        <is>
          <t xml:space="preserve">Pallab Kumar Shil </t>
        </is>
      </c>
      <c r="F383" s="136" t="inlineStr">
        <is>
          <t>Soft Service</t>
        </is>
      </c>
      <c r="G383" s="425" t="inlineStr">
        <is>
          <t> </t>
        </is>
      </c>
      <c r="H383" s="425" t="n">
        <v>2626923581</v>
      </c>
      <c r="I383" s="425" t="inlineStr">
        <is>
          <t>Approved</t>
        </is>
      </c>
      <c r="J383" s="496" t="n">
        <v>46193</v>
      </c>
      <c r="K383" s="425" t="inlineStr">
        <is>
          <t>JAWAD AL DUWAIL RENTAL</t>
        </is>
      </c>
      <c r="L383" s="29" t="inlineStr">
        <is>
          <t>-</t>
        </is>
      </c>
      <c r="N383" s="128" t="n"/>
      <c r="O383" s="128" t="n"/>
      <c r="P383" s="128" t="n"/>
      <c r="Q383" s="128" t="n"/>
      <c r="R383" s="128" t="n"/>
      <c r="S383" s="128" t="n"/>
      <c r="T383" s="128" t="n"/>
    </row>
    <row r="384" ht="14.25" customHeight="1">
      <c r="A384" s="429" t="n"/>
      <c r="B384" s="429" t="n"/>
      <c r="C384" s="429" t="n"/>
      <c r="D384" s="429" t="n"/>
      <c r="E384" s="460" t="inlineStr">
        <is>
          <t xml:space="preserve">Md Lal Mia </t>
        </is>
      </c>
      <c r="F384" s="136" t="inlineStr">
        <is>
          <t>Soft Service</t>
        </is>
      </c>
      <c r="G384" s="425" t="inlineStr">
        <is>
          <t> </t>
        </is>
      </c>
      <c r="H384" s="425" t="n">
        <v>2637685666</v>
      </c>
      <c r="I384" s="425" t="inlineStr">
        <is>
          <t>Approved</t>
        </is>
      </c>
      <c r="J384" s="496" t="n">
        <v>46193</v>
      </c>
      <c r="K384" s="425" t="inlineStr">
        <is>
          <t>JAWAD AL DUWAIL RENTAL</t>
        </is>
      </c>
      <c r="L384" s="29" t="inlineStr">
        <is>
          <t>-</t>
        </is>
      </c>
      <c r="N384" s="128" t="n"/>
      <c r="O384" s="128" t="n"/>
      <c r="P384" s="128" t="n"/>
      <c r="Q384" s="128" t="n"/>
      <c r="R384" s="128" t="n"/>
      <c r="S384" s="128" t="n"/>
      <c r="T384" s="128" t="n"/>
    </row>
    <row r="385" ht="14.25" customHeight="1">
      <c r="A385" s="429" t="n"/>
      <c r="B385" s="429" t="n"/>
      <c r="C385" s="429" t="n"/>
      <c r="D385" s="429" t="n"/>
      <c r="E385" s="460" t="inlineStr">
        <is>
          <t xml:space="preserve">Al Nahian </t>
        </is>
      </c>
      <c r="F385" s="136" t="inlineStr">
        <is>
          <t>Soft Service</t>
        </is>
      </c>
      <c r="G385" s="425" t="inlineStr">
        <is>
          <t> </t>
        </is>
      </c>
      <c r="H385" s="425" t="n">
        <v>2634192229</v>
      </c>
      <c r="I385" s="425" t="inlineStr">
        <is>
          <t>Approved</t>
        </is>
      </c>
      <c r="J385" s="496" t="n">
        <v>46193</v>
      </c>
      <c r="K385" s="425" t="inlineStr">
        <is>
          <t>JAWAD AL DUWAIL RENTAL</t>
        </is>
      </c>
      <c r="L385" s="29" t="inlineStr">
        <is>
          <t>-</t>
        </is>
      </c>
      <c r="N385" s="128" t="n"/>
      <c r="O385" s="128" t="n"/>
      <c r="P385" s="128" t="n"/>
      <c r="Q385" s="128" t="n"/>
      <c r="R385" s="128" t="n"/>
      <c r="S385" s="128" t="n"/>
      <c r="T385" s="128" t="n"/>
    </row>
    <row r="386" ht="14.25" customHeight="1">
      <c r="A386" s="429" t="n"/>
      <c r="B386" s="429" t="n"/>
      <c r="C386" s="429" t="n"/>
      <c r="D386" s="429" t="n"/>
      <c r="E386" s="460" t="inlineStr">
        <is>
          <t xml:space="preserve">Farhad Motira Rahman </t>
        </is>
      </c>
      <c r="F386" s="136" t="inlineStr">
        <is>
          <t>Soft Service</t>
        </is>
      </c>
      <c r="G386" s="425" t="inlineStr">
        <is>
          <t> </t>
        </is>
      </c>
      <c r="H386" s="425" t="n">
        <v>2637519022</v>
      </c>
      <c r="I386" s="425" t="inlineStr">
        <is>
          <t>Approved</t>
        </is>
      </c>
      <c r="J386" s="496" t="n">
        <v>46193</v>
      </c>
      <c r="K386" s="425" t="inlineStr">
        <is>
          <t>JAWAD AL DUWAIL RENTAL</t>
        </is>
      </c>
      <c r="L386" s="29" t="inlineStr">
        <is>
          <t>-</t>
        </is>
      </c>
      <c r="N386" s="128" t="n"/>
      <c r="O386" s="128" t="n"/>
      <c r="P386" s="128" t="n"/>
      <c r="Q386" s="128" t="n"/>
      <c r="R386" s="128" t="n"/>
      <c r="S386" s="128" t="n"/>
      <c r="T386" s="128" t="n"/>
    </row>
    <row r="387" ht="14.25" customHeight="1">
      <c r="A387" s="429" t="n"/>
      <c r="B387" s="429" t="n"/>
      <c r="C387" s="429" t="n"/>
      <c r="D387" s="429" t="n"/>
      <c r="E387" s="460" t="inlineStr">
        <is>
          <t xml:space="preserve">Md Babul </t>
        </is>
      </c>
      <c r="F387" s="136" t="inlineStr">
        <is>
          <t>Soft Service</t>
        </is>
      </c>
      <c r="G387" s="425" t="inlineStr">
        <is>
          <t> </t>
        </is>
      </c>
      <c r="H387" s="425" t="n">
        <v>2632568677</v>
      </c>
      <c r="I387" s="425" t="inlineStr">
        <is>
          <t>Approved</t>
        </is>
      </c>
      <c r="J387" s="496" t="n">
        <v>46193</v>
      </c>
      <c r="K387" s="425" t="inlineStr">
        <is>
          <t>JAWAD AL DUWAIL RENTAL</t>
        </is>
      </c>
      <c r="L387" s="29" t="inlineStr">
        <is>
          <t>-</t>
        </is>
      </c>
      <c r="N387" s="128" t="n"/>
      <c r="O387" s="128" t="n"/>
      <c r="P387" s="128" t="n"/>
      <c r="Q387" s="128" t="n"/>
      <c r="R387" s="128" t="n"/>
      <c r="S387" s="128" t="n"/>
      <c r="T387" s="128" t="n"/>
    </row>
    <row r="388" ht="14.25" customHeight="1">
      <c r="A388" s="429" t="n"/>
      <c r="B388" s="429" t="n"/>
      <c r="C388" s="429" t="n"/>
      <c r="D388" s="429" t="n"/>
      <c r="E388" s="460" t="inlineStr">
        <is>
          <t>Md Mamun Howlader</t>
        </is>
      </c>
      <c r="F388" s="136" t="inlineStr">
        <is>
          <t>Soft Service</t>
        </is>
      </c>
      <c r="G388" s="425" t="inlineStr">
        <is>
          <t> </t>
        </is>
      </c>
      <c r="H388" s="425" t="n">
        <v>2627731132</v>
      </c>
      <c r="I388" s="425" t="inlineStr">
        <is>
          <t>Approved</t>
        </is>
      </c>
      <c r="J388" s="496" t="n">
        <v>46193</v>
      </c>
      <c r="K388" s="425" t="inlineStr">
        <is>
          <t>JAWAD AL DUWAIL RENTAL</t>
        </is>
      </c>
      <c r="L388" s="29" t="inlineStr">
        <is>
          <t>-</t>
        </is>
      </c>
      <c r="N388" s="128" t="n"/>
      <c r="O388" s="128" t="n"/>
      <c r="P388" s="128" t="n"/>
      <c r="Q388" s="128" t="n"/>
      <c r="R388" s="128" t="n"/>
      <c r="S388" s="128" t="n"/>
      <c r="T388" s="128" t="n"/>
    </row>
    <row r="389" ht="14.25" customHeight="1">
      <c r="A389" s="429" t="n"/>
      <c r="B389" s="429" t="n"/>
      <c r="C389" s="429" t="n"/>
      <c r="D389" s="429" t="n"/>
      <c r="E389" s="460" t="inlineStr">
        <is>
          <t xml:space="preserve">Md Rasel Mia </t>
        </is>
      </c>
      <c r="F389" s="136" t="inlineStr">
        <is>
          <t>Soft Service</t>
        </is>
      </c>
      <c r="G389" s="425" t="inlineStr">
        <is>
          <t> </t>
        </is>
      </c>
      <c r="H389" s="425" t="n">
        <v>2590172272</v>
      </c>
      <c r="I389" s="425" t="inlineStr">
        <is>
          <t>Approved</t>
        </is>
      </c>
      <c r="J389" s="496" t="n">
        <v>46193</v>
      </c>
      <c r="K389" s="425" t="inlineStr">
        <is>
          <t>JAWAD AL DUWAIL RENTAL</t>
        </is>
      </c>
      <c r="L389" s="29" t="inlineStr">
        <is>
          <t>-</t>
        </is>
      </c>
      <c r="N389" s="128" t="n"/>
      <c r="O389" s="128" t="n"/>
      <c r="P389" s="128" t="n"/>
      <c r="Q389" s="128" t="n"/>
      <c r="R389" s="128" t="n"/>
      <c r="S389" s="128" t="n"/>
      <c r="T389" s="128" t="n"/>
    </row>
    <row r="390" ht="14.25" customHeight="1">
      <c r="A390" s="429" t="n"/>
      <c r="B390" s="429" t="n"/>
      <c r="C390" s="429" t="n"/>
      <c r="D390" s="429" t="n"/>
      <c r="E390" s="460" t="inlineStr">
        <is>
          <t xml:space="preserve">Ashiqur Rahaman Roni </t>
        </is>
      </c>
      <c r="F390" s="136" t="inlineStr">
        <is>
          <t>Soft Service</t>
        </is>
      </c>
      <c r="G390" s="425" t="inlineStr">
        <is>
          <t> </t>
        </is>
      </c>
      <c r="H390" s="425" t="n">
        <v>2632536336</v>
      </c>
      <c r="I390" s="425" t="inlineStr">
        <is>
          <t>Approved</t>
        </is>
      </c>
      <c r="J390" s="496" t="n">
        <v>46194</v>
      </c>
      <c r="K390" s="425" t="inlineStr">
        <is>
          <t>JAWAD AL DUWAIL RENTAL</t>
        </is>
      </c>
      <c r="L390" s="29" t="inlineStr">
        <is>
          <t>-</t>
        </is>
      </c>
      <c r="N390" s="128" t="n"/>
      <c r="O390" s="128" t="n"/>
      <c r="P390" s="128" t="n"/>
      <c r="Q390" s="128" t="n"/>
      <c r="R390" s="128" t="n"/>
      <c r="S390" s="128" t="n"/>
      <c r="T390" s="128" t="n"/>
    </row>
    <row r="391" ht="14.25" customHeight="1">
      <c r="A391" s="429" t="n"/>
      <c r="B391" s="429" t="n"/>
      <c r="C391" s="429" t="n"/>
      <c r="D391" s="429" t="n"/>
      <c r="E391" s="460" t="n"/>
      <c r="F391" s="136" t="inlineStr">
        <is>
          <t>Soft Service</t>
        </is>
      </c>
      <c r="G391" s="425" t="inlineStr">
        <is>
          <t>-</t>
        </is>
      </c>
      <c r="H391" s="425" t="n"/>
      <c r="I391" s="425" t="inlineStr">
        <is>
          <t>Vacant</t>
        </is>
      </c>
      <c r="J391" s="496" t="n"/>
      <c r="K391" s="425" t="n"/>
      <c r="L391" s="29" t="inlineStr">
        <is>
          <t>-</t>
        </is>
      </c>
      <c r="N391" s="128" t="n"/>
      <c r="O391" s="128" t="n"/>
      <c r="P391" s="128" t="n"/>
      <c r="Q391" s="128" t="n"/>
      <c r="R391" s="128" t="n"/>
      <c r="S391" s="128" t="n"/>
      <c r="T391" s="128" t="n"/>
    </row>
    <row r="392" ht="14.25" customHeight="1">
      <c r="A392" s="429" t="n"/>
      <c r="B392" s="429" t="n"/>
      <c r="C392" s="429" t="n"/>
      <c r="D392" s="429" t="n"/>
      <c r="E392" s="460" t="n"/>
      <c r="F392" s="136" t="inlineStr">
        <is>
          <t>Soft Service</t>
        </is>
      </c>
      <c r="G392" s="425" t="inlineStr">
        <is>
          <t>-</t>
        </is>
      </c>
      <c r="H392" s="425" t="n"/>
      <c r="I392" s="425" t="inlineStr">
        <is>
          <t>Vacant</t>
        </is>
      </c>
      <c r="J392" s="496" t="n"/>
      <c r="K392" s="425" t="n"/>
      <c r="L392" s="29" t="inlineStr">
        <is>
          <t>-</t>
        </is>
      </c>
      <c r="N392" s="128" t="n"/>
      <c r="O392" s="128" t="n"/>
      <c r="P392" s="128" t="n"/>
      <c r="Q392" s="128" t="n"/>
      <c r="R392" s="128" t="n"/>
      <c r="S392" s="128" t="n"/>
      <c r="T392" s="128" t="n"/>
    </row>
    <row r="393" ht="14.25" customHeight="1">
      <c r="A393" s="429" t="n"/>
      <c r="B393" s="429" t="n"/>
      <c r="C393" s="429" t="n"/>
      <c r="D393" s="429" t="n"/>
      <c r="E393" s="460" t="inlineStr">
        <is>
          <t>Arman Sorfa Mia</t>
        </is>
      </c>
      <c r="F393" s="136" t="inlineStr">
        <is>
          <t>Soft Service</t>
        </is>
      </c>
      <c r="G393" s="425" t="inlineStr">
        <is>
          <t>-</t>
        </is>
      </c>
      <c r="H393" s="425" t="n">
        <v>2624017477</v>
      </c>
      <c r="I393" s="425" t="inlineStr">
        <is>
          <t>Approved</t>
        </is>
      </c>
      <c r="J393" s="496" t="n">
        <v>46198</v>
      </c>
      <c r="K393" s="425" t="inlineStr">
        <is>
          <t>JAWAD AL DUWAIL RENTAL</t>
        </is>
      </c>
      <c r="L393" s="29" t="inlineStr">
        <is>
          <t>-</t>
        </is>
      </c>
      <c r="N393" s="128" t="n"/>
      <c r="O393" s="128" t="n"/>
      <c r="P393" s="128" t="n"/>
      <c r="Q393" s="128" t="n"/>
      <c r="R393" s="128" t="n"/>
      <c r="S393" s="128" t="n"/>
      <c r="T393" s="128" t="n"/>
    </row>
    <row r="394" ht="14.25" customHeight="1">
      <c r="A394" s="429" t="n"/>
      <c r="B394" s="429" t="n"/>
      <c r="C394" s="429" t="n"/>
      <c r="D394" s="429" t="n"/>
      <c r="E394" s="460" t="inlineStr">
        <is>
          <t>Md Abdur Rahim</t>
        </is>
      </c>
      <c r="F394" s="136" t="inlineStr">
        <is>
          <t>Soft Service</t>
        </is>
      </c>
      <c r="G394" s="425" t="inlineStr">
        <is>
          <t>-</t>
        </is>
      </c>
      <c r="H394" s="425" t="n">
        <v>2618349763</v>
      </c>
      <c r="I394" s="425" t="inlineStr">
        <is>
          <t>Approved</t>
        </is>
      </c>
      <c r="J394" s="496" t="n">
        <v>46199</v>
      </c>
      <c r="K394" s="425" t="inlineStr">
        <is>
          <t>JAWAD AL DUWAIL RENTAL</t>
        </is>
      </c>
      <c r="L394" s="29" t="inlineStr">
        <is>
          <t>-</t>
        </is>
      </c>
      <c r="N394" s="128" t="n"/>
      <c r="O394" s="128" t="n"/>
      <c r="P394" s="128" t="n"/>
      <c r="Q394" s="128" t="n"/>
      <c r="R394" s="128" t="n"/>
      <c r="S394" s="128" t="n"/>
      <c r="T394" s="128" t="n"/>
    </row>
    <row r="395" ht="15.75" customHeight="1">
      <c r="A395" s="431" t="n"/>
      <c r="B395" s="431" t="n"/>
      <c r="C395" s="431" t="n"/>
      <c r="D395" s="431" t="n"/>
      <c r="E395" s="460" t="inlineStr">
        <is>
          <t xml:space="preserve">MD Hassan </t>
        </is>
      </c>
      <c r="F395" s="136" t="inlineStr">
        <is>
          <t>Soft Service</t>
        </is>
      </c>
      <c r="G395" s="425" t="inlineStr">
        <is>
          <t>-</t>
        </is>
      </c>
      <c r="H395" s="425" t="n">
        <v>2618204867</v>
      </c>
      <c r="I395" s="425" t="inlineStr">
        <is>
          <t>Approved</t>
        </is>
      </c>
      <c r="J395" s="499" t="n"/>
      <c r="K395" s="425" t="inlineStr">
        <is>
          <t>AB-HOOR</t>
        </is>
      </c>
      <c r="L395" s="29" t="inlineStr">
        <is>
          <t>-</t>
        </is>
      </c>
      <c r="N395" s="128" t="n"/>
      <c r="O395" s="128" t="n"/>
      <c r="P395" s="128" t="n"/>
      <c r="Q395" s="128" t="n"/>
      <c r="R395" s="128" t="n"/>
      <c r="S395" s="128" t="n"/>
      <c r="T395" s="128" t="n"/>
    </row>
    <row r="396" ht="15.75" customHeight="1">
      <c r="A396" s="441" t="inlineStr">
        <is>
          <t>Laundry Driver</t>
        </is>
      </c>
      <c r="B396" s="441" t="n">
        <v>2</v>
      </c>
      <c r="C396" s="441">
        <f>COUNTIF(E396:E397,"&lt;&gt;")</f>
        <v/>
      </c>
      <c r="D396" s="441">
        <f>C396-B396</f>
        <v/>
      </c>
      <c r="E396" s="135" t="n"/>
      <c r="F396" s="136" t="inlineStr">
        <is>
          <t>Soft Service</t>
        </is>
      </c>
      <c r="G396" s="425" t="inlineStr">
        <is>
          <t>-</t>
        </is>
      </c>
      <c r="H396" s="425" t="inlineStr">
        <is>
          <t>-</t>
        </is>
      </c>
      <c r="I396" s="425" t="inlineStr">
        <is>
          <t>Vacant</t>
        </is>
      </c>
      <c r="J396" s="499" t="n"/>
      <c r="K396" s="425" t="inlineStr">
        <is>
          <t>-</t>
        </is>
      </c>
      <c r="L396" s="29" t="inlineStr">
        <is>
          <t>-</t>
        </is>
      </c>
      <c r="N396" s="128" t="n"/>
      <c r="O396" s="128" t="n"/>
      <c r="P396" s="128" t="n"/>
      <c r="Q396" s="128" t="n"/>
      <c r="R396" s="128" t="n"/>
      <c r="S396" s="128" t="n"/>
      <c r="T396" s="128" t="n"/>
    </row>
    <row r="397" ht="15.75" customHeight="1">
      <c r="A397" s="431" t="n"/>
      <c r="B397" s="431" t="n"/>
      <c r="C397" s="431" t="n"/>
      <c r="D397" s="431" t="n"/>
      <c r="E397" s="135" t="n"/>
      <c r="F397" s="136" t="inlineStr">
        <is>
          <t>Soft Service</t>
        </is>
      </c>
      <c r="G397" s="425" t="inlineStr">
        <is>
          <t>-</t>
        </is>
      </c>
      <c r="H397" s="425" t="inlineStr">
        <is>
          <t>-</t>
        </is>
      </c>
      <c r="I397" s="425" t="inlineStr">
        <is>
          <t>Vacant</t>
        </is>
      </c>
      <c r="J397" s="499" t="n"/>
      <c r="K397" s="425" t="inlineStr">
        <is>
          <t>-</t>
        </is>
      </c>
      <c r="L397" s="29" t="inlineStr">
        <is>
          <t>-</t>
        </is>
      </c>
      <c r="N397" s="128" t="n"/>
      <c r="O397" s="128" t="n"/>
      <c r="P397" s="128" t="n"/>
      <c r="Q397" s="128" t="n"/>
      <c r="R397" s="128" t="n"/>
      <c r="S397" s="128" t="n"/>
      <c r="T397" s="128" t="n"/>
    </row>
    <row r="398" ht="26.25" customHeight="1">
      <c r="A398" s="36" t="inlineStr">
        <is>
          <t>Total Team 
Laundry Services</t>
        </is>
      </c>
      <c r="B398" s="36" t="inlineStr">
        <is>
          <t>Contractual Requirement</t>
        </is>
      </c>
      <c r="C398" s="36" t="inlineStr">
        <is>
          <t>Approved</t>
        </is>
      </c>
      <c r="D398" s="36" t="inlineStr">
        <is>
          <t>Vacant Position</t>
        </is>
      </c>
      <c r="E398" s="38" t="inlineStr">
        <is>
          <t>Rejected</t>
        </is>
      </c>
      <c r="F398" s="38" t="inlineStr">
        <is>
          <t xml:space="preserve">Additional </t>
        </is>
      </c>
      <c r="G398" s="38" t="inlineStr">
        <is>
          <t>ID</t>
        </is>
      </c>
      <c r="H398" s="38" t="inlineStr">
        <is>
          <t>Iqama</t>
        </is>
      </c>
      <c r="I398" s="58" t="inlineStr">
        <is>
          <t>Status</t>
        </is>
      </c>
      <c r="J398" s="500" t="n"/>
      <c r="K398" s="39" t="n"/>
      <c r="L398" s="38" t="inlineStr">
        <is>
          <t>Remark/Notes</t>
        </is>
      </c>
      <c r="N398" s="128" t="n"/>
      <c r="O398" s="128" t="n"/>
      <c r="P398" s="128" t="n"/>
      <c r="Q398" s="128" t="n"/>
      <c r="R398" s="128" t="n"/>
      <c r="S398" s="128" t="n"/>
      <c r="T398" s="128" t="n"/>
    </row>
    <row r="399" ht="15.75" customHeight="1">
      <c r="A399" s="36">
        <f>COUNTIF(E356:E397,"&lt;&gt;")</f>
        <v/>
      </c>
      <c r="B399" s="36">
        <f>SUM(B161:B397)</f>
        <v/>
      </c>
      <c r="C399" s="36">
        <f>COUNTIF(I161:I397,"Approved")</f>
        <v/>
      </c>
      <c r="D399" s="36">
        <f>COUNTIF(I161:I397,"Vacant")</f>
        <v/>
      </c>
      <c r="E399" s="38">
        <f>COUNTIF(I356:I397,"Rejected")</f>
        <v/>
      </c>
      <c r="F399" s="38">
        <f>COUNTIF(I161:I397,"Additional")</f>
        <v/>
      </c>
      <c r="G399" s="38">
        <f>COUNTIF(G161:G397,"-")</f>
        <v/>
      </c>
      <c r="H399" s="38">
        <f>COUNTIF(H161:H397,"-")</f>
        <v/>
      </c>
      <c r="I399" s="42" t="n"/>
      <c r="J399" s="501" t="n"/>
      <c r="K399" s="42" t="n"/>
      <c r="L399" s="42" t="n"/>
      <c r="N399" s="128" t="n"/>
      <c r="O399" s="128" t="n"/>
      <c r="P399" s="128" t="n"/>
      <c r="Q399" s="128" t="n"/>
      <c r="R399" s="128" t="n"/>
      <c r="S399" s="128" t="n"/>
      <c r="T399" s="128" t="n"/>
    </row>
    <row r="400" ht="15.75" customHeight="1">
      <c r="A400" s="176" t="n"/>
      <c r="B400" s="177" t="n"/>
      <c r="C400" s="177" t="n"/>
      <c r="D400" s="177" t="n"/>
      <c r="E400" s="135" t="n"/>
      <c r="I400" s="128" t="n"/>
      <c r="J400" s="515" t="n"/>
      <c r="K400" s="137" t="n"/>
      <c r="L400" s="178" t="n"/>
      <c r="N400" s="128" t="n"/>
      <c r="O400" s="128" t="n"/>
      <c r="P400" s="128" t="n"/>
      <c r="Q400" s="128" t="n"/>
      <c r="R400" s="128" t="n"/>
      <c r="S400" s="128" t="n"/>
      <c r="T400" s="128" t="n"/>
    </row>
    <row r="401" ht="26.25" customHeight="1">
      <c r="A401" s="133" t="inlineStr">
        <is>
          <t>Position</t>
        </is>
      </c>
      <c r="B401" s="9" t="inlineStr">
        <is>
          <t>Contractual Requirement</t>
        </is>
      </c>
      <c r="C401" s="9" t="inlineStr">
        <is>
          <t>On-Site Availability</t>
        </is>
      </c>
      <c r="D401" s="9" t="inlineStr">
        <is>
          <t>Vacant Position</t>
        </is>
      </c>
      <c r="E401" s="11" t="inlineStr">
        <is>
          <t>Emaployee Name</t>
        </is>
      </c>
      <c r="F401" s="11" t="inlineStr">
        <is>
          <t>Decipline</t>
        </is>
      </c>
      <c r="G401" s="12" t="inlineStr">
        <is>
          <t>ID</t>
        </is>
      </c>
      <c r="H401" s="11" t="inlineStr">
        <is>
          <t>Iqama</t>
        </is>
      </c>
      <c r="I401" s="12" t="inlineStr">
        <is>
          <t>Status</t>
        </is>
      </c>
      <c r="J401" s="503" t="n"/>
      <c r="K401" s="153" t="n"/>
      <c r="L401" s="12" t="inlineStr">
        <is>
          <t>Remarks/Notes</t>
        </is>
      </c>
      <c r="N401" s="128" t="n"/>
      <c r="O401" s="128" t="n"/>
      <c r="P401" s="128" t="n"/>
      <c r="Q401" s="128" t="n"/>
      <c r="R401" s="128" t="n"/>
      <c r="S401" s="128" t="n"/>
      <c r="T401" s="128" t="n"/>
    </row>
    <row r="402" ht="15.75" customHeight="1">
      <c r="A402" s="439" t="inlineStr">
        <is>
          <t>QHSE Manager</t>
        </is>
      </c>
      <c r="B402" s="439" t="n">
        <v>2</v>
      </c>
      <c r="C402" s="439">
        <f>COUNTIF(E402,"&lt;&gt;")</f>
        <v/>
      </c>
      <c r="D402" s="439">
        <f>C402-B402</f>
        <v/>
      </c>
      <c r="E402" s="460" t="inlineStr">
        <is>
          <t>Faisal Anwar Khan</t>
        </is>
      </c>
      <c r="F402" s="91" t="inlineStr">
        <is>
          <t>Health &amp; Safety</t>
        </is>
      </c>
      <c r="G402" s="425" t="inlineStr">
        <is>
          <t>-</t>
        </is>
      </c>
      <c r="H402" s="425" t="n">
        <v>2507389415</v>
      </c>
      <c r="I402" s="425" t="inlineStr">
        <is>
          <t>Approved</t>
        </is>
      </c>
      <c r="J402" s="496" t="n">
        <v>46092</v>
      </c>
      <c r="K402" s="425" t="inlineStr">
        <is>
          <t>FMCO</t>
        </is>
      </c>
      <c r="L402" s="19" t="inlineStr">
        <is>
          <t>-</t>
        </is>
      </c>
      <c r="N402" s="128" t="n"/>
      <c r="O402" s="128" t="n"/>
      <c r="P402" s="128" t="n"/>
      <c r="Q402" s="128" t="n"/>
      <c r="R402" s="128" t="n"/>
      <c r="S402" s="128" t="n"/>
      <c r="T402" s="128" t="n"/>
    </row>
    <row r="403" ht="15.75" customHeight="1">
      <c r="A403" s="431" t="n"/>
      <c r="B403" s="431" t="n"/>
      <c r="C403" s="431" t="n"/>
      <c r="D403" s="431" t="n"/>
      <c r="E403" s="135" t="n"/>
      <c r="F403" s="91" t="inlineStr">
        <is>
          <t>Health &amp; Safety</t>
        </is>
      </c>
      <c r="G403" s="425" t="inlineStr">
        <is>
          <t>-</t>
        </is>
      </c>
      <c r="H403" s="425" t="inlineStr">
        <is>
          <t>-</t>
        </is>
      </c>
      <c r="I403" s="425" t="inlineStr">
        <is>
          <t>Vacant</t>
        </is>
      </c>
      <c r="J403" s="499" t="n"/>
      <c r="K403" s="425" t="inlineStr">
        <is>
          <t>-</t>
        </is>
      </c>
      <c r="L403" s="19" t="inlineStr">
        <is>
          <t>-</t>
        </is>
      </c>
      <c r="N403" s="128" t="n"/>
      <c r="O403" s="128" t="n"/>
      <c r="P403" s="128" t="n"/>
      <c r="Q403" s="128" t="n"/>
      <c r="R403" s="128" t="n"/>
      <c r="S403" s="128" t="n"/>
      <c r="T403" s="128" t="n"/>
    </row>
    <row r="404" ht="15.75" customHeight="1">
      <c r="A404" s="441" t="inlineStr">
        <is>
          <t>Environmental Inspector</t>
        </is>
      </c>
      <c r="B404" s="441" t="n">
        <v>3</v>
      </c>
      <c r="C404" s="441">
        <f>COUNTIF(E404:E406,"&lt;&gt;")</f>
        <v/>
      </c>
      <c r="D404" s="441">
        <f>C404-B404</f>
        <v/>
      </c>
      <c r="E404" s="135" t="n"/>
      <c r="F404" s="91" t="inlineStr">
        <is>
          <t>Health &amp; Safety</t>
        </is>
      </c>
      <c r="G404" s="425" t="inlineStr">
        <is>
          <t>-</t>
        </is>
      </c>
      <c r="H404" s="425" t="inlineStr">
        <is>
          <t>-</t>
        </is>
      </c>
      <c r="I404" s="425" t="inlineStr">
        <is>
          <t>Vacant</t>
        </is>
      </c>
      <c r="J404" s="499" t="n"/>
      <c r="K404" s="425" t="inlineStr">
        <is>
          <t>-</t>
        </is>
      </c>
      <c r="L404" s="19" t="inlineStr">
        <is>
          <t>-</t>
        </is>
      </c>
      <c r="N404" s="128" t="n"/>
      <c r="O404" s="128" t="n"/>
      <c r="P404" s="128" t="n"/>
      <c r="Q404" s="128" t="n"/>
      <c r="R404" s="128" t="n"/>
      <c r="S404" s="128" t="n"/>
      <c r="T404" s="128" t="n"/>
    </row>
    <row r="405" ht="15.75" customHeight="1">
      <c r="A405" s="429" t="n"/>
      <c r="B405" s="429" t="n"/>
      <c r="C405" s="429" t="n"/>
      <c r="D405" s="429" t="n"/>
      <c r="E405" s="135" t="n"/>
      <c r="F405" s="91" t="inlineStr">
        <is>
          <t>Health &amp; Safety</t>
        </is>
      </c>
      <c r="G405" s="425" t="inlineStr">
        <is>
          <t>-</t>
        </is>
      </c>
      <c r="H405" s="425" t="inlineStr">
        <is>
          <t>-</t>
        </is>
      </c>
      <c r="I405" s="425" t="inlineStr">
        <is>
          <t>Vacant</t>
        </is>
      </c>
      <c r="J405" s="499" t="n"/>
      <c r="K405" s="425" t="inlineStr">
        <is>
          <t>-</t>
        </is>
      </c>
      <c r="L405" s="19" t="inlineStr">
        <is>
          <t>-</t>
        </is>
      </c>
      <c r="N405" s="128" t="n"/>
      <c r="O405" s="128" t="n"/>
      <c r="P405" s="128" t="n"/>
      <c r="Q405" s="128" t="n"/>
      <c r="R405" s="128" t="n"/>
      <c r="S405" s="128" t="n"/>
      <c r="T405" s="128" t="n"/>
    </row>
    <row r="406" ht="15.75" customHeight="1">
      <c r="A406" s="431" t="n"/>
      <c r="B406" s="431" t="n"/>
      <c r="C406" s="431" t="n"/>
      <c r="D406" s="431" t="n"/>
      <c r="E406" s="135" t="n"/>
      <c r="F406" s="91" t="inlineStr">
        <is>
          <t>Health &amp; Safety</t>
        </is>
      </c>
      <c r="G406" s="425" t="inlineStr">
        <is>
          <t>-</t>
        </is>
      </c>
      <c r="H406" s="425" t="inlineStr">
        <is>
          <t>-</t>
        </is>
      </c>
      <c r="I406" s="425" t="inlineStr">
        <is>
          <t>Vacant</t>
        </is>
      </c>
      <c r="J406" s="499" t="n"/>
      <c r="K406" s="425" t="inlineStr">
        <is>
          <t>-</t>
        </is>
      </c>
      <c r="L406" s="19" t="inlineStr">
        <is>
          <t>-</t>
        </is>
      </c>
      <c r="N406" s="128" t="n"/>
      <c r="O406" s="128" t="n"/>
      <c r="P406" s="128" t="n"/>
      <c r="Q406" s="128" t="n"/>
      <c r="R406" s="128" t="n"/>
      <c r="S406" s="128" t="n"/>
      <c r="T406" s="128" t="n"/>
    </row>
    <row r="407" ht="14.25" customHeight="1">
      <c r="A407" s="439" t="inlineStr">
        <is>
          <t>QHSE Officer</t>
        </is>
      </c>
      <c r="B407" s="439" t="n">
        <v>2</v>
      </c>
      <c r="C407" s="439">
        <f>COUNTIF(E407:E408,"&lt;&gt;")</f>
        <v/>
      </c>
      <c r="D407" s="439">
        <f>C407-B407</f>
        <v/>
      </c>
      <c r="E407" s="460" t="inlineStr">
        <is>
          <t xml:space="preserve">Esbeth Sebastian </t>
        </is>
      </c>
      <c r="F407" s="91" t="inlineStr">
        <is>
          <t>Health &amp; Safety</t>
        </is>
      </c>
      <c r="G407" s="425" t="inlineStr">
        <is>
          <t>C00485</t>
        </is>
      </c>
      <c r="H407" s="425" t="n">
        <v>2580327050</v>
      </c>
      <c r="I407" s="425" t="inlineStr">
        <is>
          <t>Approved</t>
        </is>
      </c>
      <c r="J407" s="496" t="n">
        <v>46079</v>
      </c>
      <c r="K407" s="425" t="inlineStr">
        <is>
          <t>MEHAN VISA</t>
        </is>
      </c>
      <c r="L407" s="19" t="inlineStr">
        <is>
          <t>-</t>
        </is>
      </c>
      <c r="N407" s="128" t="n"/>
      <c r="O407" s="128" t="n"/>
      <c r="P407" s="128" t="n"/>
      <c r="Q407" s="128" t="n"/>
      <c r="R407" s="128" t="n"/>
      <c r="S407" s="128" t="n"/>
      <c r="T407" s="128" t="n"/>
    </row>
    <row r="408" ht="14.25" customHeight="1">
      <c r="A408" s="431" t="n"/>
      <c r="B408" s="431" t="n"/>
      <c r="C408" s="431" t="n"/>
      <c r="D408" s="431" t="n"/>
      <c r="E408" s="460" t="inlineStr">
        <is>
          <t>Tanzeel Ur Rehman Abbasi</t>
        </is>
      </c>
      <c r="F408" s="91" t="inlineStr">
        <is>
          <t>Health &amp; Safety</t>
        </is>
      </c>
      <c r="G408" s="425" t="inlineStr">
        <is>
          <t>-</t>
        </is>
      </c>
      <c r="H408" s="425" t="n">
        <v>2625573221</v>
      </c>
      <c r="I408" s="425" t="inlineStr">
        <is>
          <t>Approved</t>
        </is>
      </c>
      <c r="J408" s="496" t="n">
        <v>46220</v>
      </c>
      <c r="K408" s="425" t="inlineStr">
        <is>
          <t>FMCO</t>
        </is>
      </c>
      <c r="L408" s="19" t="inlineStr">
        <is>
          <t>-</t>
        </is>
      </c>
      <c r="N408" s="128" t="n"/>
      <c r="O408" s="128" t="n"/>
      <c r="P408" s="128" t="n"/>
      <c r="Q408" s="128" t="n"/>
      <c r="R408" s="128" t="n"/>
      <c r="S408" s="128" t="n"/>
      <c r="T408" s="128" t="n"/>
    </row>
    <row r="409" ht="14.25" customHeight="1">
      <c r="A409" s="439" t="inlineStr">
        <is>
          <t>Safety Officer</t>
        </is>
      </c>
      <c r="B409" s="439" t="n">
        <v>2</v>
      </c>
      <c r="C409" s="439">
        <f>COUNTIF(E409:E410,"&lt;&gt;")</f>
        <v/>
      </c>
      <c r="D409" s="439">
        <f>C409-B409</f>
        <v/>
      </c>
      <c r="E409" s="460" t="inlineStr">
        <is>
          <t>Shrihan Nuwan Chaminda Silva</t>
        </is>
      </c>
      <c r="F409" s="91" t="inlineStr">
        <is>
          <t>Health &amp; Safety</t>
        </is>
      </c>
      <c r="G409" s="425" t="n">
        <v>702273</v>
      </c>
      <c r="H409" s="425" t="n">
        <v>2547039087</v>
      </c>
      <c r="I409" s="425" t="inlineStr">
        <is>
          <t>Approved</t>
        </is>
      </c>
      <c r="J409" s="496" t="n">
        <v>45600</v>
      </c>
      <c r="K409" s="425" t="inlineStr">
        <is>
          <t>FMCO</t>
        </is>
      </c>
      <c r="L409" s="19" t="inlineStr">
        <is>
          <t>-</t>
        </is>
      </c>
      <c r="N409" s="128" t="n"/>
      <c r="O409" s="128" t="n"/>
      <c r="P409" s="128" t="n"/>
      <c r="Q409" s="128" t="n"/>
      <c r="R409" s="128" t="n"/>
      <c r="S409" s="128" t="n"/>
      <c r="T409" s="128" t="n"/>
    </row>
    <row r="410" ht="15.75" customHeight="1">
      <c r="A410" s="431" t="n"/>
      <c r="B410" s="431" t="n"/>
      <c r="C410" s="431" t="n"/>
      <c r="D410" s="431" t="n"/>
      <c r="E410" s="460" t="inlineStr">
        <is>
          <t>Tanweer Ejaz Khan</t>
        </is>
      </c>
      <c r="F410" s="91" t="inlineStr">
        <is>
          <t>Health &amp; Safety</t>
        </is>
      </c>
      <c r="G410" s="425" t="inlineStr">
        <is>
          <t>EM-0002706</t>
        </is>
      </c>
      <c r="H410" s="425" t="n">
        <v>2587448271</v>
      </c>
      <c r="I410" s="425" t="inlineStr">
        <is>
          <t>Approved</t>
        </is>
      </c>
      <c r="J410" s="496" t="n">
        <v>45586</v>
      </c>
      <c r="K410" s="425" t="inlineStr">
        <is>
          <t>AL-FALAK VISA</t>
        </is>
      </c>
      <c r="L410" s="19" t="inlineStr">
        <is>
          <t>-</t>
        </is>
      </c>
      <c r="N410" s="128" t="n"/>
      <c r="O410" s="128" t="n"/>
      <c r="P410" s="128" t="n"/>
      <c r="Q410" s="128" t="n"/>
      <c r="R410" s="128" t="n"/>
      <c r="S410" s="128" t="n"/>
      <c r="T410" s="128" t="n"/>
    </row>
    <row r="411" ht="26.25" customHeight="1">
      <c r="A411" s="36" t="inlineStr">
        <is>
          <t>Total Team 
Health and Safety/HSE</t>
        </is>
      </c>
      <c r="B411" s="36" t="inlineStr">
        <is>
          <t>Contractual Requirement</t>
        </is>
      </c>
      <c r="C411" s="36" t="inlineStr">
        <is>
          <t>Approved</t>
        </is>
      </c>
      <c r="D411" s="36" t="inlineStr">
        <is>
          <t>Vacant Position</t>
        </is>
      </c>
      <c r="E411" s="38" t="inlineStr">
        <is>
          <t>Rejected</t>
        </is>
      </c>
      <c r="F411" s="38" t="inlineStr">
        <is>
          <t xml:space="preserve">Additional </t>
        </is>
      </c>
      <c r="G411" s="38" t="inlineStr">
        <is>
          <t>ID</t>
        </is>
      </c>
      <c r="H411" s="38" t="inlineStr">
        <is>
          <t>Iqama</t>
        </is>
      </c>
      <c r="I411" s="58" t="inlineStr">
        <is>
          <t>Status</t>
        </is>
      </c>
      <c r="J411" s="500" t="n"/>
      <c r="K411" s="39" t="n"/>
      <c r="L411" s="38" t="inlineStr">
        <is>
          <t>Remark/Notes</t>
        </is>
      </c>
      <c r="N411" s="128" t="n"/>
      <c r="O411" s="128" t="n"/>
      <c r="P411" s="128" t="n"/>
      <c r="Q411" s="128" t="n"/>
      <c r="R411" s="128" t="n"/>
      <c r="S411" s="128" t="n"/>
      <c r="T411" s="128" t="n"/>
    </row>
    <row r="412" ht="15.75" customHeight="1">
      <c r="A412" s="36">
        <f>COUNTIF(E402:E410,"&lt;&gt;")</f>
        <v/>
      </c>
      <c r="B412" s="36">
        <f>SUM(B402:B410)</f>
        <v/>
      </c>
      <c r="C412" s="36">
        <f>COUNTIF(I402:I410,"Approved")</f>
        <v/>
      </c>
      <c r="D412" s="36">
        <f>COUNTIF(I402:I410,"Vacant")</f>
        <v/>
      </c>
      <c r="E412" s="38">
        <f>COUNTIF(I402:I410,"Rejected")</f>
        <v/>
      </c>
      <c r="F412" s="38">
        <f>COUNTIF(I402:I410,"Additional")</f>
        <v/>
      </c>
      <c r="G412" s="38">
        <f>COUNTIF(G402:G410,"-")</f>
        <v/>
      </c>
      <c r="H412" s="38">
        <f>COUNTIF(H402:H410,"-")</f>
        <v/>
      </c>
      <c r="I412" s="42" t="n"/>
      <c r="J412" s="501" t="n"/>
      <c r="K412" s="42" t="n"/>
      <c r="L412" s="42" t="n"/>
      <c r="N412" s="128" t="n"/>
      <c r="O412" s="128" t="n"/>
      <c r="P412" s="128" t="n"/>
      <c r="Q412" s="128" t="n"/>
      <c r="R412" s="128" t="n"/>
      <c r="S412" s="128" t="n"/>
      <c r="T412" s="128" t="n"/>
    </row>
    <row r="413" ht="15.75" customHeight="1">
      <c r="A413" s="176" t="n"/>
      <c r="B413" s="177" t="n"/>
      <c r="C413" s="177" t="n"/>
      <c r="D413" s="177" t="n"/>
      <c r="E413" s="135" t="n"/>
      <c r="I413" s="128" t="n"/>
      <c r="J413" s="515" t="n"/>
      <c r="K413" s="137" t="n"/>
      <c r="L413" s="178" t="n"/>
      <c r="N413" s="128" t="n"/>
      <c r="O413" s="128" t="n"/>
      <c r="P413" s="128" t="n"/>
      <c r="Q413" s="128" t="n"/>
      <c r="R413" s="128" t="n"/>
      <c r="S413" s="128" t="n"/>
      <c r="T413" s="128" t="n"/>
    </row>
    <row r="414" ht="26.25" customHeight="1">
      <c r="A414" s="133" t="inlineStr">
        <is>
          <t>Position</t>
        </is>
      </c>
      <c r="B414" s="9" t="inlineStr">
        <is>
          <t>Contractual Requirement</t>
        </is>
      </c>
      <c r="C414" s="9" t="inlineStr">
        <is>
          <t>On-Site Availability</t>
        </is>
      </c>
      <c r="D414" s="9" t="inlineStr">
        <is>
          <t>Vacant Position</t>
        </is>
      </c>
      <c r="E414" s="11" t="inlineStr">
        <is>
          <t>Emaployee Name</t>
        </is>
      </c>
      <c r="F414" s="11" t="inlineStr">
        <is>
          <t>Decipline</t>
        </is>
      </c>
      <c r="G414" s="12" t="inlineStr">
        <is>
          <t>ID</t>
        </is>
      </c>
      <c r="H414" s="11" t="inlineStr">
        <is>
          <t>Iqama</t>
        </is>
      </c>
      <c r="I414" s="12" t="inlineStr">
        <is>
          <t>Status</t>
        </is>
      </c>
      <c r="J414" s="503" t="n"/>
      <c r="K414" s="153" t="n"/>
      <c r="L414" s="12" t="inlineStr">
        <is>
          <t>Remarks/Notes</t>
        </is>
      </c>
      <c r="N414" s="128" t="n"/>
      <c r="O414" s="128" t="n"/>
      <c r="P414" s="128" t="n"/>
      <c r="Q414" s="128" t="n"/>
      <c r="R414" s="128" t="n"/>
      <c r="S414" s="128" t="n"/>
      <c r="T414" s="128" t="n"/>
    </row>
    <row r="415" ht="15.75" customHeight="1">
      <c r="A415" s="439" t="inlineStr">
        <is>
          <t>Fire Protection Engineer</t>
        </is>
      </c>
      <c r="B415" s="439" t="n">
        <v>2</v>
      </c>
      <c r="C415" s="439">
        <f>COUNTIF(E415:E416,"&lt;&gt;")</f>
        <v/>
      </c>
      <c r="D415" s="439">
        <f>C415-B415</f>
        <v/>
      </c>
      <c r="E415" s="135" t="n"/>
      <c r="F415" s="91" t="inlineStr">
        <is>
          <t>FLS</t>
        </is>
      </c>
      <c r="G415" s="425" t="inlineStr">
        <is>
          <t>-</t>
        </is>
      </c>
      <c r="H415" s="425" t="inlineStr">
        <is>
          <t>-</t>
        </is>
      </c>
      <c r="I415" s="425" t="inlineStr">
        <is>
          <t>Vacant</t>
        </is>
      </c>
      <c r="J415" s="499" t="n"/>
      <c r="K415" s="425" t="inlineStr">
        <is>
          <t>-</t>
        </is>
      </c>
      <c r="L415" s="19" t="inlineStr">
        <is>
          <t>-</t>
        </is>
      </c>
      <c r="N415" s="128" t="n"/>
      <c r="O415" s="128" t="n"/>
      <c r="P415" s="128" t="n"/>
      <c r="Q415" s="128" t="n"/>
      <c r="R415" s="128" t="n"/>
      <c r="S415" s="128" t="n"/>
      <c r="T415" s="128" t="n"/>
    </row>
    <row r="416" ht="15.75" customHeight="1">
      <c r="A416" s="431" t="n"/>
      <c r="B416" s="431" t="n"/>
      <c r="C416" s="431" t="n"/>
      <c r="D416" s="431" t="n"/>
      <c r="E416" s="135" t="n"/>
      <c r="F416" s="91" t="inlineStr">
        <is>
          <t>FLS</t>
        </is>
      </c>
      <c r="G416" s="425" t="inlineStr">
        <is>
          <t>-</t>
        </is>
      </c>
      <c r="H416" s="425" t="inlineStr">
        <is>
          <t>-</t>
        </is>
      </c>
      <c r="I416" s="425" t="inlineStr">
        <is>
          <t>Vacant</t>
        </is>
      </c>
      <c r="J416" s="499" t="n"/>
      <c r="K416" s="425" t="inlineStr">
        <is>
          <t>-</t>
        </is>
      </c>
      <c r="L416" s="19" t="inlineStr">
        <is>
          <t>-</t>
        </is>
      </c>
      <c r="N416" s="128" t="n"/>
      <c r="O416" s="128" t="n"/>
      <c r="P416" s="128" t="n"/>
      <c r="Q416" s="128" t="n"/>
      <c r="R416" s="128" t="n"/>
      <c r="S416" s="128" t="n"/>
      <c r="T416" s="128" t="n"/>
    </row>
    <row r="417" ht="15.75" customHeight="1">
      <c r="A417" s="439" t="inlineStr">
        <is>
          <t>Fire Figting Team Leader</t>
        </is>
      </c>
      <c r="B417" s="439" t="n">
        <v>2</v>
      </c>
      <c r="C417" s="439">
        <f>COUNTIF(E417:E418,"&lt;&gt;")</f>
        <v/>
      </c>
      <c r="D417" s="439">
        <f>C417-B417</f>
        <v/>
      </c>
      <c r="E417" s="460" t="inlineStr">
        <is>
          <t>Muhammad Usman</t>
        </is>
      </c>
      <c r="F417" s="91" t="inlineStr">
        <is>
          <t>FLS</t>
        </is>
      </c>
      <c r="G417" s="425" t="n">
        <v>701767</v>
      </c>
      <c r="H417" s="425" t="n">
        <v>2537299345</v>
      </c>
      <c r="I417" s="425" t="inlineStr">
        <is>
          <t>Approved</t>
        </is>
      </c>
      <c r="J417" s="496" t="n">
        <v>45452</v>
      </c>
      <c r="K417" s="425" t="inlineStr">
        <is>
          <t>FMCO</t>
        </is>
      </c>
      <c r="L417" s="19" t="inlineStr">
        <is>
          <t>-</t>
        </is>
      </c>
      <c r="N417" s="128" t="n"/>
      <c r="O417" s="128" t="n"/>
      <c r="P417" s="128" t="n"/>
      <c r="Q417" s="128" t="n"/>
      <c r="R417" s="128" t="n"/>
      <c r="S417" s="128" t="n"/>
      <c r="T417" s="128" t="n"/>
    </row>
    <row r="418" ht="15.75" customHeight="1">
      <c r="A418" s="431" t="n"/>
      <c r="B418" s="431" t="n"/>
      <c r="C418" s="431" t="n"/>
      <c r="D418" s="431" t="n"/>
      <c r="E418" s="135" t="n"/>
      <c r="F418" s="91" t="inlineStr">
        <is>
          <t>FLS</t>
        </is>
      </c>
      <c r="G418" s="425" t="inlineStr">
        <is>
          <t>-</t>
        </is>
      </c>
      <c r="H418" s="425" t="inlineStr">
        <is>
          <t>-</t>
        </is>
      </c>
      <c r="I418" s="425" t="inlineStr">
        <is>
          <t>Vacant</t>
        </is>
      </c>
      <c r="J418" s="499" t="n"/>
      <c r="K418" s="425" t="inlineStr">
        <is>
          <t>-</t>
        </is>
      </c>
      <c r="L418" s="19" t="inlineStr">
        <is>
          <t>-</t>
        </is>
      </c>
      <c r="N418" s="128" t="n"/>
      <c r="O418" s="128" t="n"/>
      <c r="P418" s="128" t="n"/>
      <c r="Q418" s="128" t="n"/>
      <c r="R418" s="128" t="n"/>
      <c r="S418" s="128" t="n"/>
      <c r="T418" s="128" t="n"/>
    </row>
    <row r="419" ht="15.75" customHeight="1">
      <c r="A419" s="439" t="inlineStr">
        <is>
          <t>Fire Alarm Techncian</t>
        </is>
      </c>
      <c r="B419" s="439" t="n">
        <v>6</v>
      </c>
      <c r="C419" s="439">
        <f>COUNTIF(E419:E424,"&lt;&gt;")</f>
        <v/>
      </c>
      <c r="D419" s="439">
        <f>C419-B419</f>
        <v/>
      </c>
      <c r="E419" s="460" t="inlineStr">
        <is>
          <t>Mohammad Saad Mohammad Sahboob</t>
        </is>
      </c>
      <c r="F419" s="91" t="inlineStr">
        <is>
          <t>FLS</t>
        </is>
      </c>
      <c r="G419" s="425" t="n">
        <v>703535</v>
      </c>
      <c r="H419" s="425" t="n">
        <v>2585449271</v>
      </c>
      <c r="I419" s="425" t="inlineStr">
        <is>
          <t>Approved</t>
        </is>
      </c>
      <c r="J419" s="496" t="n">
        <v>45599</v>
      </c>
      <c r="K419" s="425" t="inlineStr">
        <is>
          <t>FMCO</t>
        </is>
      </c>
      <c r="L419" s="19" t="inlineStr">
        <is>
          <t>-</t>
        </is>
      </c>
      <c r="N419" s="128" t="n"/>
      <c r="O419" s="128" t="n"/>
      <c r="P419" s="128" t="n"/>
      <c r="Q419" s="128" t="n"/>
      <c r="R419" s="128" t="n"/>
      <c r="S419" s="128" t="n"/>
      <c r="T419" s="128" t="n"/>
    </row>
    <row r="420" ht="15.75" customHeight="1">
      <c r="A420" s="429" t="n"/>
      <c r="B420" s="429" t="n"/>
      <c r="C420" s="429" t="n"/>
      <c r="D420" s="429" t="n"/>
      <c r="E420" s="460" t="inlineStr">
        <is>
          <t>ASIF RAJA</t>
        </is>
      </c>
      <c r="F420" s="91" t="inlineStr">
        <is>
          <t>HARD SERVICE</t>
        </is>
      </c>
      <c r="G420" s="425" t="inlineStr">
        <is>
          <t>C01312</t>
        </is>
      </c>
      <c r="H420" s="425" t="n">
        <v>2616523292</v>
      </c>
      <c r="I420" s="425" t="inlineStr">
        <is>
          <t>Additional</t>
        </is>
      </c>
      <c r="J420" s="496" t="n">
        <v>46079</v>
      </c>
      <c r="K420" s="425" t="inlineStr">
        <is>
          <t>MEHAN VISA</t>
        </is>
      </c>
      <c r="L420" s="19" t="inlineStr">
        <is>
          <t>-</t>
        </is>
      </c>
      <c r="N420" s="128" t="n"/>
      <c r="O420" s="128" t="n"/>
      <c r="P420" s="128" t="n"/>
      <c r="Q420" s="128" t="n"/>
      <c r="R420" s="128" t="n"/>
      <c r="S420" s="128" t="n"/>
      <c r="T420" s="128" t="n"/>
    </row>
    <row r="421" ht="14.25" customHeight="1">
      <c r="A421" s="429" t="n"/>
      <c r="B421" s="429" t="n"/>
      <c r="C421" s="429" t="n"/>
      <c r="D421" s="429" t="n"/>
      <c r="E421" s="460" t="inlineStr">
        <is>
          <t>Mohammad Obaidullah</t>
        </is>
      </c>
      <c r="F421" s="91" t="inlineStr">
        <is>
          <t>FLS</t>
        </is>
      </c>
      <c r="G421" s="425" t="inlineStr">
        <is>
          <t>EM-0002694</t>
        </is>
      </c>
      <c r="H421" s="425" t="n">
        <v>2586439123</v>
      </c>
      <c r="I421" s="425" t="inlineStr">
        <is>
          <t>Approved</t>
        </is>
      </c>
      <c r="J421" s="496" t="n">
        <v>45586</v>
      </c>
      <c r="K421" s="425" t="inlineStr">
        <is>
          <t>AL-FALAK VISA</t>
        </is>
      </c>
      <c r="L421" s="19" t="inlineStr">
        <is>
          <t>-</t>
        </is>
      </c>
      <c r="N421" s="128" t="n"/>
      <c r="O421" s="128" t="n"/>
      <c r="P421" s="128" t="n"/>
      <c r="Q421" s="128" t="n"/>
      <c r="R421" s="128" t="n"/>
      <c r="S421" s="128" t="n"/>
      <c r="T421" s="128" t="n"/>
    </row>
    <row r="422" ht="14.25" customHeight="1">
      <c r="A422" s="429" t="n"/>
      <c r="B422" s="429" t="n"/>
      <c r="C422" s="429" t="n"/>
      <c r="D422" s="429" t="n"/>
      <c r="E422" s="460" t="inlineStr">
        <is>
          <t>Haider Ali</t>
        </is>
      </c>
      <c r="F422" s="91" t="inlineStr">
        <is>
          <t>FLS</t>
        </is>
      </c>
      <c r="G422" s="425" t="inlineStr">
        <is>
          <t>C01740</t>
        </is>
      </c>
      <c r="H422" s="425" t="n">
        <v>2635079714</v>
      </c>
      <c r="I422" s="425" t="inlineStr">
        <is>
          <t>Approved</t>
        </is>
      </c>
      <c r="J422" s="496" t="n">
        <v>46137</v>
      </c>
      <c r="K422" s="425" t="inlineStr">
        <is>
          <t>MEHAN VISA</t>
        </is>
      </c>
      <c r="L422" s="19" t="inlineStr">
        <is>
          <t>-</t>
        </is>
      </c>
      <c r="N422" s="128" t="n"/>
      <c r="O422" s="128" t="n"/>
      <c r="P422" s="128" t="n"/>
      <c r="Q422" s="128" t="n"/>
      <c r="R422" s="128" t="n"/>
      <c r="S422" s="128" t="n"/>
      <c r="T422" s="128" t="n"/>
    </row>
    <row r="423" ht="14.25" customHeight="1">
      <c r="A423" s="429" t="n"/>
      <c r="B423" s="429" t="n"/>
      <c r="C423" s="429" t="n"/>
      <c r="D423" s="429" t="n"/>
      <c r="E423" s="460" t="inlineStr">
        <is>
          <t>Md Sabil</t>
        </is>
      </c>
      <c r="F423" s="91" t="inlineStr">
        <is>
          <t>FLS</t>
        </is>
      </c>
      <c r="G423" s="425" t="inlineStr">
        <is>
          <t>-</t>
        </is>
      </c>
      <c r="H423" s="425" t="n">
        <v>2636720761</v>
      </c>
      <c r="I423" s="425" t="inlineStr">
        <is>
          <t>Approved</t>
        </is>
      </c>
      <c r="J423" s="496" t="n">
        <v>46155</v>
      </c>
      <c r="K423" s="163" t="inlineStr">
        <is>
          <t>MEHAN VISA</t>
        </is>
      </c>
      <c r="L423" s="19" t="inlineStr">
        <is>
          <t>-</t>
        </is>
      </c>
      <c r="N423" s="128" t="n"/>
      <c r="O423" s="128" t="n"/>
      <c r="P423" s="128" t="n"/>
      <c r="Q423" s="128" t="n"/>
      <c r="R423" s="128" t="n"/>
      <c r="S423" s="128" t="n"/>
      <c r="T423" s="128" t="n"/>
    </row>
    <row r="424" ht="15.75" customHeight="1">
      <c r="A424" s="431" t="n"/>
      <c r="B424" s="431" t="n"/>
      <c r="C424" s="431" t="n"/>
      <c r="D424" s="431" t="n"/>
      <c r="E424" s="460" t="inlineStr">
        <is>
          <t>MD RIZWAN ANSARI</t>
        </is>
      </c>
      <c r="F424" s="91" t="inlineStr">
        <is>
          <t>FLS</t>
        </is>
      </c>
      <c r="G424" s="425" t="inlineStr">
        <is>
          <t>-</t>
        </is>
      </c>
      <c r="H424" s="425" t="inlineStr">
        <is>
          <t>-</t>
        </is>
      </c>
      <c r="I424" s="425" t="inlineStr">
        <is>
          <t>Approved</t>
        </is>
      </c>
      <c r="J424" s="496" t="n">
        <v>46234</v>
      </c>
      <c r="K424" s="425" t="inlineStr">
        <is>
          <t>-</t>
        </is>
      </c>
      <c r="L424" s="19" t="inlineStr">
        <is>
          <t>-</t>
        </is>
      </c>
      <c r="N424" s="128" t="n"/>
      <c r="O424" s="128" t="n"/>
      <c r="P424" s="128" t="n"/>
      <c r="Q424" s="128" t="n"/>
      <c r="R424" s="128" t="n"/>
      <c r="S424" s="128" t="n"/>
      <c r="T424" s="128" t="n"/>
    </row>
    <row r="425" ht="26.25" customHeight="1">
      <c r="A425" s="36" t="inlineStr">
        <is>
          <t>Total Team 
Fire, Life and Safety/FLS</t>
        </is>
      </c>
      <c r="B425" s="36" t="inlineStr">
        <is>
          <t>Contractual Requirement</t>
        </is>
      </c>
      <c r="C425" s="36" t="inlineStr">
        <is>
          <t>Approved</t>
        </is>
      </c>
      <c r="D425" s="36" t="inlineStr">
        <is>
          <t>Vacant Position</t>
        </is>
      </c>
      <c r="E425" s="38" t="inlineStr">
        <is>
          <t>Rejected</t>
        </is>
      </c>
      <c r="F425" s="38" t="inlineStr">
        <is>
          <t xml:space="preserve">Additional </t>
        </is>
      </c>
      <c r="G425" s="38" t="inlineStr">
        <is>
          <t>ID</t>
        </is>
      </c>
      <c r="H425" s="38" t="inlineStr">
        <is>
          <t>Iqama</t>
        </is>
      </c>
      <c r="I425" s="58" t="inlineStr">
        <is>
          <t>Status</t>
        </is>
      </c>
      <c r="J425" s="500" t="n"/>
      <c r="K425" s="39" t="n"/>
      <c r="L425" s="38" t="inlineStr">
        <is>
          <t>Remark/Notes</t>
        </is>
      </c>
      <c r="N425" s="128" t="n"/>
      <c r="O425" s="128" t="n"/>
      <c r="P425" s="128" t="n"/>
      <c r="Q425" s="128" t="n"/>
      <c r="R425" s="128" t="n"/>
      <c r="S425" s="128" t="n"/>
      <c r="T425" s="128" t="n"/>
    </row>
    <row r="426" ht="15.75" customHeight="1">
      <c r="A426" s="36">
        <f>COUNTIF(E415:E424,"&lt;&gt;")</f>
        <v/>
      </c>
      <c r="B426" s="36">
        <f>SUM(B415:B424)</f>
        <v/>
      </c>
      <c r="C426" s="36">
        <f>COUNTIF(I415:I424,"Approved")</f>
        <v/>
      </c>
      <c r="D426" s="36">
        <f>COUNTIF(I415:I424,"Vacant")</f>
        <v/>
      </c>
      <c r="E426" s="38">
        <f>COUNTIF(L415:L424,"Rejected")</f>
        <v/>
      </c>
      <c r="F426" s="38">
        <f>COUNTIF(I415:I424,"Additional")</f>
        <v/>
      </c>
      <c r="G426" s="38">
        <f>COUNTIF(G415:G424,"-")</f>
        <v/>
      </c>
      <c r="H426" s="38">
        <f>COUNTIF(H415:H424,"-")</f>
        <v/>
      </c>
      <c r="I426" s="42" t="n"/>
      <c r="J426" s="501" t="n"/>
      <c r="K426" s="42" t="n"/>
      <c r="L426" s="42" t="n"/>
      <c r="N426" s="128" t="n"/>
      <c r="O426" s="128" t="n"/>
      <c r="P426" s="128" t="n"/>
      <c r="Q426" s="128" t="n"/>
      <c r="R426" s="128" t="n"/>
      <c r="S426" s="128" t="n"/>
      <c r="T426" s="128" t="n"/>
    </row>
    <row r="427" ht="15.75" customHeight="1">
      <c r="A427" s="179" t="n"/>
      <c r="B427" s="180" t="n"/>
      <c r="C427" s="180" t="n"/>
      <c r="D427" s="180" t="n"/>
      <c r="E427" s="135" t="n"/>
      <c r="F427" s="181" t="n"/>
      <c r="G427" s="181" t="n"/>
      <c r="H427" s="181" t="n"/>
      <c r="I427" s="181" t="n"/>
      <c r="J427" s="515" t="n"/>
      <c r="K427" s="137" t="n"/>
      <c r="L427" s="182" t="n"/>
      <c r="N427" s="128" t="n"/>
      <c r="O427" s="128" t="n"/>
      <c r="P427" s="128" t="n"/>
      <c r="Q427" s="128" t="n"/>
      <c r="R427" s="128" t="n"/>
      <c r="S427" s="128" t="n"/>
      <c r="T427" s="128" t="n"/>
    </row>
    <row r="428" ht="26.25" customHeight="1">
      <c r="A428" s="133" t="inlineStr">
        <is>
          <t>Position</t>
        </is>
      </c>
      <c r="B428" s="9" t="inlineStr">
        <is>
          <t>Contractual Requirement</t>
        </is>
      </c>
      <c r="C428" s="9" t="inlineStr">
        <is>
          <t>On-Site Availability</t>
        </is>
      </c>
      <c r="D428" s="9" t="inlineStr">
        <is>
          <t>Vacant Position</t>
        </is>
      </c>
      <c r="E428" s="11" t="inlineStr">
        <is>
          <t>Emaployee Name</t>
        </is>
      </c>
      <c r="F428" s="11" t="inlineStr">
        <is>
          <t>Decipline</t>
        </is>
      </c>
      <c r="G428" s="12" t="inlineStr">
        <is>
          <t>ID</t>
        </is>
      </c>
      <c r="H428" s="11" t="inlineStr">
        <is>
          <t>Iqama</t>
        </is>
      </c>
      <c r="I428" s="12" t="inlineStr">
        <is>
          <t>Status</t>
        </is>
      </c>
      <c r="J428" s="503" t="n"/>
      <c r="K428" s="153" t="n"/>
      <c r="L428" s="12" t="inlineStr">
        <is>
          <t>Remarks/Notes</t>
        </is>
      </c>
      <c r="N428" s="128" t="n"/>
      <c r="O428" s="128" t="n"/>
      <c r="P428" s="128" t="n"/>
      <c r="Q428" s="128" t="n"/>
      <c r="R428" s="128" t="n"/>
      <c r="S428" s="128" t="n"/>
      <c r="T428" s="128" t="n"/>
    </row>
    <row r="429" ht="15.75" customHeight="1">
      <c r="A429" s="440" t="inlineStr">
        <is>
          <t>Security Manager</t>
        </is>
      </c>
      <c r="B429" s="440" t="n">
        <v>1</v>
      </c>
      <c r="C429" s="440">
        <f>COUNTIF(E429,"&lt;&gt;")</f>
        <v/>
      </c>
      <c r="D429" s="450">
        <f>C429-B429</f>
        <v/>
      </c>
      <c r="E429" s="460" t="inlineStr">
        <is>
          <t>Musaad Shafi Alghaythi</t>
        </is>
      </c>
      <c r="F429" s="136" t="inlineStr">
        <is>
          <t>Security Services</t>
        </is>
      </c>
      <c r="G429" s="425" t="n">
        <v>704036</v>
      </c>
      <c r="H429" s="425" t="n">
        <v>1119747507</v>
      </c>
      <c r="I429" s="425" t="inlineStr">
        <is>
          <t>Approved</t>
        </is>
      </c>
      <c r="J429" s="496" t="n">
        <v>45946</v>
      </c>
      <c r="K429" s="425" t="inlineStr">
        <is>
          <t>FMCO</t>
        </is>
      </c>
      <c r="L429" s="183" t="inlineStr">
        <is>
          <t>-</t>
        </is>
      </c>
      <c r="N429" s="128" t="n"/>
      <c r="O429" s="128" t="n"/>
      <c r="P429" s="128" t="n"/>
      <c r="Q429" s="128" t="n"/>
      <c r="R429" s="128" t="n"/>
      <c r="S429" s="128" t="n"/>
      <c r="T429" s="128" t="n"/>
    </row>
    <row r="430" ht="15.75" customHeight="1">
      <c r="A430" s="449" t="inlineStr">
        <is>
          <t>Security Supervisor</t>
        </is>
      </c>
      <c r="B430" s="439" t="n">
        <v>8</v>
      </c>
      <c r="C430" s="439">
        <f>COUNTIF(E430:E437,"&lt;&gt;")</f>
        <v/>
      </c>
      <c r="D430" s="432">
        <f>C430-B430</f>
        <v/>
      </c>
      <c r="E430" s="460" t="inlineStr">
        <is>
          <t>Mohammed Ali Alharthi</t>
        </is>
      </c>
      <c r="F430" s="136" t="inlineStr">
        <is>
          <t>Security Services</t>
        </is>
      </c>
      <c r="G430" s="425" t="n">
        <v>704151</v>
      </c>
      <c r="H430" s="425" t="n">
        <v>1084829413</v>
      </c>
      <c r="I430" s="425" t="inlineStr">
        <is>
          <t>Approved</t>
        </is>
      </c>
      <c r="J430" s="496" t="n">
        <v>46084</v>
      </c>
      <c r="K430" s="425" t="inlineStr">
        <is>
          <t>FMCO</t>
        </is>
      </c>
      <c r="L430" s="183" t="inlineStr">
        <is>
          <t>-</t>
        </is>
      </c>
      <c r="N430" s="128" t="n"/>
      <c r="O430" s="128" t="n"/>
      <c r="P430" s="128" t="n"/>
      <c r="Q430" s="128" t="n"/>
      <c r="R430" s="128" t="n"/>
      <c r="S430" s="128" t="n"/>
      <c r="T430" s="128" t="n"/>
    </row>
    <row r="431" ht="15.75" customHeight="1">
      <c r="A431" s="429" t="n"/>
      <c r="B431" s="429" t="n"/>
      <c r="C431" s="429" t="n"/>
      <c r="D431" s="429" t="n"/>
      <c r="E431" s="460" t="inlineStr">
        <is>
          <t>Muteb Saeed Alotaibi</t>
        </is>
      </c>
      <c r="F431" s="136" t="inlineStr">
        <is>
          <t>Security Services</t>
        </is>
      </c>
      <c r="G431" s="425" t="n">
        <v>704122</v>
      </c>
      <c r="H431" s="425" t="n">
        <v>1128520887</v>
      </c>
      <c r="I431" s="425" t="inlineStr">
        <is>
          <t>Approved</t>
        </is>
      </c>
      <c r="J431" s="496" t="n">
        <v>46047</v>
      </c>
      <c r="K431" s="425" t="inlineStr">
        <is>
          <t>FMCO</t>
        </is>
      </c>
      <c r="L431" s="183" t="inlineStr">
        <is>
          <t>-</t>
        </is>
      </c>
      <c r="N431" s="128" t="n"/>
      <c r="O431" s="128" t="n"/>
      <c r="P431" s="128" t="n"/>
      <c r="Q431" s="128" t="n"/>
      <c r="R431" s="128" t="n"/>
      <c r="S431" s="128" t="n"/>
      <c r="T431" s="128" t="n"/>
    </row>
    <row r="432" ht="15.75" customHeight="1">
      <c r="A432" s="429" t="n"/>
      <c r="B432" s="429" t="n"/>
      <c r="C432" s="429" t="n"/>
      <c r="D432" s="429" t="n"/>
      <c r="E432" s="135" t="n"/>
      <c r="F432" s="136" t="inlineStr">
        <is>
          <t>Security Services</t>
        </is>
      </c>
      <c r="G432" s="425" t="inlineStr">
        <is>
          <t>-</t>
        </is>
      </c>
      <c r="H432" s="425" t="inlineStr">
        <is>
          <t>-</t>
        </is>
      </c>
      <c r="I432" s="425" t="inlineStr">
        <is>
          <t>Vacant</t>
        </is>
      </c>
      <c r="J432" s="499" t="n"/>
      <c r="K432" s="425" t="inlineStr">
        <is>
          <t>-</t>
        </is>
      </c>
      <c r="L432" s="183" t="inlineStr">
        <is>
          <t>-</t>
        </is>
      </c>
      <c r="N432" s="128" t="n"/>
      <c r="O432" s="128" t="n"/>
      <c r="P432" s="128" t="n"/>
      <c r="Q432" s="128" t="n"/>
      <c r="R432" s="128" t="n"/>
      <c r="S432" s="128" t="n"/>
      <c r="T432" s="128" t="n"/>
    </row>
    <row r="433" ht="15.75" customHeight="1">
      <c r="A433" s="429" t="n"/>
      <c r="B433" s="429" t="n"/>
      <c r="C433" s="429" t="n"/>
      <c r="D433" s="429" t="n"/>
      <c r="E433" s="135" t="n"/>
      <c r="F433" s="136" t="inlineStr">
        <is>
          <t>Security Services</t>
        </is>
      </c>
      <c r="G433" s="425" t="inlineStr">
        <is>
          <t>-</t>
        </is>
      </c>
      <c r="H433" s="29" t="inlineStr">
        <is>
          <t>-</t>
        </is>
      </c>
      <c r="I433" s="425" t="inlineStr">
        <is>
          <t>Vacant</t>
        </is>
      </c>
      <c r="J433" s="499" t="n"/>
      <c r="K433" s="425" t="inlineStr">
        <is>
          <t>-</t>
        </is>
      </c>
      <c r="L433" s="183" t="inlineStr">
        <is>
          <t>-</t>
        </is>
      </c>
      <c r="N433" s="128" t="n"/>
      <c r="O433" s="128" t="n"/>
      <c r="P433" s="128" t="n"/>
      <c r="Q433" s="128" t="n"/>
      <c r="R433" s="128" t="n"/>
      <c r="S433" s="128" t="n"/>
      <c r="T433" s="128" t="n"/>
    </row>
    <row r="434" ht="15.75" customHeight="1">
      <c r="A434" s="429" t="n"/>
      <c r="B434" s="429" t="n"/>
      <c r="C434" s="429" t="n"/>
      <c r="D434" s="429" t="n"/>
      <c r="E434" s="135" t="n"/>
      <c r="F434" s="136" t="inlineStr">
        <is>
          <t>Security Services</t>
        </is>
      </c>
      <c r="G434" s="425" t="inlineStr">
        <is>
          <t>-</t>
        </is>
      </c>
      <c r="H434" s="29" t="inlineStr">
        <is>
          <t>-</t>
        </is>
      </c>
      <c r="I434" s="425" t="inlineStr">
        <is>
          <t>Vacant</t>
        </is>
      </c>
      <c r="J434" s="499" t="n"/>
      <c r="K434" s="425" t="inlineStr">
        <is>
          <t>-</t>
        </is>
      </c>
      <c r="L434" s="183" t="inlineStr">
        <is>
          <t>-</t>
        </is>
      </c>
      <c r="N434" s="128" t="n"/>
      <c r="O434" s="128" t="n"/>
      <c r="P434" s="128" t="n"/>
      <c r="Q434" s="128" t="n"/>
      <c r="R434" s="128" t="n"/>
      <c r="S434" s="128" t="n"/>
      <c r="T434" s="128" t="n"/>
    </row>
    <row r="435" ht="15.75" customHeight="1">
      <c r="A435" s="429" t="n"/>
      <c r="B435" s="429" t="n"/>
      <c r="C435" s="429" t="n"/>
      <c r="D435" s="429" t="n"/>
      <c r="E435" s="135" t="n"/>
      <c r="F435" s="136" t="inlineStr">
        <is>
          <t>Security Services</t>
        </is>
      </c>
      <c r="G435" s="425" t="inlineStr">
        <is>
          <t>-</t>
        </is>
      </c>
      <c r="H435" s="29" t="inlineStr">
        <is>
          <t>-</t>
        </is>
      </c>
      <c r="I435" s="425" t="inlineStr">
        <is>
          <t>Vacant</t>
        </is>
      </c>
      <c r="J435" s="499" t="n"/>
      <c r="K435" s="425" t="inlineStr">
        <is>
          <t>-</t>
        </is>
      </c>
      <c r="L435" s="183" t="inlineStr">
        <is>
          <t>-</t>
        </is>
      </c>
      <c r="N435" s="128" t="n"/>
      <c r="O435" s="128" t="n"/>
      <c r="P435" s="128" t="n"/>
      <c r="Q435" s="128" t="n"/>
      <c r="R435" s="128" t="n"/>
      <c r="S435" s="128" t="n"/>
      <c r="T435" s="128" t="n"/>
    </row>
    <row r="436" ht="15.75" customHeight="1">
      <c r="A436" s="429" t="n"/>
      <c r="B436" s="429" t="n"/>
      <c r="C436" s="429" t="n"/>
      <c r="D436" s="429" t="n"/>
      <c r="E436" s="135" t="n"/>
      <c r="F436" s="136" t="inlineStr">
        <is>
          <t>Security Services</t>
        </is>
      </c>
      <c r="G436" s="425" t="inlineStr">
        <is>
          <t>-</t>
        </is>
      </c>
      <c r="H436" s="29" t="inlineStr">
        <is>
          <t>-</t>
        </is>
      </c>
      <c r="I436" s="425" t="inlineStr">
        <is>
          <t>Vacant</t>
        </is>
      </c>
      <c r="J436" s="499" t="n"/>
      <c r="K436" s="425" t="inlineStr">
        <is>
          <t>-</t>
        </is>
      </c>
      <c r="L436" s="183" t="inlineStr">
        <is>
          <t>-</t>
        </is>
      </c>
      <c r="N436" s="128" t="n"/>
      <c r="O436" s="128" t="n"/>
      <c r="P436" s="128" t="n"/>
      <c r="Q436" s="128" t="n"/>
      <c r="R436" s="128" t="n"/>
      <c r="S436" s="128" t="n"/>
      <c r="T436" s="128" t="n"/>
    </row>
    <row r="437" ht="15.75" customHeight="1">
      <c r="A437" s="431" t="n"/>
      <c r="B437" s="431" t="n"/>
      <c r="C437" s="431" t="n"/>
      <c r="D437" s="431" t="n"/>
      <c r="E437" s="135" t="n"/>
      <c r="F437" s="136" t="inlineStr">
        <is>
          <t>Security Services</t>
        </is>
      </c>
      <c r="G437" s="425" t="inlineStr">
        <is>
          <t>-</t>
        </is>
      </c>
      <c r="H437" s="29" t="inlineStr">
        <is>
          <t>-</t>
        </is>
      </c>
      <c r="I437" s="425" t="inlineStr">
        <is>
          <t>Vacant</t>
        </is>
      </c>
      <c r="J437" s="499" t="n"/>
      <c r="K437" s="425" t="inlineStr">
        <is>
          <t>-</t>
        </is>
      </c>
      <c r="L437" s="183" t="inlineStr">
        <is>
          <t>-</t>
        </is>
      </c>
      <c r="N437" s="128" t="n"/>
      <c r="O437" s="128" t="n"/>
      <c r="P437" s="128" t="n"/>
      <c r="Q437" s="128" t="n"/>
      <c r="R437" s="128" t="n"/>
      <c r="S437" s="128" t="n"/>
      <c r="T437" s="128" t="n"/>
    </row>
    <row r="438" ht="15.75" customHeight="1">
      <c r="A438" s="449" t="inlineStr">
        <is>
          <t>Security Admins</t>
        </is>
      </c>
      <c r="B438" s="439" t="n">
        <v>8</v>
      </c>
      <c r="C438" s="439">
        <f>COUNTIF(E438:E445,"&lt;&gt;")</f>
        <v/>
      </c>
      <c r="D438" s="432">
        <f>C438-B438</f>
        <v/>
      </c>
      <c r="E438" s="460" t="inlineStr">
        <is>
          <t>Ali Mubarak Alqahtani</t>
        </is>
      </c>
      <c r="F438" s="136" t="inlineStr">
        <is>
          <t>Security Services</t>
        </is>
      </c>
      <c r="G438" s="425" t="n">
        <v>703929</v>
      </c>
      <c r="H438" s="425" t="n">
        <v>1119268140</v>
      </c>
      <c r="I438" s="425" t="inlineStr">
        <is>
          <t>Approved</t>
        </is>
      </c>
      <c r="J438" s="496" t="n">
        <v>45871</v>
      </c>
      <c r="K438" s="425" t="inlineStr">
        <is>
          <t>FMCO</t>
        </is>
      </c>
      <c r="L438" s="183" t="inlineStr">
        <is>
          <t>-</t>
        </is>
      </c>
      <c r="N438" s="128" t="n"/>
      <c r="O438" s="128" t="n"/>
      <c r="P438" s="128" t="n"/>
      <c r="Q438" s="128" t="n"/>
      <c r="R438" s="128" t="n"/>
      <c r="S438" s="128" t="n"/>
      <c r="T438" s="128" t="n"/>
    </row>
    <row r="439" ht="15.75" customHeight="1">
      <c r="A439" s="429" t="n"/>
      <c r="B439" s="429" t="n"/>
      <c r="C439" s="429" t="n"/>
      <c r="D439" s="429" t="n"/>
      <c r="E439" s="460" t="inlineStr">
        <is>
          <t>Feras Mohammed Alajlan</t>
        </is>
      </c>
      <c r="F439" s="136" t="inlineStr">
        <is>
          <t>Security Services</t>
        </is>
      </c>
      <c r="G439" s="425" t="inlineStr">
        <is>
          <t>-</t>
        </is>
      </c>
      <c r="H439" s="425" t="n">
        <v>1097855389</v>
      </c>
      <c r="I439" s="425" t="inlineStr">
        <is>
          <t>Approved</t>
        </is>
      </c>
      <c r="J439" s="496" t="n">
        <v>46134</v>
      </c>
      <c r="K439" s="425" t="inlineStr">
        <is>
          <t>FMCO</t>
        </is>
      </c>
      <c r="L439" s="183" t="inlineStr">
        <is>
          <t>-</t>
        </is>
      </c>
      <c r="N439" s="128" t="n"/>
      <c r="O439" s="128" t="n"/>
      <c r="P439" s="128" t="n"/>
      <c r="Q439" s="128" t="n"/>
      <c r="R439" s="128" t="n"/>
      <c r="S439" s="128" t="n"/>
      <c r="T439" s="128" t="n"/>
    </row>
    <row r="440" ht="15.75" customHeight="1">
      <c r="A440" s="429" t="n"/>
      <c r="B440" s="429" t="n"/>
      <c r="C440" s="429" t="n"/>
      <c r="D440" s="429" t="n"/>
      <c r="E440" s="135" t="n"/>
      <c r="F440" s="136" t="inlineStr">
        <is>
          <t>Security Services</t>
        </is>
      </c>
      <c r="G440" s="425" t="inlineStr">
        <is>
          <t>-</t>
        </is>
      </c>
      <c r="H440" s="425" t="inlineStr">
        <is>
          <t>-</t>
        </is>
      </c>
      <c r="I440" s="425" t="inlineStr">
        <is>
          <t>Vacant</t>
        </is>
      </c>
      <c r="J440" s="499" t="n"/>
      <c r="K440" s="425" t="inlineStr">
        <is>
          <t>-</t>
        </is>
      </c>
      <c r="L440" s="183" t="inlineStr">
        <is>
          <t>-</t>
        </is>
      </c>
      <c r="N440" s="128" t="n"/>
      <c r="O440" s="128" t="n"/>
      <c r="P440" s="128" t="n"/>
      <c r="Q440" s="128" t="n"/>
      <c r="R440" s="128" t="n"/>
      <c r="S440" s="128" t="n"/>
      <c r="T440" s="128" t="n"/>
    </row>
    <row r="441" ht="15.75" customHeight="1">
      <c r="A441" s="429" t="n"/>
      <c r="B441" s="429" t="n"/>
      <c r="C441" s="429" t="n"/>
      <c r="D441" s="429" t="n"/>
      <c r="E441" s="135" t="n"/>
      <c r="F441" s="136" t="inlineStr">
        <is>
          <t>Security Services</t>
        </is>
      </c>
      <c r="G441" s="425" t="inlineStr">
        <is>
          <t>-</t>
        </is>
      </c>
      <c r="H441" s="425" t="inlineStr">
        <is>
          <t>-</t>
        </is>
      </c>
      <c r="I441" s="425" t="inlineStr">
        <is>
          <t>Vacant</t>
        </is>
      </c>
      <c r="J441" s="499" t="n"/>
      <c r="K441" s="425" t="inlineStr">
        <is>
          <t>-</t>
        </is>
      </c>
      <c r="L441" s="183" t="inlineStr">
        <is>
          <t>-</t>
        </is>
      </c>
      <c r="N441" s="128" t="n"/>
      <c r="O441" s="128" t="n"/>
      <c r="P441" s="128" t="n"/>
      <c r="Q441" s="128" t="n"/>
      <c r="R441" s="128" t="n"/>
      <c r="S441" s="128" t="n"/>
      <c r="T441" s="128" t="n"/>
    </row>
    <row r="442" ht="15.75" customHeight="1">
      <c r="A442" s="429" t="n"/>
      <c r="B442" s="429" t="n"/>
      <c r="C442" s="429" t="n"/>
      <c r="D442" s="429" t="n"/>
      <c r="E442" s="135" t="n"/>
      <c r="F442" s="136" t="inlineStr">
        <is>
          <t>Security Services</t>
        </is>
      </c>
      <c r="G442" s="425" t="inlineStr">
        <is>
          <t>-</t>
        </is>
      </c>
      <c r="H442" s="29" t="inlineStr">
        <is>
          <t>-</t>
        </is>
      </c>
      <c r="I442" s="425" t="inlineStr">
        <is>
          <t>Vacant</t>
        </is>
      </c>
      <c r="J442" s="499" t="n"/>
      <c r="K442" s="425" t="inlineStr">
        <is>
          <t>-</t>
        </is>
      </c>
      <c r="L442" s="183" t="inlineStr">
        <is>
          <t>-</t>
        </is>
      </c>
      <c r="N442" s="128" t="n"/>
      <c r="O442" s="128" t="n"/>
      <c r="P442" s="128" t="n"/>
      <c r="Q442" s="128" t="n"/>
      <c r="R442" s="128" t="n"/>
      <c r="S442" s="128" t="n"/>
      <c r="T442" s="128" t="n"/>
    </row>
    <row r="443" ht="15.75" customHeight="1">
      <c r="A443" s="429" t="n"/>
      <c r="B443" s="429" t="n"/>
      <c r="C443" s="429" t="n"/>
      <c r="D443" s="429" t="n"/>
      <c r="E443" s="135" t="n"/>
      <c r="F443" s="136" t="inlineStr">
        <is>
          <t>Security Services</t>
        </is>
      </c>
      <c r="G443" s="425" t="inlineStr">
        <is>
          <t>-</t>
        </is>
      </c>
      <c r="H443" s="29" t="inlineStr">
        <is>
          <t>-</t>
        </is>
      </c>
      <c r="I443" s="425" t="inlineStr">
        <is>
          <t>Vacant</t>
        </is>
      </c>
      <c r="J443" s="499" t="n"/>
      <c r="K443" s="425" t="inlineStr">
        <is>
          <t>-</t>
        </is>
      </c>
      <c r="L443" s="183" t="inlineStr">
        <is>
          <t>-</t>
        </is>
      </c>
      <c r="N443" s="128" t="n"/>
      <c r="O443" s="128" t="n"/>
      <c r="P443" s="128" t="n"/>
      <c r="Q443" s="128" t="n"/>
      <c r="R443" s="128" t="n"/>
      <c r="S443" s="128" t="n"/>
      <c r="T443" s="128" t="n"/>
    </row>
    <row r="444" ht="15.75" customHeight="1">
      <c r="A444" s="429" t="n"/>
      <c r="B444" s="429" t="n"/>
      <c r="C444" s="429" t="n"/>
      <c r="D444" s="429" t="n"/>
      <c r="E444" s="135" t="n"/>
      <c r="F444" s="136" t="inlineStr">
        <is>
          <t>Security Services</t>
        </is>
      </c>
      <c r="G444" s="425" t="inlineStr">
        <is>
          <t>-</t>
        </is>
      </c>
      <c r="H444" s="29" t="inlineStr">
        <is>
          <t>-</t>
        </is>
      </c>
      <c r="I444" s="425" t="inlineStr">
        <is>
          <t>Vacant</t>
        </is>
      </c>
      <c r="J444" s="499" t="n"/>
      <c r="K444" s="425" t="inlineStr">
        <is>
          <t>-</t>
        </is>
      </c>
      <c r="L444" s="183" t="inlineStr">
        <is>
          <t>-</t>
        </is>
      </c>
      <c r="N444" s="128" t="n"/>
      <c r="O444" s="128" t="n"/>
      <c r="P444" s="128" t="n"/>
      <c r="Q444" s="128" t="n"/>
      <c r="R444" s="128" t="n"/>
      <c r="S444" s="128" t="n"/>
      <c r="T444" s="128" t="n"/>
    </row>
    <row r="445" ht="15.75" customHeight="1">
      <c r="A445" s="431" t="n"/>
      <c r="B445" s="431" t="n"/>
      <c r="C445" s="431" t="n"/>
      <c r="D445" s="431" t="n"/>
      <c r="E445" s="135" t="n"/>
      <c r="F445" s="136" t="inlineStr">
        <is>
          <t>Security Services</t>
        </is>
      </c>
      <c r="G445" s="425" t="inlineStr">
        <is>
          <t>-</t>
        </is>
      </c>
      <c r="H445" s="29" t="inlineStr">
        <is>
          <t>-</t>
        </is>
      </c>
      <c r="I445" s="425" t="inlineStr">
        <is>
          <t>Vacant</t>
        </is>
      </c>
      <c r="J445" s="499" t="n"/>
      <c r="K445" s="425" t="inlineStr">
        <is>
          <t>-</t>
        </is>
      </c>
      <c r="L445" s="183" t="inlineStr">
        <is>
          <t>-</t>
        </is>
      </c>
      <c r="N445" s="128" t="n"/>
      <c r="O445" s="128" t="n"/>
      <c r="P445" s="128" t="n"/>
      <c r="Q445" s="128" t="n"/>
      <c r="R445" s="128" t="n"/>
      <c r="S445" s="128" t="n"/>
      <c r="T445" s="128" t="n"/>
    </row>
    <row r="446" ht="15.75" customHeight="1">
      <c r="A446" s="449" t="inlineStr">
        <is>
          <t>Security Watchman/Guards</t>
        </is>
      </c>
      <c r="B446" s="439" t="n">
        <v>60</v>
      </c>
      <c r="C446" s="439">
        <f>COUNTIF(E446:E505,"&lt;&gt;")</f>
        <v/>
      </c>
      <c r="D446" s="439">
        <f>C446-B446</f>
        <v/>
      </c>
      <c r="E446" s="460" t="inlineStr">
        <is>
          <t>Saad Saed Alshahrani</t>
        </is>
      </c>
      <c r="F446" s="136" t="inlineStr">
        <is>
          <t>Security Services</t>
        </is>
      </c>
      <c r="G446" s="425" t="n">
        <v>704102</v>
      </c>
      <c r="H446" s="425" t="n">
        <v>1097999765</v>
      </c>
      <c r="I446" s="425" t="inlineStr">
        <is>
          <t>Approved</t>
        </is>
      </c>
      <c r="J446" s="496" t="n">
        <v>46040</v>
      </c>
      <c r="K446" s="425" t="inlineStr">
        <is>
          <t>FMCO</t>
        </is>
      </c>
      <c r="L446" s="183" t="inlineStr">
        <is>
          <t>-</t>
        </is>
      </c>
      <c r="N446" s="128" t="n"/>
      <c r="O446" s="128" t="n"/>
      <c r="P446" s="128" t="n"/>
      <c r="Q446" s="128" t="n"/>
      <c r="R446" s="128" t="n"/>
      <c r="S446" s="128" t="n"/>
      <c r="T446" s="128" t="n"/>
    </row>
    <row r="447" ht="15.75" customHeight="1">
      <c r="A447" s="429" t="n"/>
      <c r="B447" s="429" t="n"/>
      <c r="C447" s="429" t="n"/>
      <c r="D447" s="429" t="n"/>
      <c r="E447" s="460" t="inlineStr">
        <is>
          <t>Saad Saleh Alotaibi</t>
        </is>
      </c>
      <c r="F447" s="136" t="inlineStr">
        <is>
          <t>Security Services</t>
        </is>
      </c>
      <c r="G447" s="425" t="n">
        <v>703623</v>
      </c>
      <c r="H447" s="425" t="n">
        <v>1129643811</v>
      </c>
      <c r="I447" s="425" t="inlineStr">
        <is>
          <t>Approved</t>
        </is>
      </c>
      <c r="J447" s="496" t="n">
        <v>45624</v>
      </c>
      <c r="K447" s="425" t="inlineStr">
        <is>
          <t>FMCO</t>
        </is>
      </c>
      <c r="L447" s="183" t="inlineStr">
        <is>
          <t>-</t>
        </is>
      </c>
      <c r="N447" s="128" t="n"/>
      <c r="O447" s="128" t="n"/>
      <c r="P447" s="128" t="n"/>
      <c r="Q447" s="128" t="n"/>
      <c r="R447" s="128" t="n"/>
      <c r="S447" s="128" t="n"/>
      <c r="T447" s="128" t="n"/>
    </row>
    <row r="448" ht="15.75" customHeight="1">
      <c r="A448" s="429" t="n"/>
      <c r="B448" s="429" t="n"/>
      <c r="C448" s="429" t="n"/>
      <c r="D448" s="429" t="n"/>
      <c r="E448" s="460" t="inlineStr">
        <is>
          <t>Mubarak Al Qahtani</t>
        </is>
      </c>
      <c r="F448" s="136" t="inlineStr">
        <is>
          <t>Security Services</t>
        </is>
      </c>
      <c r="G448" s="425" t="n">
        <v>703764</v>
      </c>
      <c r="H448" s="425" t="n">
        <v>1126822970</v>
      </c>
      <c r="I448" s="425" t="inlineStr">
        <is>
          <t>Approved</t>
        </is>
      </c>
      <c r="J448" s="496" t="n">
        <v>45704</v>
      </c>
      <c r="K448" s="425" t="inlineStr">
        <is>
          <t>FMCO</t>
        </is>
      </c>
      <c r="L448" s="183" t="inlineStr">
        <is>
          <t>-</t>
        </is>
      </c>
      <c r="N448" s="128" t="n"/>
      <c r="O448" s="128" t="n"/>
      <c r="P448" s="128" t="n"/>
      <c r="Q448" s="128" t="n"/>
      <c r="R448" s="128" t="n"/>
      <c r="S448" s="128" t="n"/>
      <c r="T448" s="128" t="n"/>
    </row>
    <row r="449" ht="15.75" customHeight="1">
      <c r="A449" s="429" t="n"/>
      <c r="B449" s="429" t="n"/>
      <c r="C449" s="429" t="n"/>
      <c r="D449" s="429" t="n"/>
      <c r="E449" s="460" t="inlineStr">
        <is>
          <t>Mushabab Al Qahtani</t>
        </is>
      </c>
      <c r="F449" s="136" t="inlineStr">
        <is>
          <t>Security Services</t>
        </is>
      </c>
      <c r="G449" s="425" t="n">
        <v>703766</v>
      </c>
      <c r="H449" s="425" t="n">
        <v>1128569694</v>
      </c>
      <c r="I449" s="425" t="inlineStr">
        <is>
          <t>Approved</t>
        </is>
      </c>
      <c r="J449" s="496" t="n">
        <v>45704</v>
      </c>
      <c r="K449" s="425" t="inlineStr">
        <is>
          <t>FMCO</t>
        </is>
      </c>
      <c r="L449" s="183" t="inlineStr">
        <is>
          <t>-</t>
        </is>
      </c>
      <c r="N449" s="128" t="n"/>
      <c r="O449" s="128" t="n"/>
      <c r="P449" s="128" t="n"/>
      <c r="Q449" s="128" t="n"/>
      <c r="R449" s="128" t="n"/>
      <c r="S449" s="128" t="n"/>
      <c r="T449" s="128" t="n"/>
    </row>
    <row r="450" ht="15.75" customHeight="1">
      <c r="A450" s="429" t="n"/>
      <c r="B450" s="429" t="n"/>
      <c r="C450" s="429" t="n"/>
      <c r="D450" s="429" t="n"/>
      <c r="E450" s="460" t="inlineStr">
        <is>
          <t>Abdul Rahman Al Otaibi</t>
        </is>
      </c>
      <c r="F450" s="136" t="inlineStr">
        <is>
          <t>Security Services</t>
        </is>
      </c>
      <c r="G450" s="425" t="n">
        <v>703802</v>
      </c>
      <c r="H450" s="425" t="n">
        <v>1123257618</v>
      </c>
      <c r="I450" s="425" t="inlineStr">
        <is>
          <t>Approved</t>
        </is>
      </c>
      <c r="J450" s="496" t="n">
        <v>45756</v>
      </c>
      <c r="K450" s="425" t="inlineStr">
        <is>
          <t>FMCO</t>
        </is>
      </c>
      <c r="L450" s="183" t="inlineStr">
        <is>
          <t>-</t>
        </is>
      </c>
      <c r="N450" s="128" t="n"/>
      <c r="O450" s="128" t="n"/>
      <c r="P450" s="128" t="n"/>
      <c r="Q450" s="128" t="n"/>
      <c r="R450" s="128" t="n"/>
      <c r="S450" s="128" t="n"/>
      <c r="T450" s="128" t="n"/>
    </row>
    <row r="451" ht="15.75" customHeight="1">
      <c r="A451" s="429" t="n"/>
      <c r="B451" s="429" t="n"/>
      <c r="C451" s="429" t="n"/>
      <c r="D451" s="429" t="n"/>
      <c r="E451" s="460" t="inlineStr">
        <is>
          <t>Owedh Al Shaibani</t>
        </is>
      </c>
      <c r="F451" s="136" t="inlineStr">
        <is>
          <t>Security Services</t>
        </is>
      </c>
      <c r="G451" s="425" t="n">
        <v>703803</v>
      </c>
      <c r="H451" s="425" t="n">
        <v>1046979405</v>
      </c>
      <c r="I451" s="425" t="inlineStr">
        <is>
          <t>Approved</t>
        </is>
      </c>
      <c r="J451" s="496" t="n">
        <v>45756</v>
      </c>
      <c r="K451" s="425" t="inlineStr">
        <is>
          <t>FMCO</t>
        </is>
      </c>
      <c r="L451" s="183" t="inlineStr">
        <is>
          <t>-</t>
        </is>
      </c>
      <c r="N451" s="128" t="n"/>
      <c r="O451" s="128" t="n"/>
      <c r="P451" s="128" t="n"/>
      <c r="Q451" s="128" t="n"/>
      <c r="R451" s="128" t="n"/>
      <c r="S451" s="128" t="n"/>
      <c r="T451" s="128" t="n"/>
    </row>
    <row r="452" ht="15.75" customHeight="1">
      <c r="A452" s="429" t="n"/>
      <c r="B452" s="429" t="n"/>
      <c r="C452" s="429" t="n"/>
      <c r="D452" s="429" t="n"/>
      <c r="E452" s="460" t="inlineStr">
        <is>
          <t>Muqbil Al Qahtani</t>
        </is>
      </c>
      <c r="F452" s="136" t="inlineStr">
        <is>
          <t>Security Services</t>
        </is>
      </c>
      <c r="G452" s="425" t="n">
        <v>703806</v>
      </c>
      <c r="H452" s="425" t="n">
        <v>1131162891</v>
      </c>
      <c r="I452" s="425" t="inlineStr">
        <is>
          <t>Approved</t>
        </is>
      </c>
      <c r="J452" s="496" t="n">
        <v>45756</v>
      </c>
      <c r="K452" s="425" t="inlineStr">
        <is>
          <t>FMCO</t>
        </is>
      </c>
      <c r="L452" s="183" t="inlineStr">
        <is>
          <t>-</t>
        </is>
      </c>
      <c r="N452" s="128" t="n"/>
      <c r="O452" s="128" t="n"/>
      <c r="P452" s="128" t="n"/>
      <c r="Q452" s="128" t="n"/>
      <c r="R452" s="128" t="n"/>
      <c r="S452" s="128" t="n"/>
      <c r="T452" s="128" t="n"/>
    </row>
    <row r="453" ht="15.75" customHeight="1">
      <c r="A453" s="429" t="n"/>
      <c r="B453" s="429" t="n"/>
      <c r="C453" s="429" t="n"/>
      <c r="D453" s="429" t="n"/>
      <c r="E453" s="460" t="inlineStr">
        <is>
          <t>Meshari Al Dossari</t>
        </is>
      </c>
      <c r="F453" s="136" t="inlineStr">
        <is>
          <t>Security Services</t>
        </is>
      </c>
      <c r="G453" s="425" t="n">
        <v>703807</v>
      </c>
      <c r="H453" s="425" t="n">
        <v>1135470522</v>
      </c>
      <c r="I453" s="425" t="inlineStr">
        <is>
          <t>Approved</t>
        </is>
      </c>
      <c r="J453" s="496" t="n">
        <v>45756</v>
      </c>
      <c r="K453" s="425" t="inlineStr">
        <is>
          <t>FMCO</t>
        </is>
      </c>
      <c r="L453" s="183" t="inlineStr">
        <is>
          <t>-</t>
        </is>
      </c>
      <c r="N453" s="128" t="n"/>
      <c r="O453" s="128" t="n"/>
      <c r="P453" s="128" t="n"/>
      <c r="Q453" s="128" t="n"/>
      <c r="R453" s="128" t="n"/>
      <c r="S453" s="128" t="n"/>
      <c r="T453" s="128" t="n"/>
    </row>
    <row r="454" ht="15.75" customHeight="1">
      <c r="A454" s="429" t="n"/>
      <c r="B454" s="429" t="n"/>
      <c r="C454" s="429" t="n"/>
      <c r="D454" s="429" t="n"/>
      <c r="E454" s="460" t="inlineStr">
        <is>
          <t>Mohammad  Al Otaibi</t>
        </is>
      </c>
      <c r="F454" s="136" t="inlineStr">
        <is>
          <t>Security Services</t>
        </is>
      </c>
      <c r="G454" s="425" t="n">
        <v>703814</v>
      </c>
      <c r="H454" s="425" t="n">
        <v>1121146896</v>
      </c>
      <c r="I454" s="425" t="inlineStr">
        <is>
          <t>Approved</t>
        </is>
      </c>
      <c r="J454" s="496" t="n">
        <v>45763</v>
      </c>
      <c r="K454" s="425" t="inlineStr">
        <is>
          <t>FMCO</t>
        </is>
      </c>
      <c r="L454" s="183" t="inlineStr">
        <is>
          <t>-</t>
        </is>
      </c>
      <c r="N454" s="128" t="n"/>
      <c r="O454" s="128" t="n"/>
      <c r="P454" s="128" t="n"/>
      <c r="Q454" s="128" t="n"/>
      <c r="R454" s="128" t="n"/>
      <c r="S454" s="128" t="n"/>
      <c r="T454" s="128" t="n"/>
    </row>
    <row r="455" ht="15.75" customHeight="1">
      <c r="A455" s="429" t="n"/>
      <c r="B455" s="429" t="n"/>
      <c r="C455" s="429" t="n"/>
      <c r="D455" s="429" t="n"/>
      <c r="E455" s="460" t="inlineStr">
        <is>
          <t>Khalid Meshari Alotaibi</t>
        </is>
      </c>
      <c r="F455" s="136" t="inlineStr">
        <is>
          <t>Security Services</t>
        </is>
      </c>
      <c r="G455" s="425" t="n">
        <v>703833</v>
      </c>
      <c r="H455" s="425" t="n">
        <v>1005643356</v>
      </c>
      <c r="I455" s="425" t="inlineStr">
        <is>
          <t>Approved</t>
        </is>
      </c>
      <c r="J455" s="496" t="n">
        <v>45791</v>
      </c>
      <c r="K455" s="425" t="inlineStr">
        <is>
          <t>FMCO</t>
        </is>
      </c>
      <c r="L455" s="183" t="inlineStr">
        <is>
          <t>-</t>
        </is>
      </c>
      <c r="N455" s="128" t="n"/>
      <c r="O455" s="128" t="n"/>
      <c r="P455" s="128" t="n"/>
      <c r="Q455" s="128" t="n"/>
      <c r="R455" s="128" t="n"/>
      <c r="S455" s="128" t="n"/>
      <c r="T455" s="128" t="n"/>
    </row>
    <row r="456" ht="15.75" customHeight="1">
      <c r="A456" s="429" t="n"/>
      <c r="B456" s="429" t="n"/>
      <c r="C456" s="429" t="n"/>
      <c r="D456" s="429" t="n"/>
      <c r="E456" s="460" t="inlineStr">
        <is>
          <t>Ayidh Mesfer  Alqahtani</t>
        </is>
      </c>
      <c r="F456" s="136" t="inlineStr">
        <is>
          <t>Security Services</t>
        </is>
      </c>
      <c r="G456" s="425" t="n">
        <v>703927</v>
      </c>
      <c r="H456" s="425" t="n">
        <v>1097479941</v>
      </c>
      <c r="I456" s="425" t="inlineStr">
        <is>
          <t>Approved</t>
        </is>
      </c>
      <c r="J456" s="496" t="n">
        <v>45869</v>
      </c>
      <c r="K456" s="425" t="inlineStr">
        <is>
          <t>FMCO</t>
        </is>
      </c>
      <c r="L456" s="183" t="inlineStr">
        <is>
          <t>-</t>
        </is>
      </c>
      <c r="N456" s="128" t="n"/>
      <c r="O456" s="128" t="n"/>
      <c r="P456" s="128" t="n"/>
      <c r="Q456" s="128" t="n"/>
      <c r="R456" s="128" t="n"/>
      <c r="S456" s="128" t="n"/>
      <c r="T456" s="128" t="n"/>
    </row>
    <row r="457" ht="15.75" customHeight="1">
      <c r="A457" s="429" t="n"/>
      <c r="B457" s="429" t="n"/>
      <c r="C457" s="429" t="n"/>
      <c r="D457" s="429" t="n"/>
      <c r="E457" s="460" t="inlineStr">
        <is>
          <t>Majed Saeed Mohammad Alshahrani</t>
        </is>
      </c>
      <c r="F457" s="136" t="inlineStr">
        <is>
          <t>Security Services</t>
        </is>
      </c>
      <c r="G457" s="425" t="n">
        <v>704101</v>
      </c>
      <c r="H457" s="425" t="n">
        <v>1130393984</v>
      </c>
      <c r="I457" s="425" t="inlineStr">
        <is>
          <t>Approved</t>
        </is>
      </c>
      <c r="J457" s="496" t="n">
        <v>46040</v>
      </c>
      <c r="K457" s="425" t="inlineStr">
        <is>
          <t>FMCO</t>
        </is>
      </c>
      <c r="L457" s="183" t="inlineStr">
        <is>
          <t>-</t>
        </is>
      </c>
      <c r="N457" s="128" t="n"/>
      <c r="O457" s="128" t="n"/>
      <c r="P457" s="128" t="n"/>
      <c r="Q457" s="128" t="n"/>
      <c r="R457" s="128" t="n"/>
      <c r="S457" s="128" t="n"/>
      <c r="T457" s="128" t="n"/>
    </row>
    <row r="458" ht="15.75" customHeight="1">
      <c r="A458" s="429" t="n"/>
      <c r="B458" s="429" t="n"/>
      <c r="C458" s="429" t="n"/>
      <c r="D458" s="429" t="n"/>
      <c r="E458" s="460" t="inlineStr">
        <is>
          <t>Abdullah Saeed Alshahrani</t>
        </is>
      </c>
      <c r="F458" s="136" t="inlineStr">
        <is>
          <t>Security Services</t>
        </is>
      </c>
      <c r="G458" s="425" t="n">
        <v>704119</v>
      </c>
      <c r="H458" s="425" t="n">
        <v>1121101347</v>
      </c>
      <c r="I458" s="425" t="inlineStr">
        <is>
          <t>Approved</t>
        </is>
      </c>
      <c r="J458" s="496" t="n">
        <v>46047</v>
      </c>
      <c r="K458" s="425" t="inlineStr">
        <is>
          <t>FMCO</t>
        </is>
      </c>
      <c r="L458" s="183" t="inlineStr">
        <is>
          <t>-</t>
        </is>
      </c>
      <c r="N458" s="128" t="n"/>
      <c r="O458" s="128" t="n"/>
      <c r="P458" s="128" t="n"/>
      <c r="Q458" s="128" t="n"/>
      <c r="R458" s="128" t="n"/>
      <c r="S458" s="128" t="n"/>
      <c r="T458" s="128" t="n"/>
    </row>
    <row r="459" ht="15.75" customHeight="1">
      <c r="A459" s="429" t="n"/>
      <c r="B459" s="429" t="n"/>
      <c r="C459" s="429" t="n"/>
      <c r="D459" s="429" t="n"/>
      <c r="E459" s="460" t="inlineStr">
        <is>
          <t>Mohammed Aedh Alaklabe</t>
        </is>
      </c>
      <c r="F459" s="136" t="inlineStr">
        <is>
          <t>Security Services</t>
        </is>
      </c>
      <c r="G459" s="425" t="n">
        <v>704150</v>
      </c>
      <c r="H459" s="425" t="n">
        <v>1139588899</v>
      </c>
      <c r="I459" s="425" t="inlineStr">
        <is>
          <t>Approved</t>
        </is>
      </c>
      <c r="J459" s="496" t="n">
        <v>46079</v>
      </c>
      <c r="K459" s="425" t="inlineStr">
        <is>
          <t>FMCO</t>
        </is>
      </c>
      <c r="L459" s="183" t="inlineStr">
        <is>
          <t>-</t>
        </is>
      </c>
      <c r="N459" s="128" t="n"/>
      <c r="O459" s="128" t="n"/>
      <c r="P459" s="128" t="n"/>
      <c r="Q459" s="128" t="n"/>
      <c r="R459" s="128" t="n"/>
      <c r="S459" s="128" t="n"/>
      <c r="T459" s="128" t="n"/>
    </row>
    <row r="460" ht="15.75" customHeight="1">
      <c r="A460" s="429" t="n"/>
      <c r="B460" s="429" t="n"/>
      <c r="C460" s="429" t="n"/>
      <c r="D460" s="429" t="n"/>
      <c r="E460" s="460" t="inlineStr">
        <is>
          <t>Fayez Hashr Alotaibi</t>
        </is>
      </c>
      <c r="F460" s="136" t="inlineStr">
        <is>
          <t>Security Services</t>
        </is>
      </c>
      <c r="G460" s="425" t="n">
        <v>704056</v>
      </c>
      <c r="H460" s="425" t="n">
        <v>1125804342</v>
      </c>
      <c r="I460" s="425" t="inlineStr">
        <is>
          <t>Approved</t>
        </is>
      </c>
      <c r="J460" s="496" t="n">
        <v>45972</v>
      </c>
      <c r="K460" s="425" t="inlineStr">
        <is>
          <t>FMCO</t>
        </is>
      </c>
      <c r="L460" s="183" t="inlineStr">
        <is>
          <t>-</t>
        </is>
      </c>
      <c r="N460" s="128" t="n"/>
      <c r="O460" s="128" t="n"/>
      <c r="P460" s="128" t="n"/>
      <c r="Q460" s="128" t="n"/>
      <c r="R460" s="128" t="n"/>
      <c r="S460" s="128" t="n"/>
      <c r="T460" s="128" t="n"/>
    </row>
    <row r="461" ht="15.75" customHeight="1">
      <c r="A461" s="429" t="n"/>
      <c r="B461" s="429" t="n"/>
      <c r="C461" s="429" t="n"/>
      <c r="D461" s="429" t="n"/>
      <c r="E461" s="460" t="inlineStr">
        <is>
          <t>Abdullah Bin Atallah Alqahtani</t>
        </is>
      </c>
      <c r="F461" s="136" t="inlineStr">
        <is>
          <t>Security Services</t>
        </is>
      </c>
      <c r="G461" s="425" t="inlineStr">
        <is>
          <t> </t>
        </is>
      </c>
      <c r="H461" s="425" t="n">
        <v>1130438631</v>
      </c>
      <c r="I461" s="425" t="inlineStr">
        <is>
          <t>Approved</t>
        </is>
      </c>
      <c r="J461" s="496" t="n">
        <v>46131</v>
      </c>
      <c r="K461" s="425" t="inlineStr">
        <is>
          <t>FMCO</t>
        </is>
      </c>
      <c r="L461" s="183" t="inlineStr">
        <is>
          <t>-</t>
        </is>
      </c>
      <c r="N461" s="128" t="n"/>
      <c r="O461" s="128" t="n"/>
      <c r="P461" s="128" t="n"/>
      <c r="Q461" s="128" t="n"/>
      <c r="R461" s="128" t="n"/>
      <c r="S461" s="128" t="n"/>
      <c r="T461" s="128" t="n"/>
    </row>
    <row r="462" ht="15.75" customHeight="1">
      <c r="A462" s="429" t="n"/>
      <c r="B462" s="429" t="n"/>
      <c r="C462" s="429" t="n"/>
      <c r="D462" s="429" t="n"/>
      <c r="E462" s="460" t="inlineStr">
        <is>
          <t>Saad Alqahtani</t>
        </is>
      </c>
      <c r="F462" s="136" t="inlineStr">
        <is>
          <t>Security Services</t>
        </is>
      </c>
      <c r="G462" s="425" t="inlineStr">
        <is>
          <t> </t>
        </is>
      </c>
      <c r="H462" s="425" t="n">
        <v>1127072690</v>
      </c>
      <c r="I462" s="425" t="inlineStr">
        <is>
          <t>Approved</t>
        </is>
      </c>
      <c r="J462" s="496" t="n">
        <v>46131</v>
      </c>
      <c r="K462" s="425" t="inlineStr">
        <is>
          <t>FMCO</t>
        </is>
      </c>
      <c r="L462" s="183" t="inlineStr">
        <is>
          <t>-</t>
        </is>
      </c>
      <c r="N462" s="128" t="n"/>
      <c r="O462" s="128" t="n"/>
      <c r="P462" s="128" t="n"/>
      <c r="Q462" s="128" t="n"/>
      <c r="R462" s="128" t="n"/>
      <c r="S462" s="128" t="n"/>
      <c r="T462" s="128" t="n"/>
    </row>
    <row r="463" ht="15.75" customHeight="1">
      <c r="A463" s="429" t="n"/>
      <c r="B463" s="429" t="n"/>
      <c r="C463" s="429" t="n"/>
      <c r="D463" s="429" t="n"/>
      <c r="E463" s="460" t="inlineStr">
        <is>
          <t>Falah Nasser Alkahtni</t>
        </is>
      </c>
      <c r="F463" s="136" t="inlineStr">
        <is>
          <t>Security Services</t>
        </is>
      </c>
      <c r="G463" s="425" t="n">
        <v>704271</v>
      </c>
      <c r="H463" s="425" t="n">
        <v>1129380901</v>
      </c>
      <c r="I463" s="425" t="inlineStr">
        <is>
          <t>Approved</t>
        </is>
      </c>
      <c r="J463" s="496" t="n">
        <v>46155</v>
      </c>
      <c r="K463" s="425" t="inlineStr">
        <is>
          <t>FMCO</t>
        </is>
      </c>
      <c r="L463" s="183" t="inlineStr">
        <is>
          <t>-</t>
        </is>
      </c>
      <c r="N463" s="128" t="n"/>
      <c r="O463" s="128" t="n"/>
      <c r="P463" s="128" t="n"/>
      <c r="Q463" s="128" t="n"/>
      <c r="R463" s="128" t="n"/>
      <c r="S463" s="128" t="n"/>
      <c r="T463" s="128" t="n"/>
    </row>
    <row r="464" ht="15.75" customHeight="1">
      <c r="A464" s="429" t="n"/>
      <c r="B464" s="429" t="n"/>
      <c r="C464" s="429" t="n"/>
      <c r="D464" s="429" t="n"/>
      <c r="E464" s="460" t="inlineStr">
        <is>
          <t xml:space="preserve">Jaber Ahmed Khubrani </t>
        </is>
      </c>
      <c r="F464" s="136" t="inlineStr">
        <is>
          <t>Security Services</t>
        </is>
      </c>
      <c r="G464" s="425" t="n">
        <v>704272</v>
      </c>
      <c r="H464" s="425" t="n">
        <v>1114465709</v>
      </c>
      <c r="I464" s="425" t="inlineStr">
        <is>
          <t>Approved</t>
        </is>
      </c>
      <c r="J464" s="496" t="n">
        <v>46155</v>
      </c>
      <c r="K464" s="425" t="inlineStr">
        <is>
          <t>FMCO</t>
        </is>
      </c>
      <c r="L464" s="183" t="inlineStr">
        <is>
          <t>-</t>
        </is>
      </c>
      <c r="N464" s="128" t="n"/>
      <c r="O464" s="128" t="n"/>
      <c r="P464" s="128" t="n"/>
      <c r="Q464" s="128" t="n"/>
      <c r="R464" s="128" t="n"/>
      <c r="S464" s="128" t="n"/>
      <c r="T464" s="128" t="n"/>
    </row>
    <row r="465" ht="15.75" customHeight="1">
      <c r="A465" s="429" t="n"/>
      <c r="B465" s="429" t="n"/>
      <c r="C465" s="429" t="n"/>
      <c r="D465" s="429" t="n"/>
      <c r="E465" s="460" t="inlineStr">
        <is>
          <t>Munahi Mohammed Alsubaie</t>
        </is>
      </c>
      <c r="F465" s="136" t="inlineStr">
        <is>
          <t>Security Services</t>
        </is>
      </c>
      <c r="G465" s="425" t="n">
        <v>704274</v>
      </c>
      <c r="H465" s="425" t="n">
        <v>1117629459</v>
      </c>
      <c r="I465" s="425" t="inlineStr">
        <is>
          <t>Approved</t>
        </is>
      </c>
      <c r="J465" s="496" t="n">
        <v>46155</v>
      </c>
      <c r="K465" s="425" t="inlineStr">
        <is>
          <t>FMCO</t>
        </is>
      </c>
      <c r="L465" s="183" t="inlineStr">
        <is>
          <t>-</t>
        </is>
      </c>
      <c r="N465" s="128" t="n"/>
      <c r="O465" s="128" t="n"/>
      <c r="P465" s="128" t="n"/>
      <c r="Q465" s="128" t="n"/>
      <c r="R465" s="128" t="n"/>
      <c r="S465" s="128" t="n"/>
      <c r="T465" s="128" t="n"/>
    </row>
    <row r="466" ht="15.75" customHeight="1">
      <c r="A466" s="429" t="n"/>
      <c r="B466" s="429" t="n"/>
      <c r="C466" s="429" t="n"/>
      <c r="D466" s="429" t="n"/>
      <c r="E466" s="460" t="inlineStr">
        <is>
          <t>Ali Mohammed Alqahtani</t>
        </is>
      </c>
      <c r="F466" s="136" t="inlineStr">
        <is>
          <t>Security Services</t>
        </is>
      </c>
      <c r="G466" s="425" t="n">
        <v>704276</v>
      </c>
      <c r="H466" s="425" t="n">
        <v>1131358077</v>
      </c>
      <c r="I466" s="425" t="inlineStr">
        <is>
          <t>Approved</t>
        </is>
      </c>
      <c r="J466" s="496" t="n">
        <v>46155</v>
      </c>
      <c r="K466" s="425" t="inlineStr">
        <is>
          <t>FMCO</t>
        </is>
      </c>
      <c r="L466" s="183" t="inlineStr">
        <is>
          <t>-</t>
        </is>
      </c>
      <c r="N466" s="128" t="n"/>
      <c r="O466" s="128" t="n"/>
      <c r="P466" s="128" t="n"/>
      <c r="Q466" s="128" t="n"/>
      <c r="R466" s="128" t="n"/>
      <c r="S466" s="128" t="n"/>
      <c r="T466" s="128" t="n"/>
    </row>
    <row r="467" ht="15.75" customHeight="1">
      <c r="A467" s="429" t="n"/>
      <c r="B467" s="429" t="n"/>
      <c r="C467" s="429" t="n"/>
      <c r="D467" s="429" t="n"/>
      <c r="E467" s="460" t="inlineStr">
        <is>
          <t>Abdulkarim Mohammed Alshahrani</t>
        </is>
      </c>
      <c r="F467" s="136" t="inlineStr">
        <is>
          <t>Security Services</t>
        </is>
      </c>
      <c r="G467" s="425" t="n">
        <v>704275</v>
      </c>
      <c r="H467" s="425" t="n">
        <v>1094143250</v>
      </c>
      <c r="I467" s="425" t="inlineStr">
        <is>
          <t>Approved</t>
        </is>
      </c>
      <c r="J467" s="496" t="n">
        <v>46155</v>
      </c>
      <c r="K467" s="425" t="inlineStr">
        <is>
          <t>FMCO</t>
        </is>
      </c>
      <c r="L467" s="183" t="inlineStr">
        <is>
          <t>-</t>
        </is>
      </c>
      <c r="N467" s="128" t="n"/>
      <c r="O467" s="128" t="n"/>
      <c r="P467" s="128" t="n"/>
      <c r="Q467" s="128" t="n"/>
      <c r="R467" s="128" t="n"/>
      <c r="S467" s="128" t="n"/>
      <c r="T467" s="128" t="n"/>
    </row>
    <row r="468" ht="15.75" customHeight="1">
      <c r="A468" s="429" t="n"/>
      <c r="B468" s="429" t="n"/>
      <c r="C468" s="429" t="n"/>
      <c r="D468" s="429" t="n"/>
      <c r="E468" s="460" t="inlineStr">
        <is>
          <t>Bader Badi Al Dossari</t>
        </is>
      </c>
      <c r="F468" s="136" t="inlineStr">
        <is>
          <t>Security Services</t>
        </is>
      </c>
      <c r="G468" s="425" t="n">
        <v>704121</v>
      </c>
      <c r="H468" s="425" t="n">
        <v>1111582852</v>
      </c>
      <c r="I468" s="425" t="inlineStr">
        <is>
          <t>Approved</t>
        </is>
      </c>
      <c r="J468" s="496" t="n">
        <v>46047</v>
      </c>
      <c r="K468" s="425" t="inlineStr">
        <is>
          <t>FMCO</t>
        </is>
      </c>
      <c r="L468" s="183" t="inlineStr">
        <is>
          <t>-</t>
        </is>
      </c>
      <c r="N468" s="128" t="n"/>
      <c r="O468" s="128" t="n"/>
      <c r="P468" s="128" t="n"/>
      <c r="Q468" s="128" t="n"/>
      <c r="R468" s="128" t="n"/>
      <c r="S468" s="128" t="n"/>
      <c r="T468" s="128" t="n"/>
    </row>
    <row r="469" ht="15.75" customHeight="1">
      <c r="A469" s="429" t="n"/>
      <c r="B469" s="429" t="n"/>
      <c r="C469" s="429" t="n"/>
      <c r="D469" s="429" t="n"/>
      <c r="E469" s="460" t="inlineStr">
        <is>
          <t>Dhafer Mohammed Alqahtani</t>
        </is>
      </c>
      <c r="F469" s="136" t="inlineStr">
        <is>
          <t>Security Services</t>
        </is>
      </c>
      <c r="G469" s="425" t="inlineStr">
        <is>
          <t>-</t>
        </is>
      </c>
      <c r="H469" s="154" t="n">
        <v>1129832968</v>
      </c>
      <c r="I469" s="425" t="inlineStr">
        <is>
          <t>Approved</t>
        </is>
      </c>
      <c r="J469" s="496" t="n">
        <v>46222</v>
      </c>
      <c r="K469" s="425" t="inlineStr">
        <is>
          <t>FMCO</t>
        </is>
      </c>
      <c r="L469" s="183" t="inlineStr">
        <is>
          <t>-</t>
        </is>
      </c>
      <c r="N469" s="128" t="n"/>
      <c r="O469" s="128" t="n"/>
      <c r="P469" s="128" t="n"/>
      <c r="Q469" s="128" t="n"/>
      <c r="R469" s="128" t="n"/>
      <c r="S469" s="128" t="n"/>
      <c r="T469" s="128" t="n"/>
    </row>
    <row r="470" ht="15.75" customHeight="1">
      <c r="A470" s="429" t="n"/>
      <c r="B470" s="429" t="n"/>
      <c r="C470" s="429" t="n"/>
      <c r="D470" s="429" t="n"/>
      <c r="E470" s="460" t="inlineStr">
        <is>
          <t>Saud Saleh</t>
        </is>
      </c>
      <c r="F470" s="136" t="inlineStr">
        <is>
          <t>Security Services</t>
        </is>
      </c>
      <c r="G470" s="425" t="inlineStr">
        <is>
          <t>-</t>
        </is>
      </c>
      <c r="H470" s="154" t="n">
        <v>1113793069</v>
      </c>
      <c r="I470" s="425" t="inlineStr">
        <is>
          <t>Approved</t>
        </is>
      </c>
      <c r="J470" s="496" t="n">
        <v>46222</v>
      </c>
      <c r="K470" s="425" t="inlineStr">
        <is>
          <t>FMCO</t>
        </is>
      </c>
      <c r="L470" s="183" t="inlineStr">
        <is>
          <t>-</t>
        </is>
      </c>
      <c r="N470" s="128" t="n"/>
      <c r="O470" s="128" t="n"/>
      <c r="P470" s="128" t="n"/>
      <c r="Q470" s="128" t="n"/>
      <c r="R470" s="128" t="n"/>
      <c r="S470" s="128" t="n"/>
      <c r="T470" s="128" t="n"/>
    </row>
    <row r="471" ht="15.75" customHeight="1">
      <c r="A471" s="429" t="n"/>
      <c r="B471" s="429" t="n"/>
      <c r="C471" s="429" t="n"/>
      <c r="D471" s="429" t="n"/>
      <c r="E471" s="460" t="inlineStr">
        <is>
          <t xml:space="preserve">Zaid Mohammaed </t>
        </is>
      </c>
      <c r="F471" s="136" t="inlineStr">
        <is>
          <t>Security Services</t>
        </is>
      </c>
      <c r="G471" s="425" t="inlineStr">
        <is>
          <t>-</t>
        </is>
      </c>
      <c r="H471" s="154" t="n">
        <v>1122344169</v>
      </c>
      <c r="I471" s="425" t="inlineStr">
        <is>
          <t>Approved</t>
        </is>
      </c>
      <c r="J471" s="496" t="n">
        <v>46222</v>
      </c>
      <c r="K471" s="425" t="inlineStr">
        <is>
          <t>FMCO</t>
        </is>
      </c>
      <c r="L471" s="183" t="inlineStr">
        <is>
          <t>-</t>
        </is>
      </c>
      <c r="N471" s="128" t="n"/>
      <c r="O471" s="128" t="n"/>
      <c r="P471" s="128" t="n"/>
      <c r="Q471" s="128" t="n"/>
      <c r="R471" s="128" t="n"/>
      <c r="S471" s="128" t="n"/>
      <c r="T471" s="128" t="n"/>
    </row>
    <row r="472" ht="15.75" customHeight="1">
      <c r="A472" s="429" t="n"/>
      <c r="B472" s="429" t="n"/>
      <c r="C472" s="429" t="n"/>
      <c r="D472" s="429" t="n"/>
      <c r="E472" s="460" t="inlineStr">
        <is>
          <t>Mubarak Mesfer Aldawsari</t>
        </is>
      </c>
      <c r="F472" s="136" t="inlineStr">
        <is>
          <t>Security Services</t>
        </is>
      </c>
      <c r="G472" s="425" t="inlineStr">
        <is>
          <t>-</t>
        </is>
      </c>
      <c r="H472" s="154" t="n">
        <v>1113542904</v>
      </c>
      <c r="I472" s="425" t="inlineStr">
        <is>
          <t>Approved</t>
        </is>
      </c>
      <c r="J472" s="499" t="n"/>
      <c r="K472" s="425" t="inlineStr">
        <is>
          <t>FMCO</t>
        </is>
      </c>
      <c r="L472" s="183" t="inlineStr">
        <is>
          <t>-</t>
        </is>
      </c>
      <c r="N472" s="128" t="n"/>
      <c r="O472" s="128" t="n"/>
      <c r="P472" s="128" t="n"/>
      <c r="Q472" s="128" t="n"/>
      <c r="R472" s="128" t="n"/>
      <c r="S472" s="128" t="n"/>
      <c r="T472" s="128" t="n"/>
    </row>
    <row r="473" ht="15.75" customHeight="1">
      <c r="A473" s="429" t="n"/>
      <c r="B473" s="429" t="n"/>
      <c r="C473" s="429" t="n"/>
      <c r="D473" s="429" t="n"/>
      <c r="E473" s="460" t="inlineStr">
        <is>
          <t>Khalid Abdulhadi Alqahtani</t>
        </is>
      </c>
      <c r="F473" s="136" t="inlineStr">
        <is>
          <t>Security Services</t>
        </is>
      </c>
      <c r="G473" s="425" t="inlineStr">
        <is>
          <t>-</t>
        </is>
      </c>
      <c r="H473" s="154" t="n">
        <v>1126303302</v>
      </c>
      <c r="I473" s="425" t="inlineStr">
        <is>
          <t>Approved</t>
        </is>
      </c>
      <c r="J473" s="499" t="n"/>
      <c r="K473" s="425" t="inlineStr">
        <is>
          <t>FMCO</t>
        </is>
      </c>
      <c r="L473" s="183" t="inlineStr">
        <is>
          <t>-</t>
        </is>
      </c>
      <c r="N473" s="128" t="n"/>
      <c r="O473" s="128" t="n"/>
      <c r="P473" s="128" t="n"/>
      <c r="Q473" s="128" t="n"/>
      <c r="R473" s="128" t="n"/>
      <c r="S473" s="128" t="n"/>
      <c r="T473" s="128" t="n"/>
    </row>
    <row r="474" ht="15.75" customHeight="1">
      <c r="A474" s="429" t="n"/>
      <c r="B474" s="429" t="n"/>
      <c r="C474" s="429" t="n"/>
      <c r="D474" s="429" t="n"/>
      <c r="E474" s="460" t="inlineStr">
        <is>
          <t>Aiydh Saeed Alaklubi</t>
        </is>
      </c>
      <c r="F474" s="136" t="inlineStr">
        <is>
          <t>Security Services</t>
        </is>
      </c>
      <c r="G474" s="425" t="inlineStr">
        <is>
          <t>-</t>
        </is>
      </c>
      <c r="H474" s="154" t="n">
        <v>1120581192</v>
      </c>
      <c r="I474" s="425" t="inlineStr">
        <is>
          <t>Approved</t>
        </is>
      </c>
      <c r="J474" s="499" t="n"/>
      <c r="K474" s="425" t="inlineStr">
        <is>
          <t>FMCO</t>
        </is>
      </c>
      <c r="L474" s="183" t="inlineStr">
        <is>
          <t>-</t>
        </is>
      </c>
      <c r="N474" s="128" t="n"/>
      <c r="O474" s="128" t="n"/>
      <c r="P474" s="128" t="n"/>
      <c r="Q474" s="128" t="n"/>
      <c r="R474" s="128" t="n"/>
      <c r="S474" s="128" t="n"/>
      <c r="T474" s="128" t="n"/>
    </row>
    <row r="475" ht="15.75" customHeight="1">
      <c r="A475" s="429" t="n"/>
      <c r="B475" s="429" t="n"/>
      <c r="C475" s="429" t="n"/>
      <c r="D475" s="429" t="n"/>
      <c r="E475" s="460" t="inlineStr">
        <is>
          <t>Saud Falah Alqahtani</t>
        </is>
      </c>
      <c r="F475" s="136" t="inlineStr">
        <is>
          <t>Security Services</t>
        </is>
      </c>
      <c r="G475" s="425" t="inlineStr">
        <is>
          <t>-</t>
        </is>
      </c>
      <c r="H475" s="154" t="n">
        <v>1124079052</v>
      </c>
      <c r="I475" s="425" t="inlineStr">
        <is>
          <t>Approved</t>
        </is>
      </c>
      <c r="J475" s="499" t="n"/>
      <c r="K475" s="425" t="inlineStr">
        <is>
          <t>FMCO</t>
        </is>
      </c>
      <c r="L475" s="183" t="inlineStr">
        <is>
          <t>-</t>
        </is>
      </c>
      <c r="N475" s="128" t="n"/>
      <c r="O475" s="128" t="n"/>
      <c r="P475" s="128" t="n"/>
      <c r="Q475" s="128" t="n"/>
      <c r="R475" s="128" t="n"/>
      <c r="S475" s="128" t="n"/>
      <c r="T475" s="128" t="n"/>
    </row>
    <row r="476" ht="15.75" customHeight="1">
      <c r="A476" s="429" t="n"/>
      <c r="B476" s="429" t="n"/>
      <c r="C476" s="429" t="n"/>
      <c r="D476" s="429" t="n"/>
      <c r="E476" s="460" t="inlineStr">
        <is>
          <t>MOHAMMED AYAD ALALYAN</t>
        </is>
      </c>
      <c r="F476" s="136" t="inlineStr">
        <is>
          <t>Security Services</t>
        </is>
      </c>
      <c r="G476" s="425" t="inlineStr">
        <is>
          <t>-</t>
        </is>
      </c>
      <c r="H476" s="159" t="n">
        <v>1142920022</v>
      </c>
      <c r="I476" s="425" t="inlineStr">
        <is>
          <t>Approved</t>
        </is>
      </c>
      <c r="J476" s="499" t="n"/>
      <c r="K476" s="425" t="inlineStr">
        <is>
          <t>FMCO</t>
        </is>
      </c>
      <c r="L476" s="183" t="inlineStr">
        <is>
          <t>-</t>
        </is>
      </c>
      <c r="N476" s="128" t="n"/>
      <c r="O476" s="128" t="n"/>
      <c r="P476" s="128" t="n"/>
      <c r="Q476" s="128" t="n"/>
      <c r="R476" s="128" t="n"/>
      <c r="S476" s="128" t="n"/>
      <c r="T476" s="128" t="n"/>
    </row>
    <row r="477" ht="15.75" customHeight="1">
      <c r="A477" s="429" t="n"/>
      <c r="B477" s="429" t="n"/>
      <c r="C477" s="429" t="n"/>
      <c r="D477" s="429" t="n"/>
      <c r="E477" s="460" t="inlineStr">
        <is>
          <t>ABDULLAH FALAH ALKAHTANI</t>
        </is>
      </c>
      <c r="F477" s="136" t="inlineStr">
        <is>
          <t>Security Services</t>
        </is>
      </c>
      <c r="G477" s="425" t="inlineStr">
        <is>
          <t>-</t>
        </is>
      </c>
      <c r="H477" s="159" t="n">
        <v>1133639151</v>
      </c>
      <c r="I477" s="425" t="inlineStr">
        <is>
          <t>Approved</t>
        </is>
      </c>
      <c r="J477" s="499" t="n"/>
      <c r="K477" s="425" t="inlineStr">
        <is>
          <t>FMCO</t>
        </is>
      </c>
      <c r="L477" s="183" t="inlineStr">
        <is>
          <t>-</t>
        </is>
      </c>
      <c r="N477" s="128" t="n"/>
      <c r="O477" s="128" t="n"/>
      <c r="P477" s="128" t="n"/>
      <c r="Q477" s="128" t="n"/>
      <c r="R477" s="128" t="n"/>
      <c r="S477" s="128" t="n"/>
      <c r="T477" s="128" t="n"/>
    </row>
    <row r="478" ht="15.75" customHeight="1">
      <c r="A478" s="429" t="n"/>
      <c r="B478" s="429" t="n"/>
      <c r="C478" s="429" t="n"/>
      <c r="D478" s="429" t="n"/>
      <c r="E478" s="460" t="inlineStr">
        <is>
          <t>SULTAN SAUD ALSUBAIE</t>
        </is>
      </c>
      <c r="F478" s="136" t="inlineStr">
        <is>
          <t>Security Services</t>
        </is>
      </c>
      <c r="G478" s="425" t="inlineStr">
        <is>
          <t>-</t>
        </is>
      </c>
      <c r="H478" s="159" t="n">
        <v>1131075788</v>
      </c>
      <c r="I478" s="425" t="inlineStr">
        <is>
          <t>Approved</t>
        </is>
      </c>
      <c r="J478" s="499" t="n"/>
      <c r="K478" s="425" t="inlineStr">
        <is>
          <t>FMCO</t>
        </is>
      </c>
      <c r="L478" s="183" t="inlineStr">
        <is>
          <t>-</t>
        </is>
      </c>
      <c r="N478" s="128" t="n"/>
      <c r="O478" s="128" t="n"/>
      <c r="P478" s="128" t="n"/>
      <c r="Q478" s="128" t="n"/>
      <c r="R478" s="128" t="n"/>
      <c r="S478" s="128" t="n"/>
      <c r="T478" s="128" t="n"/>
    </row>
    <row r="479" ht="15.75" customHeight="1">
      <c r="A479" s="429" t="n"/>
      <c r="B479" s="429" t="n"/>
      <c r="C479" s="429" t="n"/>
      <c r="D479" s="429" t="n"/>
      <c r="E479" s="460" t="inlineStr">
        <is>
          <t>MESFER ALI ALDAWSARI</t>
        </is>
      </c>
      <c r="F479" s="136" t="inlineStr">
        <is>
          <t>Security Services</t>
        </is>
      </c>
      <c r="G479" s="425" t="n">
        <v>704273</v>
      </c>
      <c r="H479" s="159" t="inlineStr">
        <is>
          <t>1127683504</t>
        </is>
      </c>
      <c r="I479" s="425" t="inlineStr">
        <is>
          <t>Approved</t>
        </is>
      </c>
      <c r="J479" s="499" t="n">
        <v>46155</v>
      </c>
      <c r="K479" s="425" t="inlineStr">
        <is>
          <t>FMCO</t>
        </is>
      </c>
      <c r="L479" s="183" t="n"/>
      <c r="N479" s="128" t="n"/>
      <c r="O479" s="128" t="n"/>
      <c r="P479" s="128" t="n"/>
      <c r="Q479" s="128" t="n"/>
      <c r="R479" s="128" t="n"/>
      <c r="S479" s="128" t="n"/>
      <c r="T479" s="128" t="n"/>
    </row>
    <row r="480" ht="15.75" customHeight="1">
      <c r="A480" s="429" t="n"/>
      <c r="B480" s="429" t="n"/>
      <c r="C480" s="429" t="n"/>
      <c r="D480" s="429" t="n"/>
      <c r="E480" s="291" t="n"/>
      <c r="F480" s="136" t="inlineStr">
        <is>
          <t>Security Services</t>
        </is>
      </c>
      <c r="G480" s="425" t="inlineStr">
        <is>
          <t>-</t>
        </is>
      </c>
      <c r="H480" s="425" t="inlineStr">
        <is>
          <t>-</t>
        </is>
      </c>
      <c r="I480" s="425" t="inlineStr">
        <is>
          <t>Vacant</t>
        </is>
      </c>
      <c r="J480" s="518" t="n"/>
      <c r="K480" s="425" t="inlineStr">
        <is>
          <t>-</t>
        </is>
      </c>
      <c r="L480" s="183" t="inlineStr">
        <is>
          <t>-</t>
        </is>
      </c>
      <c r="N480" s="128" t="n"/>
      <c r="O480" s="128" t="n"/>
      <c r="P480" s="128" t="n"/>
      <c r="Q480" s="128" t="n"/>
      <c r="R480" s="128" t="n"/>
      <c r="S480" s="128" t="n"/>
      <c r="T480" s="128" t="n"/>
    </row>
    <row r="481" ht="15.75" customHeight="1">
      <c r="A481" s="429" t="n"/>
      <c r="B481" s="429" t="n"/>
      <c r="C481" s="429" t="n"/>
      <c r="D481" s="429" t="n"/>
      <c r="E481" s="291" t="n"/>
      <c r="F481" s="136" t="inlineStr">
        <is>
          <t>Security Services</t>
        </is>
      </c>
      <c r="G481" s="425" t="inlineStr">
        <is>
          <t>-</t>
        </is>
      </c>
      <c r="H481" s="425" t="inlineStr">
        <is>
          <t>-</t>
        </is>
      </c>
      <c r="I481" s="425" t="inlineStr">
        <is>
          <t>Vacant</t>
        </is>
      </c>
      <c r="J481" s="518" t="n"/>
      <c r="K481" s="425" t="inlineStr">
        <is>
          <t>-</t>
        </is>
      </c>
      <c r="L481" s="183" t="inlineStr">
        <is>
          <t>-</t>
        </is>
      </c>
      <c r="N481" s="128" t="n"/>
      <c r="O481" s="128" t="n"/>
      <c r="P481" s="128" t="n"/>
      <c r="Q481" s="128" t="n"/>
      <c r="R481" s="128" t="n"/>
      <c r="S481" s="128" t="n"/>
      <c r="T481" s="128" t="n"/>
    </row>
    <row r="482" ht="15.75" customHeight="1">
      <c r="A482" s="429" t="n"/>
      <c r="B482" s="429" t="n"/>
      <c r="C482" s="429" t="n"/>
      <c r="D482" s="429" t="n"/>
      <c r="E482" s="135" t="n"/>
      <c r="F482" s="136" t="inlineStr">
        <is>
          <t>Security Services</t>
        </is>
      </c>
      <c r="G482" s="425" t="inlineStr">
        <is>
          <t>-</t>
        </is>
      </c>
      <c r="H482" s="425" t="inlineStr">
        <is>
          <t>-</t>
        </is>
      </c>
      <c r="I482" s="425" t="inlineStr">
        <is>
          <t>Vacant</t>
        </is>
      </c>
      <c r="J482" s="499" t="n"/>
      <c r="K482" s="425" t="inlineStr">
        <is>
          <t>-</t>
        </is>
      </c>
      <c r="L482" s="183" t="inlineStr">
        <is>
          <t>-</t>
        </is>
      </c>
      <c r="N482" s="128" t="n"/>
      <c r="O482" s="128" t="n"/>
      <c r="P482" s="128" t="n"/>
      <c r="Q482" s="128" t="n"/>
      <c r="R482" s="128" t="n"/>
      <c r="S482" s="128" t="n"/>
      <c r="T482" s="128" t="n"/>
    </row>
    <row r="483" ht="15.75" customHeight="1">
      <c r="A483" s="429" t="n"/>
      <c r="B483" s="429" t="n"/>
      <c r="C483" s="429" t="n"/>
      <c r="D483" s="429" t="n"/>
      <c r="E483" s="135" t="n"/>
      <c r="F483" s="136" t="inlineStr">
        <is>
          <t>Security Services</t>
        </is>
      </c>
      <c r="G483" s="425" t="inlineStr">
        <is>
          <t>-</t>
        </is>
      </c>
      <c r="H483" s="425" t="inlineStr">
        <is>
          <t>-</t>
        </is>
      </c>
      <c r="I483" s="425" t="inlineStr">
        <is>
          <t>Vacant</t>
        </is>
      </c>
      <c r="J483" s="499" t="n"/>
      <c r="K483" s="425" t="inlineStr">
        <is>
          <t>-</t>
        </is>
      </c>
      <c r="L483" s="183" t="inlineStr">
        <is>
          <t>-</t>
        </is>
      </c>
      <c r="N483" s="128" t="n"/>
      <c r="O483" s="128" t="n"/>
      <c r="P483" s="128" t="n"/>
      <c r="Q483" s="128" t="n"/>
      <c r="R483" s="128" t="n"/>
      <c r="S483" s="128" t="n"/>
      <c r="T483" s="128" t="n"/>
    </row>
    <row r="484" ht="15.75" customHeight="1">
      <c r="A484" s="429" t="n"/>
      <c r="B484" s="429" t="n"/>
      <c r="C484" s="429" t="n"/>
      <c r="D484" s="429" t="n"/>
      <c r="E484" s="291" t="n"/>
      <c r="F484" s="136" t="inlineStr">
        <is>
          <t>Security Services</t>
        </is>
      </c>
      <c r="G484" s="425" t="inlineStr">
        <is>
          <t>-</t>
        </is>
      </c>
      <c r="H484" s="425" t="inlineStr">
        <is>
          <t>-</t>
        </is>
      </c>
      <c r="I484" s="425" t="inlineStr">
        <is>
          <t>Vacant</t>
        </is>
      </c>
      <c r="J484" s="499" t="n"/>
      <c r="K484" s="425" t="inlineStr">
        <is>
          <t>-</t>
        </is>
      </c>
      <c r="L484" s="183" t="inlineStr">
        <is>
          <t>-</t>
        </is>
      </c>
      <c r="N484" s="128" t="n"/>
      <c r="O484" s="128" t="n"/>
      <c r="P484" s="128" t="n"/>
      <c r="Q484" s="128" t="n"/>
      <c r="R484" s="128" t="n"/>
      <c r="S484" s="128" t="n"/>
      <c r="T484" s="128" t="n"/>
    </row>
    <row r="485" ht="15.75" customHeight="1">
      <c r="A485" s="429" t="n"/>
      <c r="B485" s="429" t="n"/>
      <c r="C485" s="429" t="n"/>
      <c r="D485" s="429" t="n"/>
      <c r="E485" s="291" t="n"/>
      <c r="F485" s="136" t="inlineStr">
        <is>
          <t>Security Services</t>
        </is>
      </c>
      <c r="G485" s="425" t="inlineStr">
        <is>
          <t>-</t>
        </is>
      </c>
      <c r="H485" s="425" t="inlineStr">
        <is>
          <t>-</t>
        </is>
      </c>
      <c r="I485" s="425" t="inlineStr">
        <is>
          <t>Vacant</t>
        </is>
      </c>
      <c r="J485" s="499" t="n"/>
      <c r="K485" s="425" t="inlineStr">
        <is>
          <t>-</t>
        </is>
      </c>
      <c r="L485" s="183" t="inlineStr">
        <is>
          <t>-</t>
        </is>
      </c>
      <c r="N485" s="128" t="n"/>
      <c r="O485" s="128" t="n"/>
      <c r="P485" s="128" t="n"/>
      <c r="Q485" s="128" t="n"/>
      <c r="R485" s="128" t="n"/>
      <c r="S485" s="128" t="n"/>
      <c r="T485" s="128" t="n"/>
    </row>
    <row r="486" ht="15.75" customHeight="1">
      <c r="A486" s="429" t="n"/>
      <c r="B486" s="429" t="n"/>
      <c r="C486" s="429" t="n"/>
      <c r="D486" s="429" t="n"/>
      <c r="E486" s="291" t="n"/>
      <c r="F486" s="136" t="inlineStr">
        <is>
          <t>Security Services</t>
        </is>
      </c>
      <c r="G486" s="184" t="inlineStr">
        <is>
          <t>-</t>
        </is>
      </c>
      <c r="H486" s="184" t="inlineStr">
        <is>
          <t>-</t>
        </is>
      </c>
      <c r="I486" s="425" t="inlineStr">
        <is>
          <t>Vacant</t>
        </is>
      </c>
      <c r="J486" s="499" t="n"/>
      <c r="K486" s="425" t="inlineStr">
        <is>
          <t>-</t>
        </is>
      </c>
      <c r="L486" s="183" t="inlineStr">
        <is>
          <t>-</t>
        </is>
      </c>
      <c r="N486" s="128" t="n"/>
      <c r="O486" s="128" t="n"/>
      <c r="P486" s="128" t="n"/>
      <c r="Q486" s="128" t="n"/>
      <c r="R486" s="128" t="n"/>
      <c r="S486" s="128" t="n"/>
      <c r="T486" s="128" t="n"/>
    </row>
    <row r="487" ht="15.75" customHeight="1">
      <c r="A487" s="429" t="n"/>
      <c r="B487" s="429" t="n"/>
      <c r="C487" s="429" t="n"/>
      <c r="D487" s="429" t="n"/>
      <c r="E487" s="291" t="n"/>
      <c r="F487" s="136" t="inlineStr">
        <is>
          <t>Security Services</t>
        </is>
      </c>
      <c r="G487" s="184" t="inlineStr">
        <is>
          <t>-</t>
        </is>
      </c>
      <c r="H487" s="184" t="inlineStr">
        <is>
          <t>-</t>
        </is>
      </c>
      <c r="I487" s="425" t="inlineStr">
        <is>
          <t>Vacant</t>
        </is>
      </c>
      <c r="J487" s="499" t="n"/>
      <c r="K487" s="425" t="inlineStr">
        <is>
          <t>-</t>
        </is>
      </c>
      <c r="L487" s="183" t="inlineStr">
        <is>
          <t>-</t>
        </is>
      </c>
      <c r="N487" s="128" t="n"/>
      <c r="O487" s="128" t="n"/>
      <c r="P487" s="128" t="n"/>
      <c r="Q487" s="128" t="n"/>
      <c r="R487" s="128" t="n"/>
      <c r="S487" s="128" t="n"/>
      <c r="T487" s="128" t="n"/>
    </row>
    <row r="488" ht="15.75" customHeight="1">
      <c r="A488" s="429" t="n"/>
      <c r="B488" s="429" t="n"/>
      <c r="C488" s="429" t="n"/>
      <c r="D488" s="429" t="n"/>
      <c r="E488" s="291" t="n"/>
      <c r="F488" s="136" t="inlineStr">
        <is>
          <t>Security Services</t>
        </is>
      </c>
      <c r="G488" s="184" t="inlineStr">
        <is>
          <t>-</t>
        </is>
      </c>
      <c r="H488" s="184" t="inlineStr">
        <is>
          <t>-</t>
        </is>
      </c>
      <c r="I488" s="425" t="inlineStr">
        <is>
          <t>Vacant</t>
        </is>
      </c>
      <c r="J488" s="499" t="n"/>
      <c r="K488" s="425" t="inlineStr">
        <is>
          <t>-</t>
        </is>
      </c>
      <c r="L488" s="183" t="inlineStr">
        <is>
          <t>-</t>
        </is>
      </c>
      <c r="N488" s="128" t="n"/>
      <c r="O488" s="128" t="n"/>
      <c r="P488" s="128" t="n"/>
      <c r="Q488" s="128" t="n"/>
      <c r="R488" s="128" t="n"/>
      <c r="S488" s="128" t="n"/>
      <c r="T488" s="128" t="n"/>
    </row>
    <row r="489" ht="15.75" customHeight="1">
      <c r="A489" s="429" t="n"/>
      <c r="B489" s="429" t="n"/>
      <c r="C489" s="429" t="n"/>
      <c r="D489" s="429" t="n"/>
      <c r="E489" s="291" t="n"/>
      <c r="F489" s="136" t="inlineStr">
        <is>
          <t>Security Services</t>
        </is>
      </c>
      <c r="G489" s="184" t="inlineStr">
        <is>
          <t>-</t>
        </is>
      </c>
      <c r="H489" s="184" t="inlineStr">
        <is>
          <t>-</t>
        </is>
      </c>
      <c r="I489" s="425" t="inlineStr">
        <is>
          <t>Vacant</t>
        </is>
      </c>
      <c r="J489" s="499" t="n"/>
      <c r="K489" s="425" t="inlineStr">
        <is>
          <t>-</t>
        </is>
      </c>
      <c r="L489" s="183" t="inlineStr">
        <is>
          <t>-</t>
        </is>
      </c>
      <c r="N489" s="128" t="n"/>
      <c r="O489" s="128" t="n"/>
      <c r="P489" s="128" t="n"/>
      <c r="Q489" s="128" t="n"/>
      <c r="R489" s="128" t="n"/>
      <c r="S489" s="128" t="n"/>
      <c r="T489" s="128" t="n"/>
    </row>
    <row r="490" ht="15.75" customHeight="1">
      <c r="A490" s="429" t="n"/>
      <c r="B490" s="429" t="n"/>
      <c r="C490" s="429" t="n"/>
      <c r="D490" s="429" t="n"/>
      <c r="E490" s="291" t="n"/>
      <c r="F490" s="136" t="inlineStr">
        <is>
          <t>Security Services</t>
        </is>
      </c>
      <c r="G490" s="184" t="inlineStr">
        <is>
          <t>-</t>
        </is>
      </c>
      <c r="H490" s="184" t="inlineStr">
        <is>
          <t>-</t>
        </is>
      </c>
      <c r="I490" s="425" t="inlineStr">
        <is>
          <t>Vacant</t>
        </is>
      </c>
      <c r="J490" s="499" t="n"/>
      <c r="K490" s="425" t="inlineStr">
        <is>
          <t>-</t>
        </is>
      </c>
      <c r="L490" s="183" t="inlineStr">
        <is>
          <t>-</t>
        </is>
      </c>
      <c r="N490" s="128" t="n"/>
      <c r="O490" s="128" t="n"/>
      <c r="P490" s="128" t="n"/>
      <c r="Q490" s="128" t="n"/>
      <c r="R490" s="128" t="n"/>
      <c r="S490" s="128" t="n"/>
      <c r="T490" s="128" t="n"/>
    </row>
    <row r="491" ht="15.75" customHeight="1">
      <c r="A491" s="429" t="n"/>
      <c r="B491" s="429" t="n"/>
      <c r="C491" s="429" t="n"/>
      <c r="D491" s="429" t="n"/>
      <c r="E491" s="291" t="n"/>
      <c r="F491" s="136" t="inlineStr">
        <is>
          <t>Security Services</t>
        </is>
      </c>
      <c r="G491" s="184" t="inlineStr">
        <is>
          <t>-</t>
        </is>
      </c>
      <c r="H491" s="184" t="inlineStr">
        <is>
          <t>-</t>
        </is>
      </c>
      <c r="I491" s="425" t="inlineStr">
        <is>
          <t>Vacant</t>
        </is>
      </c>
      <c r="J491" s="499" t="n"/>
      <c r="K491" s="425" t="inlineStr">
        <is>
          <t>-</t>
        </is>
      </c>
      <c r="L491" s="183" t="inlineStr">
        <is>
          <t>-</t>
        </is>
      </c>
      <c r="N491" s="128" t="n"/>
      <c r="O491" s="128" t="n"/>
      <c r="P491" s="128" t="n"/>
      <c r="Q491" s="128" t="n"/>
      <c r="R491" s="128" t="n"/>
      <c r="S491" s="128" t="n"/>
      <c r="T491" s="128" t="n"/>
    </row>
    <row r="492" ht="15.75" customHeight="1">
      <c r="A492" s="429" t="n"/>
      <c r="B492" s="429" t="n"/>
      <c r="C492" s="429" t="n"/>
      <c r="D492" s="429" t="n"/>
      <c r="E492" s="291" t="n"/>
      <c r="F492" s="136" t="inlineStr">
        <is>
          <t>Security Services</t>
        </is>
      </c>
      <c r="G492" s="184" t="inlineStr">
        <is>
          <t>-</t>
        </is>
      </c>
      <c r="H492" s="184" t="inlineStr">
        <is>
          <t>-</t>
        </is>
      </c>
      <c r="I492" s="425" t="inlineStr">
        <is>
          <t>Vacant</t>
        </is>
      </c>
      <c r="J492" s="499" t="n"/>
      <c r="K492" s="425" t="inlineStr">
        <is>
          <t>-</t>
        </is>
      </c>
      <c r="L492" s="183" t="inlineStr">
        <is>
          <t>-</t>
        </is>
      </c>
      <c r="N492" s="128" t="n"/>
      <c r="O492" s="128" t="n"/>
      <c r="P492" s="128" t="n"/>
      <c r="Q492" s="128" t="n"/>
      <c r="R492" s="128" t="n"/>
      <c r="S492" s="128" t="n"/>
      <c r="T492" s="128" t="n"/>
    </row>
    <row r="493" ht="15.75" customHeight="1">
      <c r="A493" s="429" t="n"/>
      <c r="B493" s="429" t="n"/>
      <c r="C493" s="429" t="n"/>
      <c r="D493" s="429" t="n"/>
      <c r="E493" s="291" t="n"/>
      <c r="F493" s="136" t="inlineStr">
        <is>
          <t>Security Services</t>
        </is>
      </c>
      <c r="G493" s="184" t="inlineStr">
        <is>
          <t>-</t>
        </is>
      </c>
      <c r="H493" s="184" t="inlineStr">
        <is>
          <t>-</t>
        </is>
      </c>
      <c r="I493" s="425" t="inlineStr">
        <is>
          <t>Vacant</t>
        </is>
      </c>
      <c r="J493" s="499" t="n"/>
      <c r="K493" s="425" t="inlineStr">
        <is>
          <t>-</t>
        </is>
      </c>
      <c r="L493" s="183" t="inlineStr">
        <is>
          <t>-</t>
        </is>
      </c>
      <c r="N493" s="128" t="n"/>
      <c r="O493" s="128" t="n"/>
      <c r="P493" s="128" t="n"/>
      <c r="Q493" s="128" t="n"/>
      <c r="R493" s="128" t="n"/>
      <c r="S493" s="128" t="n"/>
      <c r="T493" s="128" t="n"/>
    </row>
    <row r="494" ht="15.75" customHeight="1">
      <c r="A494" s="429" t="n"/>
      <c r="B494" s="429" t="n"/>
      <c r="C494" s="429" t="n"/>
      <c r="D494" s="429" t="n"/>
      <c r="E494" s="291" t="n"/>
      <c r="F494" s="136" t="inlineStr">
        <is>
          <t>Security Services</t>
        </is>
      </c>
      <c r="G494" s="184" t="inlineStr">
        <is>
          <t>-</t>
        </is>
      </c>
      <c r="H494" s="184" t="inlineStr">
        <is>
          <t>-</t>
        </is>
      </c>
      <c r="I494" s="425" t="inlineStr">
        <is>
          <t>Vacant</t>
        </is>
      </c>
      <c r="J494" s="499" t="n"/>
      <c r="K494" s="425" t="inlineStr">
        <is>
          <t>-</t>
        </is>
      </c>
      <c r="L494" s="183" t="inlineStr">
        <is>
          <t>-</t>
        </is>
      </c>
      <c r="N494" s="128" t="n"/>
      <c r="O494" s="128" t="n"/>
      <c r="P494" s="128" t="n"/>
      <c r="Q494" s="128" t="n"/>
      <c r="R494" s="128" t="n"/>
      <c r="S494" s="128" t="n"/>
      <c r="T494" s="128" t="n"/>
    </row>
    <row r="495" ht="15.75" customHeight="1">
      <c r="A495" s="429" t="n"/>
      <c r="B495" s="429" t="n"/>
      <c r="C495" s="429" t="n"/>
      <c r="D495" s="429" t="n"/>
      <c r="E495" s="291" t="n"/>
      <c r="F495" s="136" t="inlineStr">
        <is>
          <t>Security Services</t>
        </is>
      </c>
      <c r="G495" s="184" t="inlineStr">
        <is>
          <t>-</t>
        </is>
      </c>
      <c r="H495" s="184" t="inlineStr">
        <is>
          <t>-</t>
        </is>
      </c>
      <c r="I495" s="425" t="inlineStr">
        <is>
          <t>Vacant</t>
        </is>
      </c>
      <c r="J495" s="499" t="n"/>
      <c r="K495" s="425" t="inlineStr">
        <is>
          <t>-</t>
        </is>
      </c>
      <c r="L495" s="183" t="inlineStr">
        <is>
          <t>-</t>
        </is>
      </c>
      <c r="N495" s="128" t="n"/>
      <c r="O495" s="128" t="n"/>
      <c r="P495" s="128" t="n"/>
      <c r="Q495" s="128" t="n"/>
      <c r="R495" s="128" t="n"/>
      <c r="S495" s="128" t="n"/>
      <c r="T495" s="128" t="n"/>
    </row>
    <row r="496" ht="15.75" customHeight="1">
      <c r="A496" s="429" t="n"/>
      <c r="B496" s="429" t="n"/>
      <c r="C496" s="429" t="n"/>
      <c r="D496" s="429" t="n"/>
      <c r="E496" s="291" t="n"/>
      <c r="F496" s="136" t="inlineStr">
        <is>
          <t>Security Services</t>
        </is>
      </c>
      <c r="G496" s="184" t="inlineStr">
        <is>
          <t>-</t>
        </is>
      </c>
      <c r="H496" s="184" t="inlineStr">
        <is>
          <t>-</t>
        </is>
      </c>
      <c r="I496" s="425" t="inlineStr">
        <is>
          <t>Vacant</t>
        </is>
      </c>
      <c r="J496" s="499" t="n"/>
      <c r="K496" s="425" t="inlineStr">
        <is>
          <t>-</t>
        </is>
      </c>
      <c r="L496" s="183" t="inlineStr">
        <is>
          <t>-</t>
        </is>
      </c>
      <c r="N496" s="128" t="n"/>
      <c r="O496" s="128" t="n"/>
      <c r="P496" s="128" t="n"/>
      <c r="Q496" s="128" t="n"/>
      <c r="R496" s="128" t="n"/>
      <c r="S496" s="128" t="n"/>
      <c r="T496" s="128" t="n"/>
    </row>
    <row r="497" ht="15.75" customHeight="1">
      <c r="A497" s="429" t="n"/>
      <c r="B497" s="429" t="n"/>
      <c r="C497" s="429" t="n"/>
      <c r="D497" s="429" t="n"/>
      <c r="E497" s="291" t="n"/>
      <c r="F497" s="136" t="inlineStr">
        <is>
          <t>Security Services</t>
        </is>
      </c>
      <c r="G497" s="184" t="inlineStr">
        <is>
          <t>-</t>
        </is>
      </c>
      <c r="H497" s="184" t="inlineStr">
        <is>
          <t>-</t>
        </is>
      </c>
      <c r="I497" s="425" t="inlineStr">
        <is>
          <t>Vacant</t>
        </is>
      </c>
      <c r="J497" s="499" t="n"/>
      <c r="K497" s="425" t="inlineStr">
        <is>
          <t>-</t>
        </is>
      </c>
      <c r="L497" s="183" t="inlineStr">
        <is>
          <t>-</t>
        </is>
      </c>
      <c r="N497" s="128" t="n"/>
      <c r="O497" s="128" t="n"/>
      <c r="P497" s="128" t="n"/>
      <c r="Q497" s="128" t="n"/>
      <c r="R497" s="128" t="n"/>
      <c r="S497" s="128" t="n"/>
      <c r="T497" s="128" t="n"/>
    </row>
    <row r="498" ht="15.75" customHeight="1">
      <c r="A498" s="429" t="n"/>
      <c r="B498" s="429" t="n"/>
      <c r="C498" s="429" t="n"/>
      <c r="D498" s="429" t="n"/>
      <c r="E498" s="291" t="n"/>
      <c r="F498" s="136" t="inlineStr">
        <is>
          <t>Security Services</t>
        </is>
      </c>
      <c r="G498" s="184" t="inlineStr">
        <is>
          <t>-</t>
        </is>
      </c>
      <c r="H498" s="184" t="inlineStr">
        <is>
          <t>-</t>
        </is>
      </c>
      <c r="I498" s="425" t="inlineStr">
        <is>
          <t>Vacant</t>
        </is>
      </c>
      <c r="J498" s="499" t="n"/>
      <c r="K498" s="425" t="inlineStr">
        <is>
          <t>-</t>
        </is>
      </c>
      <c r="L498" s="183" t="inlineStr">
        <is>
          <t>-</t>
        </is>
      </c>
      <c r="N498" s="128" t="n"/>
      <c r="O498" s="128" t="n"/>
      <c r="P498" s="128" t="n"/>
      <c r="Q498" s="128" t="n"/>
      <c r="R498" s="128" t="n"/>
      <c r="S498" s="128" t="n"/>
      <c r="T498" s="128" t="n"/>
    </row>
    <row r="499" ht="15.75" customHeight="1">
      <c r="A499" s="429" t="n"/>
      <c r="B499" s="429" t="n"/>
      <c r="C499" s="429" t="n"/>
      <c r="D499" s="429" t="n"/>
      <c r="E499" s="291" t="n"/>
      <c r="F499" s="136" t="inlineStr">
        <is>
          <t>Security Services</t>
        </is>
      </c>
      <c r="G499" s="184" t="inlineStr">
        <is>
          <t>-</t>
        </is>
      </c>
      <c r="H499" s="184" t="inlineStr">
        <is>
          <t>-</t>
        </is>
      </c>
      <c r="I499" s="425" t="inlineStr">
        <is>
          <t>Vacant</t>
        </is>
      </c>
      <c r="J499" s="499" t="n"/>
      <c r="K499" s="425" t="inlineStr">
        <is>
          <t>-</t>
        </is>
      </c>
      <c r="L499" s="183" t="inlineStr">
        <is>
          <t>-</t>
        </is>
      </c>
      <c r="N499" s="128" t="n"/>
      <c r="O499" s="128" t="n"/>
      <c r="P499" s="128" t="n"/>
      <c r="Q499" s="128" t="n"/>
      <c r="R499" s="128" t="n"/>
      <c r="S499" s="128" t="n"/>
      <c r="T499" s="128" t="n"/>
    </row>
    <row r="500" ht="15.75" customHeight="1">
      <c r="A500" s="429" t="n"/>
      <c r="B500" s="429" t="n"/>
      <c r="C500" s="429" t="n"/>
      <c r="D500" s="429" t="n"/>
      <c r="E500" s="291" t="n"/>
      <c r="F500" s="136" t="inlineStr">
        <is>
          <t>Security Services</t>
        </is>
      </c>
      <c r="G500" s="184" t="inlineStr">
        <is>
          <t>-</t>
        </is>
      </c>
      <c r="H500" s="184" t="inlineStr">
        <is>
          <t>-</t>
        </is>
      </c>
      <c r="I500" s="425" t="inlineStr">
        <is>
          <t>Vacant</t>
        </is>
      </c>
      <c r="J500" s="499" t="n"/>
      <c r="K500" s="425" t="inlineStr">
        <is>
          <t>-</t>
        </is>
      </c>
      <c r="L500" s="183" t="inlineStr">
        <is>
          <t>-</t>
        </is>
      </c>
      <c r="N500" s="128" t="n"/>
      <c r="O500" s="128" t="n"/>
      <c r="P500" s="128" t="n"/>
      <c r="Q500" s="128" t="n"/>
      <c r="R500" s="128" t="n"/>
      <c r="S500" s="128" t="n"/>
      <c r="T500" s="128" t="n"/>
    </row>
    <row r="501" ht="15.75" customHeight="1">
      <c r="A501" s="429" t="n"/>
      <c r="B501" s="429" t="n"/>
      <c r="C501" s="429" t="n"/>
      <c r="D501" s="429" t="n"/>
      <c r="E501" s="291" t="n"/>
      <c r="F501" s="136" t="inlineStr">
        <is>
          <t>Security Services</t>
        </is>
      </c>
      <c r="G501" s="184" t="inlineStr">
        <is>
          <t>-</t>
        </is>
      </c>
      <c r="H501" s="184" t="inlineStr">
        <is>
          <t>-</t>
        </is>
      </c>
      <c r="I501" s="425" t="inlineStr">
        <is>
          <t>Vacant</t>
        </is>
      </c>
      <c r="J501" s="499" t="n"/>
      <c r="K501" s="425" t="inlineStr">
        <is>
          <t>-</t>
        </is>
      </c>
      <c r="L501" s="183" t="inlineStr">
        <is>
          <t>-</t>
        </is>
      </c>
      <c r="N501" s="128" t="n"/>
      <c r="O501" s="128" t="n"/>
      <c r="P501" s="128" t="n"/>
      <c r="Q501" s="128" t="n"/>
      <c r="R501" s="128" t="n"/>
      <c r="S501" s="128" t="n"/>
      <c r="T501" s="128" t="n"/>
    </row>
    <row r="502" ht="15.75" customHeight="1">
      <c r="A502" s="429" t="n"/>
      <c r="B502" s="429" t="n"/>
      <c r="C502" s="429" t="n"/>
      <c r="D502" s="429" t="n"/>
      <c r="E502" s="291" t="n"/>
      <c r="F502" s="136" t="inlineStr">
        <is>
          <t>Security Services</t>
        </is>
      </c>
      <c r="G502" s="184" t="inlineStr">
        <is>
          <t>-</t>
        </is>
      </c>
      <c r="H502" s="184" t="inlineStr">
        <is>
          <t>-</t>
        </is>
      </c>
      <c r="I502" s="425" t="inlineStr">
        <is>
          <t>Vacant</t>
        </is>
      </c>
      <c r="J502" s="499" t="n"/>
      <c r="K502" s="425" t="inlineStr">
        <is>
          <t>-</t>
        </is>
      </c>
      <c r="L502" s="183" t="inlineStr">
        <is>
          <t>-</t>
        </is>
      </c>
      <c r="N502" s="128" t="n"/>
      <c r="O502" s="128" t="n"/>
      <c r="P502" s="128" t="n"/>
      <c r="Q502" s="128" t="n"/>
      <c r="R502" s="128" t="n"/>
      <c r="S502" s="128" t="n"/>
      <c r="T502" s="128" t="n"/>
    </row>
    <row r="503" ht="15.75" customHeight="1">
      <c r="A503" s="429" t="n"/>
      <c r="B503" s="429" t="n"/>
      <c r="C503" s="429" t="n"/>
      <c r="D503" s="429" t="n"/>
      <c r="E503" s="291" t="n"/>
      <c r="F503" s="136" t="inlineStr">
        <is>
          <t>Security Services</t>
        </is>
      </c>
      <c r="G503" s="184" t="inlineStr">
        <is>
          <t>-</t>
        </is>
      </c>
      <c r="H503" s="184" t="inlineStr">
        <is>
          <t>-</t>
        </is>
      </c>
      <c r="I503" s="425" t="inlineStr">
        <is>
          <t>Vacant</t>
        </is>
      </c>
      <c r="J503" s="499" t="n"/>
      <c r="K503" s="425" t="inlineStr">
        <is>
          <t>-</t>
        </is>
      </c>
      <c r="L503" s="183" t="inlineStr">
        <is>
          <t>-</t>
        </is>
      </c>
      <c r="N503" s="128" t="n"/>
      <c r="O503" s="128" t="n"/>
      <c r="P503" s="128" t="n"/>
      <c r="Q503" s="128" t="n"/>
      <c r="R503" s="128" t="n"/>
      <c r="S503" s="128" t="n"/>
      <c r="T503" s="128" t="n"/>
    </row>
    <row r="504" ht="15.75" customHeight="1">
      <c r="A504" s="429" t="n"/>
      <c r="B504" s="429" t="n"/>
      <c r="C504" s="429" t="n"/>
      <c r="D504" s="429" t="n"/>
      <c r="E504" s="291" t="n"/>
      <c r="F504" s="136" t="inlineStr">
        <is>
          <t>Security Services</t>
        </is>
      </c>
      <c r="G504" s="184" t="inlineStr">
        <is>
          <t>-</t>
        </is>
      </c>
      <c r="H504" s="184" t="inlineStr">
        <is>
          <t>-</t>
        </is>
      </c>
      <c r="I504" s="425" t="inlineStr">
        <is>
          <t>Vacant</t>
        </is>
      </c>
      <c r="J504" s="499" t="n"/>
      <c r="K504" s="425" t="inlineStr">
        <is>
          <t>-</t>
        </is>
      </c>
      <c r="L504" s="183" t="inlineStr">
        <is>
          <t>-</t>
        </is>
      </c>
      <c r="N504" s="128" t="n"/>
      <c r="O504" s="128" t="n"/>
      <c r="P504" s="128" t="n"/>
      <c r="Q504" s="128" t="n"/>
      <c r="R504" s="128" t="n"/>
      <c r="S504" s="128" t="n"/>
      <c r="T504" s="128" t="n"/>
    </row>
    <row r="505" ht="15.75" customHeight="1">
      <c r="A505" s="431" t="n"/>
      <c r="B505" s="431" t="n"/>
      <c r="C505" s="431" t="n"/>
      <c r="D505" s="431" t="n"/>
      <c r="E505" s="291" t="n"/>
      <c r="F505" s="136" t="inlineStr">
        <is>
          <t>Security Services</t>
        </is>
      </c>
      <c r="G505" s="184" t="inlineStr">
        <is>
          <t>-</t>
        </is>
      </c>
      <c r="H505" s="184" t="inlineStr">
        <is>
          <t>-</t>
        </is>
      </c>
      <c r="I505" s="425" t="inlineStr">
        <is>
          <t>Vacant</t>
        </is>
      </c>
      <c r="J505" s="499" t="n"/>
      <c r="K505" s="425" t="inlineStr">
        <is>
          <t>-</t>
        </is>
      </c>
      <c r="L505" s="183" t="inlineStr">
        <is>
          <t>-</t>
        </is>
      </c>
      <c r="N505" s="128" t="n"/>
      <c r="O505" s="128" t="n"/>
      <c r="P505" s="128" t="n"/>
      <c r="Q505" s="128" t="n"/>
      <c r="R505" s="128" t="n"/>
      <c r="S505" s="128" t="n"/>
      <c r="T505" s="128" t="n"/>
    </row>
    <row r="506" ht="15.75" customHeight="1">
      <c r="A506" s="440" t="inlineStr">
        <is>
          <t>Security Partols</t>
        </is>
      </c>
      <c r="B506" s="441" t="n">
        <v>8</v>
      </c>
      <c r="C506" s="441">
        <f>COUNTIF(E506:E513,"&lt;&gt;")</f>
        <v/>
      </c>
      <c r="D506" s="441">
        <f>C506-B506</f>
        <v/>
      </c>
      <c r="E506" s="291" t="n"/>
      <c r="F506" s="136" t="inlineStr">
        <is>
          <t>Security Services</t>
        </is>
      </c>
      <c r="G506" s="184" t="inlineStr">
        <is>
          <t>-</t>
        </is>
      </c>
      <c r="H506" s="184" t="inlineStr">
        <is>
          <t>-</t>
        </is>
      </c>
      <c r="I506" s="425" t="inlineStr">
        <is>
          <t>Vacant</t>
        </is>
      </c>
      <c r="J506" s="499" t="n"/>
      <c r="K506" s="425" t="inlineStr">
        <is>
          <t>-</t>
        </is>
      </c>
      <c r="L506" s="183" t="inlineStr">
        <is>
          <t>-</t>
        </is>
      </c>
      <c r="N506" s="128" t="n"/>
      <c r="O506" s="128" t="n"/>
      <c r="P506" s="128" t="n"/>
      <c r="Q506" s="128" t="n"/>
      <c r="R506" s="128" t="n"/>
      <c r="S506" s="128" t="n"/>
      <c r="T506" s="128" t="n"/>
    </row>
    <row r="507" ht="15.75" customHeight="1">
      <c r="A507" s="429" t="n"/>
      <c r="B507" s="429" t="n"/>
      <c r="C507" s="429" t="n"/>
      <c r="D507" s="429" t="n"/>
      <c r="E507" s="291" t="n"/>
      <c r="F507" s="136" t="inlineStr">
        <is>
          <t>Security Services</t>
        </is>
      </c>
      <c r="G507" s="184" t="inlineStr">
        <is>
          <t>-</t>
        </is>
      </c>
      <c r="H507" s="184" t="inlineStr">
        <is>
          <t>-</t>
        </is>
      </c>
      <c r="I507" s="425" t="inlineStr">
        <is>
          <t>Vacant</t>
        </is>
      </c>
      <c r="J507" s="499" t="n"/>
      <c r="K507" s="425" t="inlineStr">
        <is>
          <t>-</t>
        </is>
      </c>
      <c r="L507" s="183" t="inlineStr">
        <is>
          <t>-</t>
        </is>
      </c>
      <c r="N507" s="128" t="n"/>
      <c r="O507" s="128" t="n"/>
      <c r="P507" s="128" t="n"/>
      <c r="Q507" s="128" t="n"/>
      <c r="R507" s="128" t="n"/>
      <c r="S507" s="128" t="n"/>
      <c r="T507" s="128" t="n"/>
    </row>
    <row r="508" ht="15.75" customHeight="1">
      <c r="A508" s="429" t="n"/>
      <c r="B508" s="429" t="n"/>
      <c r="C508" s="429" t="n"/>
      <c r="D508" s="429" t="n"/>
      <c r="E508" s="291" t="n"/>
      <c r="F508" s="136" t="inlineStr">
        <is>
          <t>Security Services</t>
        </is>
      </c>
      <c r="G508" s="184" t="inlineStr">
        <is>
          <t>-</t>
        </is>
      </c>
      <c r="H508" s="184" t="inlineStr">
        <is>
          <t>-</t>
        </is>
      </c>
      <c r="I508" s="425" t="inlineStr">
        <is>
          <t>Vacant</t>
        </is>
      </c>
      <c r="J508" s="499" t="n"/>
      <c r="K508" s="425" t="inlineStr">
        <is>
          <t>-</t>
        </is>
      </c>
      <c r="L508" s="183" t="inlineStr">
        <is>
          <t>-</t>
        </is>
      </c>
      <c r="N508" s="128" t="n"/>
      <c r="O508" s="128" t="n"/>
      <c r="P508" s="128" t="n"/>
      <c r="Q508" s="128" t="n"/>
      <c r="R508" s="128" t="n"/>
      <c r="S508" s="128" t="n"/>
      <c r="T508" s="128" t="n"/>
    </row>
    <row r="509" ht="15.75" customHeight="1">
      <c r="A509" s="429" t="n"/>
      <c r="B509" s="429" t="n"/>
      <c r="C509" s="429" t="n"/>
      <c r="D509" s="429" t="n"/>
      <c r="E509" s="291" t="n"/>
      <c r="F509" s="136" t="inlineStr">
        <is>
          <t>Security Services</t>
        </is>
      </c>
      <c r="G509" s="184" t="inlineStr">
        <is>
          <t>-</t>
        </is>
      </c>
      <c r="H509" s="184" t="inlineStr">
        <is>
          <t>-</t>
        </is>
      </c>
      <c r="I509" s="425" t="inlineStr">
        <is>
          <t>Vacant</t>
        </is>
      </c>
      <c r="J509" s="499" t="n"/>
      <c r="K509" s="425" t="inlineStr">
        <is>
          <t>-</t>
        </is>
      </c>
      <c r="L509" s="183" t="inlineStr">
        <is>
          <t>-</t>
        </is>
      </c>
      <c r="N509" s="128" t="n"/>
      <c r="O509" s="128" t="n"/>
      <c r="P509" s="128" t="n"/>
      <c r="Q509" s="128" t="n"/>
      <c r="R509" s="128" t="n"/>
      <c r="S509" s="128" t="n"/>
      <c r="T509" s="128" t="n"/>
    </row>
    <row r="510" ht="15.75" customHeight="1">
      <c r="A510" s="429" t="n"/>
      <c r="B510" s="429" t="n"/>
      <c r="C510" s="429" t="n"/>
      <c r="D510" s="429" t="n"/>
      <c r="E510" s="291" t="n"/>
      <c r="F510" s="136" t="inlineStr">
        <is>
          <t>Security Services</t>
        </is>
      </c>
      <c r="G510" s="184" t="inlineStr">
        <is>
          <t>-</t>
        </is>
      </c>
      <c r="H510" s="184" t="inlineStr">
        <is>
          <t>-</t>
        </is>
      </c>
      <c r="I510" s="425" t="inlineStr">
        <is>
          <t>Vacant</t>
        </is>
      </c>
      <c r="J510" s="499" t="n"/>
      <c r="K510" s="425" t="inlineStr">
        <is>
          <t>-</t>
        </is>
      </c>
      <c r="L510" s="183" t="inlineStr">
        <is>
          <t>-</t>
        </is>
      </c>
      <c r="N510" s="128" t="n"/>
      <c r="O510" s="128" t="n"/>
      <c r="P510" s="128" t="n"/>
      <c r="Q510" s="128" t="n"/>
      <c r="R510" s="128" t="n"/>
      <c r="S510" s="128" t="n"/>
      <c r="T510" s="128" t="n"/>
    </row>
    <row r="511" ht="15.75" customHeight="1">
      <c r="A511" s="429" t="n"/>
      <c r="B511" s="429" t="n"/>
      <c r="C511" s="429" t="n"/>
      <c r="D511" s="429" t="n"/>
      <c r="E511" s="291" t="n"/>
      <c r="F511" s="136" t="inlineStr">
        <is>
          <t>Security Services</t>
        </is>
      </c>
      <c r="G511" s="184" t="inlineStr">
        <is>
          <t>-</t>
        </is>
      </c>
      <c r="H511" s="184" t="inlineStr">
        <is>
          <t>-</t>
        </is>
      </c>
      <c r="I511" s="425" t="inlineStr">
        <is>
          <t>Vacant</t>
        </is>
      </c>
      <c r="J511" s="499" t="n"/>
      <c r="K511" s="425" t="inlineStr">
        <is>
          <t>-</t>
        </is>
      </c>
      <c r="L511" s="183" t="inlineStr">
        <is>
          <t>-</t>
        </is>
      </c>
      <c r="N511" s="128" t="n"/>
      <c r="O511" s="128" t="n"/>
      <c r="P511" s="128" t="n"/>
      <c r="Q511" s="128" t="n"/>
      <c r="R511" s="128" t="n"/>
      <c r="S511" s="128" t="n"/>
      <c r="T511" s="128" t="n"/>
    </row>
    <row r="512" ht="15.75" customHeight="1">
      <c r="A512" s="429" t="n"/>
      <c r="B512" s="429" t="n"/>
      <c r="C512" s="429" t="n"/>
      <c r="D512" s="429" t="n"/>
      <c r="E512" s="291" t="n"/>
      <c r="F512" s="136" t="inlineStr">
        <is>
          <t>Security Services</t>
        </is>
      </c>
      <c r="G512" s="184" t="inlineStr">
        <is>
          <t>-</t>
        </is>
      </c>
      <c r="H512" s="184" t="inlineStr">
        <is>
          <t>-</t>
        </is>
      </c>
      <c r="I512" s="425" t="inlineStr">
        <is>
          <t>Vacant</t>
        </is>
      </c>
      <c r="J512" s="499" t="n"/>
      <c r="K512" s="425" t="inlineStr">
        <is>
          <t>-</t>
        </is>
      </c>
      <c r="L512" s="183" t="inlineStr">
        <is>
          <t>-</t>
        </is>
      </c>
      <c r="N512" s="128" t="n"/>
      <c r="O512" s="128" t="n"/>
      <c r="P512" s="128" t="n"/>
      <c r="Q512" s="128" t="n"/>
      <c r="R512" s="128" t="n"/>
      <c r="S512" s="128" t="n"/>
      <c r="T512" s="128" t="n"/>
    </row>
    <row r="513" ht="15.75" customHeight="1">
      <c r="A513" s="431" t="n"/>
      <c r="B513" s="431" t="n"/>
      <c r="C513" s="431" t="n"/>
      <c r="D513" s="431" t="n"/>
      <c r="E513" s="291" t="n"/>
      <c r="F513" s="136" t="inlineStr">
        <is>
          <t>Security Services</t>
        </is>
      </c>
      <c r="G513" s="184" t="inlineStr">
        <is>
          <t>-</t>
        </is>
      </c>
      <c r="H513" s="184" t="inlineStr">
        <is>
          <t>-</t>
        </is>
      </c>
      <c r="I513" s="425" t="inlineStr">
        <is>
          <t>Vacant</t>
        </is>
      </c>
      <c r="J513" s="499" t="n"/>
      <c r="K513" s="425" t="inlineStr">
        <is>
          <t>-</t>
        </is>
      </c>
      <c r="L513" s="183" t="inlineStr">
        <is>
          <t>-</t>
        </is>
      </c>
      <c r="N513" s="128" t="n"/>
      <c r="O513" s="128" t="n"/>
      <c r="P513" s="128" t="n"/>
      <c r="Q513" s="128" t="n"/>
      <c r="R513" s="128" t="n"/>
      <c r="S513" s="128" t="n"/>
      <c r="T513" s="128" t="n"/>
    </row>
    <row r="514" ht="26.25" customHeight="1">
      <c r="A514" s="36" t="inlineStr">
        <is>
          <t>Total Team 
Security Services</t>
        </is>
      </c>
      <c r="B514" s="36" t="inlineStr">
        <is>
          <t>Contractual Requirement</t>
        </is>
      </c>
      <c r="C514" s="36" t="inlineStr">
        <is>
          <t>Approved</t>
        </is>
      </c>
      <c r="D514" s="36" t="inlineStr">
        <is>
          <t>Vacant Position</t>
        </is>
      </c>
      <c r="E514" s="185" t="inlineStr">
        <is>
          <t>Rejected</t>
        </is>
      </c>
      <c r="F514" s="38" t="inlineStr">
        <is>
          <t xml:space="preserve">Additional </t>
        </is>
      </c>
      <c r="G514" s="38" t="inlineStr">
        <is>
          <t>ID</t>
        </is>
      </c>
      <c r="H514" s="38" t="inlineStr">
        <is>
          <t>Iqama</t>
        </is>
      </c>
      <c r="I514" s="58" t="inlineStr">
        <is>
          <t>Status</t>
        </is>
      </c>
      <c r="J514" s="500" t="n"/>
      <c r="K514" s="39" t="n"/>
      <c r="L514" s="38" t="inlineStr">
        <is>
          <t>Remark/Notes</t>
        </is>
      </c>
      <c r="N514" s="128" t="n"/>
      <c r="O514" s="128" t="n"/>
      <c r="P514" s="128" t="n"/>
      <c r="Q514" s="128" t="n"/>
      <c r="R514" s="128" t="n"/>
      <c r="S514" s="128" t="n"/>
      <c r="T514" s="128" t="n"/>
    </row>
    <row r="515" ht="15.75" customHeight="1">
      <c r="A515" s="36">
        <f>COUNTIF(E429:E513,"&lt;&gt;")</f>
        <v/>
      </c>
      <c r="B515" s="36">
        <f>SUM(B429:B513)</f>
        <v/>
      </c>
      <c r="C515" s="36">
        <f>COUNTIF(I429:I513,"Approved")</f>
        <v/>
      </c>
      <c r="D515" s="36">
        <f>COUNTIF(I429:I513,"Vacant")</f>
        <v/>
      </c>
      <c r="E515" s="38">
        <f>COUNTIF(L429:L513,"Rejected")</f>
        <v/>
      </c>
      <c r="F515" s="38">
        <f>COUNTIF(I429:I513,"Additional")</f>
        <v/>
      </c>
      <c r="G515" s="38">
        <f>COUNTIF(G429:G513,"-")</f>
        <v/>
      </c>
      <c r="H515" s="38">
        <f>COUNTIF(H429:H513,"-")</f>
        <v/>
      </c>
      <c r="I515" s="42" t="n"/>
      <c r="J515" s="501" t="n"/>
      <c r="K515" s="42" t="n"/>
      <c r="L515" s="42" t="n"/>
      <c r="N515" s="128" t="n"/>
      <c r="O515" s="128" t="n"/>
      <c r="P515" s="128" t="n"/>
      <c r="Q515" s="128" t="n"/>
      <c r="R515" s="128" t="n"/>
      <c r="S515" s="128" t="n"/>
      <c r="T515" s="128" t="n"/>
    </row>
    <row r="516" ht="15.75" customHeight="1">
      <c r="A516" s="176" t="n"/>
      <c r="B516" s="177" t="n"/>
      <c r="C516" s="177" t="n"/>
      <c r="D516" s="177" t="n"/>
      <c r="I516" s="128" t="n"/>
      <c r="J516" s="515" t="n"/>
      <c r="K516" s="137" t="n"/>
      <c r="L516" s="128" t="n"/>
      <c r="N516" s="128" t="n"/>
      <c r="O516" s="128" t="n"/>
      <c r="P516" s="128" t="n"/>
      <c r="Q516" s="128" t="n"/>
      <c r="R516" s="128" t="n"/>
      <c r="S516" s="128" t="n"/>
      <c r="T516" s="128" t="n"/>
    </row>
    <row r="517" ht="26.25" customHeight="1">
      <c r="A517" s="133" t="inlineStr">
        <is>
          <t>Position</t>
        </is>
      </c>
      <c r="B517" s="9" t="inlineStr">
        <is>
          <t>Contractual Requirement</t>
        </is>
      </c>
      <c r="C517" s="9" t="inlineStr">
        <is>
          <t>On-Site Availability</t>
        </is>
      </c>
      <c r="D517" s="9" t="inlineStr">
        <is>
          <t>Vacant Position</t>
        </is>
      </c>
      <c r="E517" s="12" t="inlineStr">
        <is>
          <t>Emaployee Name</t>
        </is>
      </c>
      <c r="F517" s="11" t="inlineStr">
        <is>
          <t>Decipline</t>
        </is>
      </c>
      <c r="G517" s="12" t="inlineStr">
        <is>
          <t>ID</t>
        </is>
      </c>
      <c r="H517" s="11" t="inlineStr">
        <is>
          <t>Iqama</t>
        </is>
      </c>
      <c r="I517" s="12" t="inlineStr">
        <is>
          <t>Status</t>
        </is>
      </c>
      <c r="J517" s="503" t="n"/>
      <c r="K517" s="153" t="n"/>
      <c r="L517" s="12" t="inlineStr">
        <is>
          <t>Remarks/Notes</t>
        </is>
      </c>
      <c r="N517" s="128" t="n"/>
      <c r="O517" s="128" t="n"/>
      <c r="P517" s="128" t="n"/>
      <c r="Q517" s="128" t="n"/>
      <c r="R517" s="128" t="n"/>
      <c r="S517" s="128" t="n"/>
      <c r="T517" s="128" t="n"/>
    </row>
    <row r="518" ht="15.75" customHeight="1">
      <c r="A518" s="442" t="inlineStr">
        <is>
          <t>Cleaning Staff</t>
        </is>
      </c>
      <c r="B518" s="449" t="n">
        <v>2</v>
      </c>
      <c r="C518" s="449">
        <f>COUNTIF(E518:E519,"&lt;&gt;")</f>
        <v/>
      </c>
      <c r="D518" s="432">
        <f>C518-B518</f>
        <v/>
      </c>
      <c r="E518" s="186" t="inlineStr">
        <is>
          <t>Md Salim Hossain</t>
        </is>
      </c>
      <c r="F518" s="425" t="inlineStr">
        <is>
          <t>Medical Services</t>
        </is>
      </c>
      <c r="G518" s="64" t="inlineStr">
        <is>
          <t>-</t>
        </is>
      </c>
      <c r="H518" s="64" t="n">
        <v>2619885581</v>
      </c>
      <c r="I518" s="425" t="inlineStr">
        <is>
          <t>Approved</t>
        </is>
      </c>
      <c r="J518" s="496" t="n">
        <v>45967</v>
      </c>
      <c r="K518" s="425" t="inlineStr">
        <is>
          <t>Gulf Vision ( RENTAL)</t>
        </is>
      </c>
      <c r="L518" s="183" t="inlineStr">
        <is>
          <t>-</t>
        </is>
      </c>
      <c r="N518" s="128" t="n"/>
      <c r="O518" s="128" t="n"/>
      <c r="P518" s="128" t="n"/>
      <c r="Q518" s="128" t="n"/>
      <c r="R518" s="128" t="n"/>
      <c r="S518" s="128" t="n"/>
      <c r="T518" s="128" t="n"/>
    </row>
    <row r="519" ht="15.75" customHeight="1">
      <c r="A519" s="431" t="n"/>
      <c r="B519" s="431" t="n"/>
      <c r="C519" s="431" t="n"/>
      <c r="D519" s="431" t="n"/>
      <c r="E519" s="460" t="inlineStr">
        <is>
          <t>MD Arsad MIA</t>
        </is>
      </c>
      <c r="F519" s="425" t="inlineStr">
        <is>
          <t>Medical Services</t>
        </is>
      </c>
      <c r="G519" s="64" t="inlineStr">
        <is>
          <t>-</t>
        </is>
      </c>
      <c r="H519" s="64" t="n">
        <v>2516412166</v>
      </c>
      <c r="I519" s="425" t="inlineStr">
        <is>
          <t>Approved</t>
        </is>
      </c>
      <c r="J519" s="507" t="n">
        <v>111986</v>
      </c>
      <c r="K519" s="425" t="inlineStr">
        <is>
          <t>-</t>
        </is>
      </c>
      <c r="L519" s="20" t="inlineStr">
        <is>
          <t>-</t>
        </is>
      </c>
      <c r="N519" s="128" t="n"/>
      <c r="O519" s="128" t="n"/>
      <c r="P519" s="128" t="n"/>
      <c r="Q519" s="128" t="n"/>
      <c r="R519" s="128" t="n"/>
      <c r="S519" s="128" t="n"/>
      <c r="T519" s="128" t="n"/>
    </row>
    <row r="520" ht="26.25" customHeight="1">
      <c r="A520" s="36" t="inlineStr">
        <is>
          <t>Total Team 
Medical Services</t>
        </is>
      </c>
      <c r="B520" s="36" t="inlineStr">
        <is>
          <t>Contractual Requirement</t>
        </is>
      </c>
      <c r="C520" s="36" t="inlineStr">
        <is>
          <t>Approved</t>
        </is>
      </c>
      <c r="D520" s="36" t="inlineStr">
        <is>
          <t>Vacant Position</t>
        </is>
      </c>
      <c r="E520" s="58" t="inlineStr">
        <is>
          <t>Rejected</t>
        </is>
      </c>
      <c r="F520" s="38" t="inlineStr">
        <is>
          <t xml:space="preserve">Additional </t>
        </is>
      </c>
      <c r="G520" s="38" t="inlineStr">
        <is>
          <t>ID</t>
        </is>
      </c>
      <c r="H520" s="38" t="inlineStr">
        <is>
          <t>Iqama</t>
        </is>
      </c>
      <c r="I520" s="58" t="inlineStr">
        <is>
          <t>Status</t>
        </is>
      </c>
      <c r="J520" s="500" t="n"/>
      <c r="K520" s="39" t="n"/>
      <c r="L520" s="38" t="inlineStr">
        <is>
          <t>Remark/Notes</t>
        </is>
      </c>
      <c r="N520" s="128" t="n"/>
      <c r="O520" s="128" t="n"/>
      <c r="P520" s="128" t="n"/>
      <c r="Q520" s="128" t="n"/>
      <c r="R520" s="128" t="n"/>
      <c r="S520" s="128" t="n"/>
      <c r="T520" s="128" t="n"/>
    </row>
    <row r="521" ht="15.75" customHeight="1">
      <c r="A521" s="93">
        <f>COUNTIF(E518:E519,"&lt;&gt;")</f>
        <v/>
      </c>
      <c r="B521" s="93">
        <f>SUM(B518:B519)</f>
        <v/>
      </c>
      <c r="C521" s="93">
        <f>COUNTIF(I518:I519,"Approved")</f>
        <v/>
      </c>
      <c r="D521" s="93">
        <f>COUNTIF(I518:I519,"Vacant")</f>
        <v/>
      </c>
      <c r="E521" s="95">
        <f>COUNTIF(I518:I519,"Rejected")</f>
        <v/>
      </c>
      <c r="F521" s="95">
        <f>COUNTIF(I518:I519,"Additional")</f>
        <v/>
      </c>
      <c r="G521" s="95">
        <f>COUNTIF(G518:G519,"-")</f>
        <v/>
      </c>
      <c r="H521" s="95">
        <f>COUNTIF(H518:H519,"-")</f>
        <v/>
      </c>
      <c r="I521" s="96" t="n"/>
      <c r="J521" s="509" t="n"/>
      <c r="K521" s="96" t="n"/>
      <c r="L521" s="96" t="n"/>
      <c r="N521" s="128" t="n"/>
      <c r="O521" s="128" t="n"/>
      <c r="P521" s="128" t="n"/>
      <c r="Q521" s="128" t="n"/>
      <c r="R521" s="128" t="n"/>
      <c r="S521" s="128" t="n"/>
      <c r="T521" s="128" t="n"/>
    </row>
    <row r="522" ht="15.75" customHeight="1">
      <c r="A522" s="187" t="n"/>
      <c r="B522" s="188" t="n"/>
      <c r="C522" s="188" t="n"/>
      <c r="D522" s="189" t="n"/>
      <c r="E522" s="190" t="n"/>
      <c r="F522" s="190" t="n"/>
      <c r="G522" s="190" t="n"/>
      <c r="H522" s="190" t="n"/>
      <c r="I522" s="188" t="n"/>
      <c r="J522" s="523" t="n"/>
      <c r="K522" s="188" t="n"/>
      <c r="L522" s="191" t="n"/>
      <c r="N522" s="128" t="n"/>
      <c r="O522" s="128" t="n"/>
      <c r="P522" s="128" t="n"/>
      <c r="Q522" s="128" t="n"/>
      <c r="R522" s="128" t="n"/>
      <c r="S522" s="128" t="n"/>
      <c r="T522" s="128" t="n"/>
    </row>
    <row r="523" ht="27.75" customHeight="1">
      <c r="A523" s="192" t="inlineStr">
        <is>
          <t>Position</t>
        </is>
      </c>
      <c r="B523" s="193" t="inlineStr">
        <is>
          <t>Contractual Requirement</t>
        </is>
      </c>
      <c r="C523" s="193" t="inlineStr">
        <is>
          <t>On-Site Availability</t>
        </is>
      </c>
      <c r="D523" s="193" t="inlineStr">
        <is>
          <t>Vacant Position</t>
        </is>
      </c>
      <c r="E523" s="194" t="inlineStr">
        <is>
          <t>Emaployee Name</t>
        </is>
      </c>
      <c r="F523" s="195" t="inlineStr">
        <is>
          <t>Decipline</t>
        </is>
      </c>
      <c r="G523" s="194" t="inlineStr">
        <is>
          <t>ID</t>
        </is>
      </c>
      <c r="H523" s="195" t="inlineStr">
        <is>
          <t>Iqama</t>
        </is>
      </c>
      <c r="I523" s="194" t="inlineStr">
        <is>
          <t>Status</t>
        </is>
      </c>
      <c r="J523" s="524" t="inlineStr">
        <is>
          <t>Joining Date</t>
        </is>
      </c>
      <c r="K523" s="194" t="inlineStr">
        <is>
          <t>Sponser</t>
        </is>
      </c>
      <c r="L523" s="194" t="inlineStr">
        <is>
          <t>Remarks/Notes</t>
        </is>
      </c>
      <c r="N523" s="128" t="n"/>
      <c r="O523" s="128" t="n"/>
      <c r="P523" s="128" t="n"/>
      <c r="Q523" s="128" t="n"/>
      <c r="R523" s="128" t="n"/>
      <c r="S523" s="128" t="n"/>
      <c r="T523" s="128" t="n"/>
    </row>
    <row r="524" ht="15.75" customHeight="1">
      <c r="A524" s="196" t="inlineStr">
        <is>
          <t>Logistics Coordinator</t>
        </is>
      </c>
      <c r="B524" s="197" t="n">
        <v>0</v>
      </c>
      <c r="C524" s="477">
        <f>COUNTIF(E524,"&lt;&gt;")</f>
        <v/>
      </c>
      <c r="D524" s="483" t="n">
        <v>0</v>
      </c>
      <c r="E524" s="474" t="inlineStr">
        <is>
          <t>Syed Anjum Raza</t>
        </is>
      </c>
      <c r="F524" s="175" t="inlineStr">
        <is>
          <t>Logistic Services</t>
        </is>
      </c>
      <c r="G524" s="175" t="inlineStr">
        <is>
          <t>C00702</t>
        </is>
      </c>
      <c r="H524" s="175" t="n">
        <v>2582099210</v>
      </c>
      <c r="I524" s="174" t="inlineStr">
        <is>
          <t>Additional</t>
        </is>
      </c>
      <c r="J524" s="521" t="n">
        <v>45599</v>
      </c>
      <c r="K524" s="175" t="inlineStr">
        <is>
          <t>MEHAN VISA</t>
        </is>
      </c>
      <c r="L524" s="198" t="inlineStr">
        <is>
          <t>-</t>
        </is>
      </c>
      <c r="N524" s="128" t="n"/>
      <c r="O524" s="128" t="n"/>
      <c r="P524" s="128" t="n"/>
      <c r="Q524" s="128" t="n"/>
      <c r="R524" s="128" t="n"/>
      <c r="S524" s="128" t="n"/>
      <c r="T524" s="128" t="n"/>
    </row>
    <row r="525" ht="15.75" customHeight="1">
      <c r="A525" s="196" t="inlineStr">
        <is>
          <t>Logistics Admin Incharge</t>
        </is>
      </c>
      <c r="B525" s="197" t="n">
        <v>0</v>
      </c>
      <c r="C525" s="477">
        <f>COUNTIF(E525,"&lt;&gt;")</f>
        <v/>
      </c>
      <c r="D525" s="483" t="n">
        <v>0</v>
      </c>
      <c r="E525" s="474" t="inlineStr">
        <is>
          <t>Nelvin Joseph Manlel</t>
        </is>
      </c>
      <c r="F525" s="175" t="inlineStr">
        <is>
          <t>Logistic Services</t>
        </is>
      </c>
      <c r="G525" s="175" t="n"/>
      <c r="H525" s="175" t="inlineStr">
        <is>
          <t>U2881760</t>
        </is>
      </c>
      <c r="I525" s="174" t="inlineStr">
        <is>
          <t>Additional</t>
        </is>
      </c>
      <c r="J525" s="521" t="n">
        <v>46267</v>
      </c>
      <c r="K525" s="175" t="n"/>
      <c r="L525" s="198" t="n"/>
      <c r="N525" s="128" t="n"/>
      <c r="O525" s="128" t="n"/>
      <c r="P525" s="128" t="n"/>
      <c r="Q525" s="128" t="n"/>
      <c r="R525" s="128" t="n"/>
      <c r="S525" s="128" t="n"/>
      <c r="T525" s="128" t="n"/>
    </row>
    <row r="526" ht="15.75" customHeight="1">
      <c r="A526" s="196" t="inlineStr">
        <is>
          <t>Civil Engineer</t>
        </is>
      </c>
      <c r="B526" s="197" t="n">
        <v>0</v>
      </c>
      <c r="C526" s="477">
        <f>COUNTIF(E526,"&lt;&gt;")</f>
        <v/>
      </c>
      <c r="D526" s="483" t="n">
        <v>0</v>
      </c>
      <c r="E526" s="474" t="inlineStr">
        <is>
          <t>Adnan Yousaf Tarar</t>
        </is>
      </c>
      <c r="F526" s="175" t="inlineStr">
        <is>
          <t>Hard Service</t>
        </is>
      </c>
      <c r="G526" s="175" t="n">
        <v>216022</v>
      </c>
      <c r="H526" s="175" t="n">
        <v>2541740755</v>
      </c>
      <c r="I526" s="174" t="inlineStr">
        <is>
          <t>Additional</t>
        </is>
      </c>
      <c r="J526" s="521" t="n">
        <v>45866</v>
      </c>
      <c r="K526" s="175" t="inlineStr">
        <is>
          <t>MASSADAR VISA</t>
        </is>
      </c>
      <c r="L526" s="198" t="inlineStr">
        <is>
          <t>-</t>
        </is>
      </c>
      <c r="N526" s="128" t="n"/>
      <c r="O526" s="128" t="n"/>
      <c r="P526" s="128" t="n"/>
      <c r="Q526" s="128" t="n"/>
      <c r="R526" s="128" t="n"/>
      <c r="S526" s="128" t="n"/>
      <c r="T526" s="128" t="n"/>
    </row>
    <row r="527" ht="15.75" customHeight="1">
      <c r="A527" s="196" t="inlineStr">
        <is>
          <t>Soft Service Manager</t>
        </is>
      </c>
      <c r="B527" s="197" t="n">
        <v>0</v>
      </c>
      <c r="C527" s="477">
        <f>COUNTIF(E527,"&lt;&gt;")</f>
        <v/>
      </c>
      <c r="D527" s="483" t="n">
        <v>0</v>
      </c>
      <c r="E527" s="474" t="inlineStr">
        <is>
          <t>SARDAR MOHAMMAD JAVED</t>
        </is>
      </c>
      <c r="F527" s="175" t="inlineStr">
        <is>
          <t>SOFT SERVICE</t>
        </is>
      </c>
      <c r="G527" s="175" t="inlineStr">
        <is>
          <t>-</t>
        </is>
      </c>
      <c r="H527" s="175" t="inlineStr">
        <is>
          <t>-</t>
        </is>
      </c>
      <c r="I527" s="174" t="inlineStr">
        <is>
          <t>Additional</t>
        </is>
      </c>
      <c r="J527" s="521" t="n">
        <v>46241</v>
      </c>
      <c r="K527" s="175" t="inlineStr">
        <is>
          <t>-</t>
        </is>
      </c>
      <c r="L527" s="198" t="inlineStr">
        <is>
          <t>-</t>
        </is>
      </c>
      <c r="N527" s="128" t="n"/>
      <c r="O527" s="128" t="n"/>
      <c r="P527" s="128" t="n"/>
      <c r="Q527" s="128" t="n"/>
      <c r="R527" s="128" t="n"/>
      <c r="S527" s="128" t="n"/>
      <c r="T527" s="128" t="n"/>
    </row>
    <row r="528" ht="15.75" customHeight="1">
      <c r="A528" s="474" t="inlineStr">
        <is>
          <t xml:space="preserve">DG Techincian </t>
        </is>
      </c>
      <c r="B528" s="197" t="n">
        <v>0</v>
      </c>
      <c r="C528" s="477">
        <f>COUNTIF(E528,"&lt;&gt;")</f>
        <v/>
      </c>
      <c r="D528" s="483" t="n">
        <v>0</v>
      </c>
      <c r="E528" s="474" t="inlineStr">
        <is>
          <t>Muhammad Asim</t>
        </is>
      </c>
      <c r="F528" s="175" t="inlineStr">
        <is>
          <t>Hard Service</t>
        </is>
      </c>
      <c r="G528" s="175" t="n">
        <v>703396</v>
      </c>
      <c r="H528" s="175" t="n">
        <v>2580171573</v>
      </c>
      <c r="I528" s="174" t="inlineStr">
        <is>
          <t>Additional</t>
        </is>
      </c>
      <c r="J528" s="521" t="n">
        <v>46087</v>
      </c>
      <c r="K528" s="175" t="inlineStr">
        <is>
          <t>FMCO VISA</t>
        </is>
      </c>
      <c r="L528" s="198" t="inlineStr">
        <is>
          <t>-</t>
        </is>
      </c>
      <c r="N528" s="128" t="n"/>
      <c r="O528" s="128" t="n"/>
      <c r="P528" s="128" t="n"/>
      <c r="Q528" s="128" t="n"/>
      <c r="R528" s="128" t="n"/>
      <c r="S528" s="128" t="n"/>
      <c r="T528" s="128" t="n"/>
    </row>
    <row r="529" ht="15.75" customHeight="1">
      <c r="A529" s="474" t="inlineStr">
        <is>
          <t>Mason</t>
        </is>
      </c>
      <c r="B529" s="197" t="n">
        <v>0</v>
      </c>
      <c r="C529" s="477">
        <f>COUNTIF(E529,"&lt;&gt;")</f>
        <v/>
      </c>
      <c r="D529" s="483" t="n">
        <v>0</v>
      </c>
      <c r="E529" s="474" t="inlineStr">
        <is>
          <t>Ranjeet Kumar Mandal</t>
        </is>
      </c>
      <c r="F529" s="175" t="inlineStr">
        <is>
          <t>Hard Service</t>
        </is>
      </c>
      <c r="G529" s="175" t="n">
        <v>704266</v>
      </c>
      <c r="H529" s="175" t="n">
        <v>2637726239</v>
      </c>
      <c r="I529" s="174" t="inlineStr">
        <is>
          <t>Additional</t>
        </is>
      </c>
      <c r="J529" s="521" t="n">
        <v>46168</v>
      </c>
      <c r="K529" s="175" t="inlineStr">
        <is>
          <t>FMCO VISA</t>
        </is>
      </c>
      <c r="L529" s="198" t="inlineStr">
        <is>
          <t>-</t>
        </is>
      </c>
      <c r="N529" s="128" t="n"/>
      <c r="O529" s="128" t="n"/>
      <c r="P529" s="128" t="n"/>
      <c r="Q529" s="128" t="n"/>
      <c r="R529" s="128" t="n"/>
      <c r="S529" s="128" t="n"/>
      <c r="T529" s="128" t="n"/>
    </row>
    <row r="530" ht="15.75" customHeight="1">
      <c r="A530" s="474" t="inlineStr">
        <is>
          <t>Swimming Pool Technician</t>
        </is>
      </c>
      <c r="B530" s="477" t="n">
        <v>0</v>
      </c>
      <c r="C530" s="477" t="n">
        <v>2</v>
      </c>
      <c r="D530" s="477" t="n">
        <v>0</v>
      </c>
      <c r="E530" s="474" t="inlineStr">
        <is>
          <t>Mohammed Sajid Alam</t>
        </is>
      </c>
      <c r="F530" s="199" t="inlineStr">
        <is>
          <t>Hard Service</t>
        </is>
      </c>
      <c r="G530" s="200" t="inlineStr">
        <is>
          <t>-</t>
        </is>
      </c>
      <c r="H530" s="201" t="n">
        <v>2640657165</v>
      </c>
      <c r="I530" s="174" t="inlineStr">
        <is>
          <t>Additional</t>
        </is>
      </c>
      <c r="J530" s="521" t="n">
        <v>46219</v>
      </c>
      <c r="K530" s="175" t="inlineStr">
        <is>
          <t>AL-FALAK VISA</t>
        </is>
      </c>
      <c r="L530" s="198" t="inlineStr">
        <is>
          <t>-</t>
        </is>
      </c>
      <c r="N530" s="128" t="n"/>
      <c r="O530" s="128" t="n"/>
      <c r="P530" s="128" t="n"/>
      <c r="Q530" s="128" t="n"/>
      <c r="R530" s="128" t="n"/>
      <c r="S530" s="128" t="n"/>
      <c r="T530" s="128" t="n"/>
    </row>
    <row r="531" ht="15.75" customHeight="1">
      <c r="A531" s="431" t="n"/>
      <c r="B531" s="431" t="n"/>
      <c r="C531" s="431" t="n"/>
      <c r="D531" s="431" t="n"/>
      <c r="E531" s="474" t="inlineStr">
        <is>
          <t>Mohammed Kaif Ansari</t>
        </is>
      </c>
      <c r="F531" s="175" t="inlineStr">
        <is>
          <t>Hard Service</t>
        </is>
      </c>
      <c r="G531" s="175" t="inlineStr">
        <is>
          <t>EM-0003569</t>
        </is>
      </c>
      <c r="H531" s="175" t="n">
        <v>2632414377</v>
      </c>
      <c r="I531" s="174" t="inlineStr">
        <is>
          <t>Additional</t>
        </is>
      </c>
      <c r="J531" s="521" t="n">
        <v>46093</v>
      </c>
      <c r="K531" s="175" t="inlineStr">
        <is>
          <t>AL-FALAK VISA</t>
        </is>
      </c>
      <c r="L531" s="198" t="inlineStr">
        <is>
          <t>-</t>
        </is>
      </c>
      <c r="N531" s="128" t="n"/>
      <c r="O531" s="128" t="n"/>
      <c r="P531" s="128" t="n"/>
      <c r="Q531" s="128" t="n"/>
      <c r="R531" s="128" t="n"/>
      <c r="S531" s="128" t="n"/>
      <c r="T531" s="128" t="n"/>
    </row>
    <row r="532" ht="15.75" customHeight="1">
      <c r="A532" s="482" t="inlineStr">
        <is>
          <t>Lifegaurd</t>
        </is>
      </c>
      <c r="B532" s="471" t="n">
        <v>0</v>
      </c>
      <c r="C532" s="471">
        <f>COUNTIF(E532:E536,"&lt;&gt;")</f>
        <v/>
      </c>
      <c r="D532" s="478" t="n">
        <v>0</v>
      </c>
      <c r="E532" s="474" t="inlineStr">
        <is>
          <t>Ateeque Ur Rehman</t>
        </is>
      </c>
      <c r="F532" s="175" t="inlineStr">
        <is>
          <t>Recreation</t>
        </is>
      </c>
      <c r="G532" s="175" t="inlineStr">
        <is>
          <t>C00277</t>
        </is>
      </c>
      <c r="H532" s="175" t="n">
        <v>2580193734</v>
      </c>
      <c r="I532" s="174" t="inlineStr">
        <is>
          <t>Additional</t>
        </is>
      </c>
      <c r="J532" s="521" t="n">
        <v>46095</v>
      </c>
      <c r="K532" s="175" t="inlineStr">
        <is>
          <t>MEHAN VISA</t>
        </is>
      </c>
      <c r="L532" s="198" t="inlineStr">
        <is>
          <t>Annual Vacation</t>
        </is>
      </c>
      <c r="N532" s="128" t="n"/>
      <c r="O532" s="128" t="n"/>
      <c r="P532" s="128" t="n"/>
      <c r="Q532" s="128" t="n"/>
      <c r="R532" s="128" t="n"/>
      <c r="S532" s="128" t="n"/>
      <c r="T532" s="128" t="n"/>
    </row>
    <row r="533" ht="15.75" customHeight="1">
      <c r="A533" s="429" t="n"/>
      <c r="B533" s="429" t="n"/>
      <c r="C533" s="429" t="n"/>
      <c r="D533" s="429" t="n"/>
      <c r="E533" s="474" t="inlineStr">
        <is>
          <t xml:space="preserve">Mahamoud Mohamed </t>
        </is>
      </c>
      <c r="F533" s="175" t="inlineStr">
        <is>
          <t>Recreation</t>
        </is>
      </c>
      <c r="G533" s="175" t="inlineStr">
        <is>
          <t> </t>
        </is>
      </c>
      <c r="H533" s="175" t="n">
        <v>2595091063</v>
      </c>
      <c r="I533" s="174" t="inlineStr">
        <is>
          <t>Additional</t>
        </is>
      </c>
      <c r="J533" s="521" t="n">
        <v>46163</v>
      </c>
      <c r="K533" s="175" t="inlineStr">
        <is>
          <t>WEBCO</t>
        </is>
      </c>
      <c r="L533" s="198" t="inlineStr">
        <is>
          <t>-</t>
        </is>
      </c>
      <c r="N533" s="128" t="n"/>
      <c r="O533" s="128" t="n"/>
      <c r="P533" s="128" t="n"/>
      <c r="Q533" s="128" t="n"/>
      <c r="R533" s="128" t="n"/>
      <c r="S533" s="128" t="n"/>
      <c r="T533" s="128" t="n"/>
    </row>
    <row r="534" ht="15.75" customHeight="1">
      <c r="A534" s="429" t="n"/>
      <c r="B534" s="429" t="n"/>
      <c r="C534" s="429" t="n"/>
      <c r="D534" s="429" t="n"/>
      <c r="E534" s="474" t="inlineStr">
        <is>
          <t>ADEL FATHI ALI KENAWI</t>
        </is>
      </c>
      <c r="F534" s="175" t="inlineStr">
        <is>
          <t>RECREATION</t>
        </is>
      </c>
      <c r="G534" s="175" t="n">
        <v>10065</v>
      </c>
      <c r="H534" s="175" t="n">
        <v>2581574817</v>
      </c>
      <c r="I534" s="174" t="inlineStr">
        <is>
          <t>Additional</t>
        </is>
      </c>
      <c r="J534" s="521" t="n">
        <v>46095</v>
      </c>
      <c r="K534" s="175" t="inlineStr">
        <is>
          <t>WABCO</t>
        </is>
      </c>
      <c r="L534" s="203" t="n"/>
      <c r="N534" s="128" t="n"/>
      <c r="O534" s="128" t="n"/>
      <c r="P534" s="128" t="n"/>
      <c r="Q534" s="128" t="n"/>
      <c r="R534" s="128" t="n"/>
      <c r="S534" s="128" t="n"/>
      <c r="T534" s="128" t="n"/>
    </row>
    <row r="535" ht="15.75" customHeight="1">
      <c r="A535" s="429" t="n"/>
      <c r="B535" s="429" t="n"/>
      <c r="C535" s="429" t="n"/>
      <c r="D535" s="429" t="n"/>
      <c r="E535" s="474" t="inlineStr">
        <is>
          <t>Manu Sundaran</t>
        </is>
      </c>
      <c r="F535" s="199" t="inlineStr">
        <is>
          <t>SOFT SERVICE</t>
        </is>
      </c>
      <c r="G535" s="200" t="inlineStr">
        <is>
          <t>-</t>
        </is>
      </c>
      <c r="H535" s="201" t="n">
        <v>2641114703</v>
      </c>
      <c r="I535" s="174" t="inlineStr">
        <is>
          <t>Additional</t>
        </is>
      </c>
      <c r="J535" s="521" t="n">
        <v>46219</v>
      </c>
      <c r="K535" s="175" t="inlineStr">
        <is>
          <t>FMCO</t>
        </is>
      </c>
      <c r="L535" s="198" t="inlineStr">
        <is>
          <t>-</t>
        </is>
      </c>
      <c r="N535" s="128" t="n"/>
      <c r="O535" s="128" t="n"/>
      <c r="P535" s="128" t="n"/>
      <c r="Q535" s="128" t="n"/>
      <c r="R535" s="128" t="n"/>
      <c r="S535" s="128" t="n"/>
      <c r="T535" s="128" t="n"/>
    </row>
    <row r="536" ht="15.75" customHeight="1">
      <c r="A536" s="429" t="n"/>
      <c r="B536" s="429" t="n"/>
      <c r="C536" s="429" t="n"/>
      <c r="D536" s="429" t="n"/>
      <c r="E536" s="474" t="inlineStr">
        <is>
          <t xml:space="preserve">Mohamed Abbas </t>
        </is>
      </c>
      <c r="F536" s="175" t="inlineStr">
        <is>
          <t>Recreation</t>
        </is>
      </c>
      <c r="G536" s="202" t="inlineStr">
        <is>
          <t>-</t>
        </is>
      </c>
      <c r="H536" s="202" t="n">
        <v>2623068281</v>
      </c>
      <c r="I536" s="204" t="inlineStr">
        <is>
          <t>Additional</t>
        </is>
      </c>
      <c r="J536" s="525" t="n">
        <v>46168</v>
      </c>
      <c r="K536" s="175" t="inlineStr">
        <is>
          <t>WEBCO</t>
        </is>
      </c>
      <c r="L536" s="203" t="inlineStr">
        <is>
          <t>-</t>
        </is>
      </c>
      <c r="N536" s="128" t="n"/>
      <c r="O536" s="128" t="n"/>
      <c r="P536" s="128" t="n"/>
      <c r="Q536" s="128" t="n"/>
      <c r="R536" s="128" t="n"/>
      <c r="S536" s="128" t="n"/>
      <c r="T536" s="128" t="n"/>
    </row>
    <row r="537" ht="15.75" customHeight="1">
      <c r="A537" s="474" t="inlineStr">
        <is>
          <t>DRIVER</t>
        </is>
      </c>
      <c r="B537" s="477" t="n">
        <v>0</v>
      </c>
      <c r="C537" s="477">
        <f>COUNTIF(E537:E542,"&lt;&gt;")</f>
        <v/>
      </c>
      <c r="D537" s="483" t="n">
        <v>0</v>
      </c>
      <c r="E537" s="474" t="inlineStr">
        <is>
          <t>Hakik Tazoin</t>
        </is>
      </c>
      <c r="F537" s="205" t="inlineStr">
        <is>
          <t>Logistic Services</t>
        </is>
      </c>
      <c r="G537" s="205" t="n">
        <v>701878</v>
      </c>
      <c r="H537" s="205" t="n">
        <v>2538747482</v>
      </c>
      <c r="I537" s="174" t="inlineStr">
        <is>
          <t>Additional</t>
        </is>
      </c>
      <c r="J537" s="521" t="n">
        <v>45881</v>
      </c>
      <c r="K537" s="175" t="inlineStr">
        <is>
          <t>FMCO VISA</t>
        </is>
      </c>
      <c r="L537" s="198" t="inlineStr">
        <is>
          <t>-</t>
        </is>
      </c>
      <c r="N537" s="128" t="n"/>
      <c r="O537" s="128" t="n"/>
      <c r="P537" s="128" t="n"/>
      <c r="Q537" s="128" t="n"/>
      <c r="R537" s="128" t="n"/>
      <c r="S537" s="128" t="n"/>
      <c r="T537" s="128" t="n"/>
    </row>
    <row r="538" ht="15.75" customHeight="1">
      <c r="A538" s="429" t="n"/>
      <c r="B538" s="429" t="n"/>
      <c r="C538" s="429" t="n"/>
      <c r="D538" s="429" t="n"/>
      <c r="E538" s="474" t="inlineStr">
        <is>
          <t>Mubashir Hussain</t>
        </is>
      </c>
      <c r="F538" s="205" t="inlineStr">
        <is>
          <t>Logistic Services</t>
        </is>
      </c>
      <c r="G538" s="205" t="n">
        <v>701073</v>
      </c>
      <c r="H538" s="205" t="n">
        <v>2515422257</v>
      </c>
      <c r="I538" s="174" t="inlineStr">
        <is>
          <t>Additional</t>
        </is>
      </c>
      <c r="J538" s="521" t="n">
        <v>45595</v>
      </c>
      <c r="K538" s="175" t="inlineStr">
        <is>
          <t>FMCO VISA</t>
        </is>
      </c>
      <c r="L538" s="198" t="inlineStr">
        <is>
          <t>-</t>
        </is>
      </c>
      <c r="N538" s="128" t="n"/>
      <c r="O538" s="128" t="n"/>
      <c r="P538" s="128" t="n"/>
      <c r="Q538" s="128" t="n"/>
      <c r="R538" s="128" t="n"/>
      <c r="S538" s="128" t="n"/>
      <c r="T538" s="128" t="n"/>
    </row>
    <row r="539" ht="15.75" customHeight="1">
      <c r="A539" s="429" t="n"/>
      <c r="B539" s="429" t="n"/>
      <c r="C539" s="429" t="n"/>
      <c r="D539" s="429" t="n"/>
      <c r="E539" s="474" t="inlineStr">
        <is>
          <t xml:space="preserve">Muhammad Ahsan </t>
        </is>
      </c>
      <c r="F539" s="205" t="inlineStr">
        <is>
          <t>Logistic Services</t>
        </is>
      </c>
      <c r="G539" s="205" t="inlineStr">
        <is>
          <t>EM-0002426</t>
        </is>
      </c>
      <c r="H539" s="205" t="n">
        <v>2576668145</v>
      </c>
      <c r="I539" s="174" t="inlineStr">
        <is>
          <t>Additional</t>
        </is>
      </c>
      <c r="J539" s="521" t="n">
        <v>45919</v>
      </c>
      <c r="K539" s="175" t="inlineStr">
        <is>
          <t>FMCO VISA</t>
        </is>
      </c>
      <c r="L539" s="198" t="inlineStr">
        <is>
          <t>-</t>
        </is>
      </c>
      <c r="N539" s="128" t="n"/>
      <c r="O539" s="128" t="n"/>
      <c r="P539" s="128" t="n"/>
      <c r="Q539" s="128" t="n"/>
      <c r="R539" s="128" t="n"/>
      <c r="S539" s="128" t="n"/>
      <c r="T539" s="128" t="n"/>
    </row>
    <row r="540" ht="15.75" customHeight="1">
      <c r="A540" s="429" t="n"/>
      <c r="B540" s="429" t="n"/>
      <c r="C540" s="429" t="n"/>
      <c r="D540" s="429" t="n"/>
      <c r="E540" s="474" t="inlineStr">
        <is>
          <t>Amjad Ur Rahman</t>
        </is>
      </c>
      <c r="F540" s="205" t="inlineStr">
        <is>
          <t>Logistic Services</t>
        </is>
      </c>
      <c r="G540" s="205" t="n">
        <v>703369</v>
      </c>
      <c r="H540" s="205" t="n">
        <v>2551019413</v>
      </c>
      <c r="I540" s="174" t="inlineStr">
        <is>
          <t>Additional</t>
        </is>
      </c>
      <c r="J540" s="521" t="n">
        <v>45590</v>
      </c>
      <c r="K540" s="175" t="inlineStr">
        <is>
          <t>FMCO VISA</t>
        </is>
      </c>
      <c r="L540" s="198" t="inlineStr">
        <is>
          <t>-</t>
        </is>
      </c>
      <c r="N540" s="128" t="n"/>
      <c r="O540" s="128" t="n"/>
      <c r="P540" s="128" t="n"/>
      <c r="Q540" s="128" t="n"/>
      <c r="R540" s="128" t="n"/>
      <c r="S540" s="128" t="n"/>
      <c r="T540" s="128" t="n"/>
    </row>
    <row r="541" ht="15.75" customHeight="1">
      <c r="A541" s="429" t="n"/>
      <c r="B541" s="429" t="n"/>
      <c r="C541" s="429" t="n"/>
      <c r="D541" s="429" t="n"/>
      <c r="E541" s="474" t="inlineStr">
        <is>
          <t>Amir Ali Muhammad Ali Khan</t>
        </is>
      </c>
      <c r="F541" s="199" t="inlineStr">
        <is>
          <t>LOGISTIC</t>
        </is>
      </c>
      <c r="G541" s="206" t="n">
        <v>703573</v>
      </c>
      <c r="H541" s="417" t="n">
        <v>2568380220</v>
      </c>
      <c r="I541" s="174" t="inlineStr">
        <is>
          <t>Additional</t>
        </is>
      </c>
      <c r="J541" s="526" t="n"/>
      <c r="K541" s="175" t="inlineStr">
        <is>
          <t>FMCO</t>
        </is>
      </c>
      <c r="L541" s="198" t="inlineStr">
        <is>
          <t>-</t>
        </is>
      </c>
      <c r="N541" s="128" t="n"/>
      <c r="O541" s="128" t="n"/>
      <c r="P541" s="128" t="n"/>
      <c r="Q541" s="128" t="n"/>
      <c r="R541" s="128" t="n"/>
      <c r="S541" s="128" t="n"/>
      <c r="T541" s="128" t="n"/>
    </row>
    <row r="542" ht="15.75" customHeight="1">
      <c r="A542" s="431" t="n"/>
      <c r="B542" s="431" t="n"/>
      <c r="C542" s="431" t="n"/>
      <c r="D542" s="431" t="n"/>
      <c r="E542" s="474" t="inlineStr">
        <is>
          <t>Furqan Suleman</t>
        </is>
      </c>
      <c r="F542" s="205" t="inlineStr">
        <is>
          <t>Logistic Services</t>
        </is>
      </c>
      <c r="G542" s="205" t="n">
        <v>702693</v>
      </c>
      <c r="H542" s="205" t="n">
        <v>2556259519</v>
      </c>
      <c r="I542" s="174" t="inlineStr">
        <is>
          <t>Additional</t>
        </is>
      </c>
      <c r="J542" s="521" t="n">
        <v>46162</v>
      </c>
      <c r="K542" s="175" t="inlineStr">
        <is>
          <t>FMCO VISA</t>
        </is>
      </c>
      <c r="L542" s="198" t="inlineStr">
        <is>
          <t>-</t>
        </is>
      </c>
      <c r="N542" s="128" t="n"/>
      <c r="O542" s="128" t="n"/>
      <c r="P542" s="128" t="n"/>
      <c r="Q542" s="128" t="n"/>
      <c r="R542" s="128" t="n"/>
      <c r="S542" s="128" t="n"/>
      <c r="T542" s="128" t="n"/>
    </row>
    <row r="543" ht="15.75" customHeight="1">
      <c r="A543" s="474" t="inlineStr">
        <is>
          <t>LV Supervisor</t>
        </is>
      </c>
      <c r="B543" s="477" t="n">
        <v>0</v>
      </c>
      <c r="C543" s="477" t="n">
        <v>1</v>
      </c>
      <c r="D543" s="483" t="n">
        <v>0</v>
      </c>
      <c r="E543" s="474" t="inlineStr">
        <is>
          <t>Azharuddin Wajid</t>
        </is>
      </c>
      <c r="F543" s="199" t="inlineStr">
        <is>
          <t>IT</t>
        </is>
      </c>
      <c r="G543" s="200" t="inlineStr">
        <is>
          <t>EM-0001973</t>
        </is>
      </c>
      <c r="H543" s="200" t="n">
        <v>2587435674</v>
      </c>
      <c r="I543" s="174" t="inlineStr">
        <is>
          <t>Additional</t>
        </is>
      </c>
      <c r="J543" s="521" t="n">
        <v>45600</v>
      </c>
      <c r="K543" s="175" t="inlineStr">
        <is>
          <t>AL-FALAK VISA</t>
        </is>
      </c>
      <c r="L543" s="198" t="inlineStr">
        <is>
          <t>-</t>
        </is>
      </c>
      <c r="N543" s="128" t="n"/>
      <c r="O543" s="128" t="n"/>
      <c r="P543" s="128" t="n"/>
      <c r="Q543" s="128" t="n"/>
      <c r="R543" s="128" t="n"/>
      <c r="S543" s="128" t="n"/>
      <c r="T543" s="128" t="n"/>
    </row>
    <row r="544" ht="15.75" customHeight="1">
      <c r="A544" s="474" t="inlineStr">
        <is>
          <t>Ict Technician</t>
        </is>
      </c>
      <c r="B544" s="474" t="n">
        <v>0</v>
      </c>
      <c r="C544" s="474" t="n">
        <v>2</v>
      </c>
      <c r="D544" s="474" t="n">
        <v>0</v>
      </c>
      <c r="E544" s="474" t="inlineStr">
        <is>
          <t>MD ROKIBUL ISLAM SHANTU</t>
        </is>
      </c>
      <c r="F544" s="199" t="inlineStr">
        <is>
          <t>HARD SERVICE</t>
        </is>
      </c>
      <c r="G544" s="200" t="n"/>
      <c r="H544" s="200" t="inlineStr">
        <is>
          <t>A15897351</t>
        </is>
      </c>
      <c r="I544" s="174" t="inlineStr">
        <is>
          <t>Additional</t>
        </is>
      </c>
      <c r="J544" s="521" t="n">
        <v>46267</v>
      </c>
      <c r="K544" s="175" t="n"/>
      <c r="L544" s="198" t="n"/>
      <c r="N544" s="128" t="n"/>
      <c r="O544" s="128" t="n"/>
      <c r="P544" s="128" t="n"/>
      <c r="Q544" s="128" t="n"/>
      <c r="R544" s="128" t="n"/>
      <c r="S544" s="128" t="n"/>
      <c r="T544" s="128" t="n"/>
    </row>
    <row r="545" ht="15.75" customHeight="1">
      <c r="A545" s="431" t="n"/>
      <c r="B545" s="431" t="n"/>
      <c r="C545" s="431" t="n"/>
      <c r="D545" s="431" t="n"/>
      <c r="E545" s="474" t="inlineStr">
        <is>
          <t>Akhtar Ali</t>
        </is>
      </c>
      <c r="F545" s="199" t="inlineStr">
        <is>
          <t>HARD SERVICE</t>
        </is>
      </c>
      <c r="G545" s="200" t="inlineStr">
        <is>
          <t>-</t>
        </is>
      </c>
      <c r="H545" s="200" t="n">
        <v>2639575543</v>
      </c>
      <c r="I545" s="174" t="inlineStr">
        <is>
          <t>Additional</t>
        </is>
      </c>
      <c r="J545" s="516" t="n"/>
      <c r="K545" s="175" t="inlineStr">
        <is>
          <t xml:space="preserve">RAMZ </t>
        </is>
      </c>
      <c r="L545" s="198" t="inlineStr">
        <is>
          <t>-</t>
        </is>
      </c>
      <c r="N545" s="128" t="n"/>
      <c r="O545" s="128" t="n"/>
      <c r="P545" s="128" t="n"/>
      <c r="Q545" s="128" t="n"/>
      <c r="R545" s="128" t="n"/>
      <c r="S545" s="128" t="n"/>
      <c r="T545" s="128" t="n"/>
    </row>
    <row r="546" ht="15.75" customHeight="1">
      <c r="A546" s="474" t="inlineStr">
        <is>
          <t>Irrigation Technician</t>
        </is>
      </c>
      <c r="B546" s="471" t="n">
        <v>0</v>
      </c>
      <c r="C546" s="471" t="n">
        <v>3</v>
      </c>
      <c r="D546" s="471" t="n">
        <v>0</v>
      </c>
      <c r="E546" s="474" t="inlineStr">
        <is>
          <t xml:space="preserve">Md Shahajan </t>
        </is>
      </c>
      <c r="F546" s="199" t="inlineStr">
        <is>
          <t>HARD SERVICE</t>
        </is>
      </c>
      <c r="G546" s="200" t="inlineStr">
        <is>
          <t>-</t>
        </is>
      </c>
      <c r="H546" s="200" t="n">
        <v>2590521247</v>
      </c>
      <c r="I546" s="174" t="inlineStr">
        <is>
          <t>Additional</t>
        </is>
      </c>
      <c r="J546" s="516" t="n"/>
      <c r="K546" s="175" t="inlineStr">
        <is>
          <t xml:space="preserve">RAMZ </t>
        </is>
      </c>
      <c r="L546" s="198" t="inlineStr">
        <is>
          <t>-</t>
        </is>
      </c>
      <c r="N546" s="128" t="n"/>
      <c r="O546" s="128" t="n"/>
      <c r="P546" s="128" t="n"/>
      <c r="Q546" s="128" t="n"/>
      <c r="R546" s="128" t="n"/>
      <c r="S546" s="128" t="n"/>
      <c r="T546" s="128" t="n"/>
    </row>
    <row r="547" ht="15.75" customHeight="1">
      <c r="A547" s="431" t="n"/>
      <c r="B547" s="429" t="n"/>
      <c r="C547" s="429" t="n"/>
      <c r="D547" s="429" t="n"/>
      <c r="E547" s="474" t="inlineStr">
        <is>
          <t>Md Shahin Mia Md Pasan Ali</t>
        </is>
      </c>
      <c r="F547" s="199" t="inlineStr">
        <is>
          <t>HARD SERVICE</t>
        </is>
      </c>
      <c r="G547" s="200" t="inlineStr">
        <is>
          <t>-</t>
        </is>
      </c>
      <c r="H547" s="200" t="n">
        <v>2633409277</v>
      </c>
      <c r="I547" s="174" t="inlineStr">
        <is>
          <t>Additional</t>
        </is>
      </c>
      <c r="J547" s="516" t="n"/>
      <c r="K547" s="175" t="inlineStr">
        <is>
          <t xml:space="preserve">RAMZ </t>
        </is>
      </c>
      <c r="L547" s="198" t="inlineStr">
        <is>
          <t>-</t>
        </is>
      </c>
      <c r="N547" s="128" t="n"/>
      <c r="O547" s="128" t="n"/>
      <c r="P547" s="128" t="n"/>
      <c r="Q547" s="128" t="n"/>
      <c r="R547" s="128" t="n"/>
      <c r="S547" s="128" t="n"/>
      <c r="T547" s="128" t="n"/>
    </row>
    <row r="548" ht="15.75" customHeight="1">
      <c r="A548" s="474" t="inlineStr">
        <is>
          <t>Accommodation Assistant</t>
        </is>
      </c>
      <c r="B548" s="477" t="n">
        <v>0</v>
      </c>
      <c r="C548" s="477" t="n">
        <v>1</v>
      </c>
      <c r="D548" s="483" t="n">
        <v>0</v>
      </c>
      <c r="E548" s="474" t="inlineStr">
        <is>
          <t>Rakesh Parida</t>
        </is>
      </c>
      <c r="F548" s="199" t="inlineStr">
        <is>
          <t>HARD SERVICE</t>
        </is>
      </c>
      <c r="G548" s="200" t="inlineStr">
        <is>
          <t>-</t>
        </is>
      </c>
      <c r="H548" s="200" t="n">
        <v>2638610663</v>
      </c>
      <c r="I548" s="174" t="inlineStr">
        <is>
          <t>Additional</t>
        </is>
      </c>
      <c r="J548" s="516" t="n"/>
      <c r="K548" s="175" t="inlineStr">
        <is>
          <t xml:space="preserve">RAMZ </t>
        </is>
      </c>
      <c r="L548" s="198" t="inlineStr">
        <is>
          <t>-</t>
        </is>
      </c>
      <c r="N548" s="128" t="n"/>
      <c r="O548" s="128" t="n"/>
      <c r="P548" s="128" t="n"/>
      <c r="Q548" s="128" t="n"/>
      <c r="R548" s="128" t="n"/>
      <c r="S548" s="128" t="n"/>
      <c r="T548" s="128" t="n"/>
    </row>
    <row r="549" ht="15.75" customHeight="1">
      <c r="A549" s="474" t="inlineStr">
        <is>
          <t>Manlift Operator</t>
        </is>
      </c>
      <c r="B549" s="477" t="n">
        <v>0</v>
      </c>
      <c r="C549" s="477" t="n">
        <v>1</v>
      </c>
      <c r="D549" s="483" t="n">
        <v>0</v>
      </c>
      <c r="E549" s="474" t="inlineStr">
        <is>
          <t>Shahid Abbas</t>
        </is>
      </c>
      <c r="F549" s="199" t="inlineStr">
        <is>
          <t>LOGISTICS</t>
        </is>
      </c>
      <c r="G549" s="200" t="inlineStr">
        <is>
          <t>-</t>
        </is>
      </c>
      <c r="H549" s="200" t="n">
        <v>2626810176</v>
      </c>
      <c r="I549" s="174" t="inlineStr">
        <is>
          <t>Additional</t>
        </is>
      </c>
      <c r="J549" s="516" t="n"/>
      <c r="K549" s="175" t="inlineStr">
        <is>
          <t>-</t>
        </is>
      </c>
      <c r="L549" s="198" t="inlineStr">
        <is>
          <t>-</t>
        </is>
      </c>
      <c r="N549" s="128" t="n"/>
      <c r="O549" s="128" t="n"/>
      <c r="P549" s="128" t="n"/>
      <c r="Q549" s="128" t="n"/>
      <c r="R549" s="128" t="n"/>
      <c r="S549" s="128" t="n"/>
      <c r="T549" s="128" t="n"/>
    </row>
    <row r="550" ht="15.75" customHeight="1">
      <c r="A550" s="474" t="inlineStr">
        <is>
          <t>Gardener</t>
        </is>
      </c>
      <c r="B550" s="477" t="n"/>
      <c r="C550" s="477" t="n">
        <v>29</v>
      </c>
      <c r="D550" s="477" t="n"/>
      <c r="E550" s="474" t="inlineStr">
        <is>
          <t>Amar Mandal</t>
        </is>
      </c>
      <c r="F550" s="199" t="inlineStr">
        <is>
          <t>SOFT SERVICE</t>
        </is>
      </c>
      <c r="G550" s="200" t="inlineStr">
        <is>
          <t>-</t>
        </is>
      </c>
      <c r="H550" s="200" t="n">
        <v>2625621921</v>
      </c>
      <c r="I550" s="174" t="inlineStr">
        <is>
          <t>Additional</t>
        </is>
      </c>
      <c r="J550" s="521" t="n">
        <v>46217</v>
      </c>
      <c r="K550" s="175" t="inlineStr">
        <is>
          <t xml:space="preserve">GULF VISION </t>
        </is>
      </c>
      <c r="L550" s="198" t="inlineStr">
        <is>
          <t>-</t>
        </is>
      </c>
      <c r="N550" s="128" t="n"/>
      <c r="O550" s="128" t="n"/>
      <c r="P550" s="128" t="n"/>
      <c r="Q550" s="128" t="n"/>
      <c r="R550" s="128" t="n"/>
      <c r="S550" s="128" t="n"/>
      <c r="T550" s="128" t="n"/>
    </row>
    <row r="551" ht="15.75" customHeight="1">
      <c r="A551" s="429" t="n"/>
      <c r="B551" s="429" t="n"/>
      <c r="C551" s="429" t="n"/>
      <c r="D551" s="429" t="n"/>
      <c r="E551" s="474" t="inlineStr">
        <is>
          <t>Md Sahrab Miya</t>
        </is>
      </c>
      <c r="F551" s="199" t="inlineStr">
        <is>
          <t>SOFT SERVICE</t>
        </is>
      </c>
      <c r="G551" s="200" t="inlineStr">
        <is>
          <t>-</t>
        </is>
      </c>
      <c r="H551" s="200" t="n">
        <v>2615973548</v>
      </c>
      <c r="I551" s="174" t="inlineStr">
        <is>
          <t>Additional</t>
        </is>
      </c>
      <c r="J551" s="521" t="n">
        <v>46217</v>
      </c>
      <c r="K551" s="175" t="inlineStr">
        <is>
          <t xml:space="preserve">GULF VISION </t>
        </is>
      </c>
      <c r="L551" s="198" t="inlineStr">
        <is>
          <t>-</t>
        </is>
      </c>
      <c r="N551" s="128" t="n"/>
      <c r="O551" s="128" t="n"/>
      <c r="P551" s="128" t="n"/>
      <c r="Q551" s="128" t="n"/>
      <c r="R551" s="128" t="n"/>
      <c r="S551" s="128" t="n"/>
      <c r="T551" s="128" t="n"/>
    </row>
    <row r="552" ht="15.75" customHeight="1">
      <c r="A552" s="429" t="n"/>
      <c r="B552" s="429" t="n"/>
      <c r="C552" s="429" t="n"/>
      <c r="D552" s="429" t="n"/>
      <c r="E552" s="474" t="inlineStr">
        <is>
          <t>Hansha Raj Kc</t>
        </is>
      </c>
      <c r="F552" s="199" t="inlineStr">
        <is>
          <t>SOFT SERVICE</t>
        </is>
      </c>
      <c r="G552" s="200" t="inlineStr">
        <is>
          <t>-</t>
        </is>
      </c>
      <c r="H552" s="200" t="n">
        <v>2615972649</v>
      </c>
      <c r="I552" s="174" t="inlineStr">
        <is>
          <t>Additional</t>
        </is>
      </c>
      <c r="J552" s="521" t="n">
        <v>46217</v>
      </c>
      <c r="K552" s="175" t="inlineStr">
        <is>
          <t xml:space="preserve">GULF VISION </t>
        </is>
      </c>
      <c r="L552" s="198" t="inlineStr">
        <is>
          <t>-</t>
        </is>
      </c>
      <c r="N552" s="128" t="n"/>
      <c r="O552" s="128" t="n"/>
      <c r="P552" s="128" t="n"/>
      <c r="Q552" s="128" t="n"/>
      <c r="R552" s="128" t="n"/>
      <c r="S552" s="128" t="n"/>
      <c r="T552" s="128" t="n"/>
    </row>
    <row r="553" ht="15.75" customHeight="1">
      <c r="A553" s="429" t="n"/>
      <c r="B553" s="429" t="n"/>
      <c r="C553" s="429" t="n"/>
      <c r="D553" s="429" t="n"/>
      <c r="E553" s="474" t="inlineStr">
        <is>
          <t>Dipendra Mahji</t>
        </is>
      </c>
      <c r="F553" s="199" t="inlineStr">
        <is>
          <t>SOFT SERVICE</t>
        </is>
      </c>
      <c r="G553" s="200" t="inlineStr">
        <is>
          <t>-</t>
        </is>
      </c>
      <c r="H553" s="200" t="n">
        <v>2617334269</v>
      </c>
      <c r="I553" s="174" t="inlineStr">
        <is>
          <t>Additional</t>
        </is>
      </c>
      <c r="J553" s="521" t="n">
        <v>46217</v>
      </c>
      <c r="K553" s="175" t="inlineStr">
        <is>
          <t xml:space="preserve">GULF VISION </t>
        </is>
      </c>
      <c r="L553" s="198" t="inlineStr">
        <is>
          <t>-</t>
        </is>
      </c>
      <c r="N553" s="128" t="n"/>
      <c r="O553" s="128" t="n"/>
      <c r="P553" s="128" t="n"/>
      <c r="Q553" s="128" t="n"/>
      <c r="R553" s="128" t="n"/>
      <c r="S553" s="128" t="n"/>
      <c r="T553" s="128" t="n"/>
    </row>
    <row r="554" ht="15.75" customHeight="1">
      <c r="A554" s="429" t="n"/>
      <c r="B554" s="429" t="n"/>
      <c r="C554" s="429" t="n"/>
      <c r="D554" s="429" t="n"/>
      <c r="E554" s="474" t="inlineStr">
        <is>
          <t>Rabindra Mandal</t>
        </is>
      </c>
      <c r="F554" s="199" t="inlineStr">
        <is>
          <t>SOFT SERVICE</t>
        </is>
      </c>
      <c r="G554" s="200" t="inlineStr">
        <is>
          <t>-</t>
        </is>
      </c>
      <c r="H554" s="200" t="n">
        <v>2617336009</v>
      </c>
      <c r="I554" s="174" t="inlineStr">
        <is>
          <t>Additional</t>
        </is>
      </c>
      <c r="J554" s="521" t="n">
        <v>46217</v>
      </c>
      <c r="K554" s="175" t="inlineStr">
        <is>
          <t xml:space="preserve">GULF VISION </t>
        </is>
      </c>
      <c r="L554" s="198" t="inlineStr">
        <is>
          <t>-</t>
        </is>
      </c>
      <c r="N554" s="128" t="n"/>
      <c r="O554" s="128" t="n"/>
      <c r="P554" s="128" t="n"/>
      <c r="Q554" s="128" t="n"/>
      <c r="R554" s="128" t="n"/>
      <c r="S554" s="128" t="n"/>
      <c r="T554" s="128" t="n"/>
    </row>
    <row r="555" ht="15.75" customHeight="1">
      <c r="A555" s="429" t="n"/>
      <c r="B555" s="429" t="n"/>
      <c r="C555" s="429" t="n"/>
      <c r="D555" s="429" t="n"/>
      <c r="E555" s="474" t="inlineStr">
        <is>
          <t>Bhim Thakur Lohar</t>
        </is>
      </c>
      <c r="F555" s="199" t="inlineStr">
        <is>
          <t>SOFT SERVICE</t>
        </is>
      </c>
      <c r="G555" s="200" t="inlineStr">
        <is>
          <t>-</t>
        </is>
      </c>
      <c r="H555" s="200" t="n">
        <v>2617334178</v>
      </c>
      <c r="I555" s="174" t="inlineStr">
        <is>
          <t>Additional</t>
        </is>
      </c>
      <c r="J555" s="521" t="n">
        <v>46217</v>
      </c>
      <c r="K555" s="175" t="inlineStr">
        <is>
          <t xml:space="preserve">GULF VISION </t>
        </is>
      </c>
      <c r="L555" s="198" t="inlineStr">
        <is>
          <t>-</t>
        </is>
      </c>
      <c r="N555" s="128" t="n"/>
      <c r="O555" s="128" t="n"/>
      <c r="P555" s="128" t="n"/>
      <c r="Q555" s="128" t="n"/>
      <c r="R555" s="128" t="n"/>
      <c r="S555" s="128" t="n"/>
      <c r="T555" s="128" t="n"/>
    </row>
    <row r="556" ht="15.75" customHeight="1">
      <c r="A556" s="429" t="n"/>
      <c r="B556" s="429" t="n"/>
      <c r="C556" s="429" t="n"/>
      <c r="D556" s="429" t="n"/>
      <c r="E556" s="474" t="inlineStr">
        <is>
          <t>Chandeshwar Majhi</t>
        </is>
      </c>
      <c r="F556" s="199" t="inlineStr">
        <is>
          <t>SOFT SERVICE</t>
        </is>
      </c>
      <c r="G556" s="200" t="inlineStr">
        <is>
          <t>-</t>
        </is>
      </c>
      <c r="H556" s="200" t="n">
        <v>2617334202</v>
      </c>
      <c r="I556" s="174" t="inlineStr">
        <is>
          <t>Additional</t>
        </is>
      </c>
      <c r="J556" s="521" t="n">
        <v>46217</v>
      </c>
      <c r="K556" s="175" t="inlineStr">
        <is>
          <t xml:space="preserve">GULF VISION </t>
        </is>
      </c>
      <c r="L556" s="198" t="inlineStr">
        <is>
          <t>-</t>
        </is>
      </c>
      <c r="N556" s="128" t="n"/>
      <c r="O556" s="128" t="n"/>
      <c r="P556" s="128" t="n"/>
      <c r="Q556" s="128" t="n"/>
      <c r="R556" s="128" t="n"/>
      <c r="S556" s="128" t="n"/>
      <c r="T556" s="128" t="n"/>
    </row>
    <row r="557" ht="15.75" customHeight="1">
      <c r="A557" s="429" t="n"/>
      <c r="B557" s="429" t="n"/>
      <c r="C557" s="429" t="n"/>
      <c r="D557" s="429" t="n"/>
      <c r="E557" s="474" t="inlineStr">
        <is>
          <t>Ajay Ray</t>
        </is>
      </c>
      <c r="F557" s="199" t="inlineStr">
        <is>
          <t>SOFT SERVICE</t>
        </is>
      </c>
      <c r="G557" s="200" t="inlineStr">
        <is>
          <t>-</t>
        </is>
      </c>
      <c r="H557" s="200" t="n">
        <v>2615969454</v>
      </c>
      <c r="I557" s="174" t="inlineStr">
        <is>
          <t>Additional</t>
        </is>
      </c>
      <c r="J557" s="521" t="n">
        <v>46217</v>
      </c>
      <c r="K557" s="175" t="inlineStr">
        <is>
          <t xml:space="preserve">GULF VISION </t>
        </is>
      </c>
      <c r="L557" s="198" t="inlineStr">
        <is>
          <t>-</t>
        </is>
      </c>
      <c r="N557" s="128" t="n"/>
      <c r="O557" s="128" t="n"/>
      <c r="P557" s="128" t="n"/>
      <c r="Q557" s="128" t="n"/>
      <c r="R557" s="128" t="n"/>
      <c r="S557" s="128" t="n"/>
      <c r="T557" s="128" t="n"/>
    </row>
    <row r="558" ht="15.75" customHeight="1">
      <c r="A558" s="429" t="n"/>
      <c r="B558" s="429" t="n"/>
      <c r="C558" s="429" t="n"/>
      <c r="D558" s="429" t="n"/>
      <c r="E558" s="474" t="inlineStr">
        <is>
          <t>Roshan Lal Ram</t>
        </is>
      </c>
      <c r="F558" s="199" t="inlineStr">
        <is>
          <t>SOFT SERVICE</t>
        </is>
      </c>
      <c r="G558" s="200" t="inlineStr">
        <is>
          <t>-</t>
        </is>
      </c>
      <c r="H558" s="200" t="n">
        <v>2615974421</v>
      </c>
      <c r="I558" s="174" t="inlineStr">
        <is>
          <t>Additional</t>
        </is>
      </c>
      <c r="J558" s="521" t="n">
        <v>46217</v>
      </c>
      <c r="K558" s="175" t="inlineStr">
        <is>
          <t xml:space="preserve">GULF VISION </t>
        </is>
      </c>
      <c r="L558" s="198" t="inlineStr">
        <is>
          <t>-</t>
        </is>
      </c>
      <c r="N558" s="128" t="n"/>
      <c r="O558" s="128" t="n"/>
      <c r="P558" s="128" t="n"/>
      <c r="Q558" s="128" t="n"/>
      <c r="R558" s="128" t="n"/>
      <c r="S558" s="128" t="n"/>
      <c r="T558" s="128" t="n"/>
    </row>
    <row r="559" ht="15.75" customHeight="1">
      <c r="A559" s="429" t="n"/>
      <c r="B559" s="429" t="n"/>
      <c r="C559" s="429" t="n"/>
      <c r="D559" s="429" t="n"/>
      <c r="E559" s="474" t="inlineStr">
        <is>
          <t>Sanjay Ram</t>
        </is>
      </c>
      <c r="F559" s="199" t="inlineStr">
        <is>
          <t>SOFT SERVICE</t>
        </is>
      </c>
      <c r="G559" s="200" t="inlineStr">
        <is>
          <t>-</t>
        </is>
      </c>
      <c r="H559" s="200" t="n">
        <v>2615974967</v>
      </c>
      <c r="I559" s="174" t="inlineStr">
        <is>
          <t>Additional</t>
        </is>
      </c>
      <c r="J559" s="521" t="n">
        <v>46217</v>
      </c>
      <c r="K559" s="175" t="inlineStr">
        <is>
          <t xml:space="preserve">GULF VISION </t>
        </is>
      </c>
      <c r="L559" s="198" t="inlineStr">
        <is>
          <t>-</t>
        </is>
      </c>
      <c r="N559" s="128" t="n"/>
      <c r="O559" s="128" t="n"/>
      <c r="P559" s="128" t="n"/>
      <c r="Q559" s="128" t="n"/>
      <c r="R559" s="128" t="n"/>
      <c r="S559" s="128" t="n"/>
      <c r="T559" s="128" t="n"/>
    </row>
    <row r="560" ht="15.75" customHeight="1">
      <c r="A560" s="429" t="n"/>
      <c r="B560" s="429" t="n"/>
      <c r="C560" s="429" t="n"/>
      <c r="D560" s="429" t="n"/>
      <c r="E560" s="474" t="inlineStr">
        <is>
          <t>Mohd  Juber</t>
        </is>
      </c>
      <c r="F560" s="199" t="inlineStr">
        <is>
          <t>SOFT SERVICE</t>
        </is>
      </c>
      <c r="G560" s="200" t="inlineStr">
        <is>
          <t>-</t>
        </is>
      </c>
      <c r="H560" s="200" t="n">
        <v>2587575230</v>
      </c>
      <c r="I560" s="174" t="inlineStr">
        <is>
          <t>Additional</t>
        </is>
      </c>
      <c r="J560" s="521" t="n">
        <v>46217</v>
      </c>
      <c r="K560" s="175" t="inlineStr">
        <is>
          <t>MEHAN RENTAL</t>
        </is>
      </c>
      <c r="L560" s="198" t="inlineStr">
        <is>
          <t>-</t>
        </is>
      </c>
      <c r="N560" s="128" t="n"/>
      <c r="O560" s="128" t="n"/>
      <c r="P560" s="128" t="n"/>
      <c r="Q560" s="128" t="n"/>
      <c r="R560" s="128" t="n"/>
      <c r="S560" s="128" t="n"/>
      <c r="T560" s="128" t="n"/>
    </row>
    <row r="561" ht="15.75" customHeight="1">
      <c r="A561" s="429" t="n"/>
      <c r="B561" s="429" t="n"/>
      <c r="C561" s="429" t="n"/>
      <c r="D561" s="429" t="n"/>
      <c r="E561" s="474" t="inlineStr">
        <is>
          <t>Md Tanvir  Hosen</t>
        </is>
      </c>
      <c r="F561" s="199" t="inlineStr">
        <is>
          <t>SOFT SERVICE</t>
        </is>
      </c>
      <c r="G561" s="200" t="inlineStr">
        <is>
          <t>-</t>
        </is>
      </c>
      <c r="H561" s="200" t="n">
        <v>2637736634</v>
      </c>
      <c r="I561" s="174" t="inlineStr">
        <is>
          <t>Additional</t>
        </is>
      </c>
      <c r="J561" s="521" t="n">
        <v>46217</v>
      </c>
      <c r="K561" s="175" t="inlineStr">
        <is>
          <t>MEHAN RENTAL</t>
        </is>
      </c>
      <c r="L561" s="198" t="inlineStr">
        <is>
          <t>-</t>
        </is>
      </c>
      <c r="N561" s="128" t="n"/>
      <c r="O561" s="128" t="n"/>
      <c r="P561" s="128" t="n"/>
      <c r="Q561" s="128" t="n"/>
      <c r="R561" s="128" t="n"/>
      <c r="S561" s="128" t="n"/>
      <c r="T561" s="128" t="n"/>
    </row>
    <row r="562" ht="15.75" customHeight="1">
      <c r="A562" s="429" t="n"/>
      <c r="B562" s="429" t="n"/>
      <c r="C562" s="429" t="n"/>
      <c r="D562" s="429" t="n"/>
      <c r="E562" s="474" t="inlineStr">
        <is>
          <t>Md Deluar Hossain Dulal</t>
        </is>
      </c>
      <c r="F562" s="199" t="inlineStr">
        <is>
          <t>SOFT SERVICE</t>
        </is>
      </c>
      <c r="G562" s="200" t="inlineStr">
        <is>
          <t>-</t>
        </is>
      </c>
      <c r="H562" s="200" t="n">
        <v>2478105725</v>
      </c>
      <c r="I562" s="174" t="inlineStr">
        <is>
          <t>Additional</t>
        </is>
      </c>
      <c r="J562" s="521" t="n">
        <v>46217</v>
      </c>
      <c r="K562" s="175" t="inlineStr">
        <is>
          <t>MEHAN RENTAL</t>
        </is>
      </c>
      <c r="L562" s="198" t="inlineStr">
        <is>
          <t>-</t>
        </is>
      </c>
      <c r="N562" s="128" t="n"/>
      <c r="O562" s="128" t="n"/>
      <c r="P562" s="128" t="n"/>
      <c r="Q562" s="128" t="n"/>
      <c r="R562" s="128" t="n"/>
      <c r="S562" s="128" t="n"/>
      <c r="T562" s="128" t="n"/>
    </row>
    <row r="563" ht="15.75" customHeight="1">
      <c r="A563" s="429" t="n"/>
      <c r="B563" s="429" t="n"/>
      <c r="C563" s="429" t="n"/>
      <c r="D563" s="429" t="n"/>
      <c r="E563" s="474" t="inlineStr">
        <is>
          <t>Mahbub   Alam</t>
        </is>
      </c>
      <c r="F563" s="199" t="inlineStr">
        <is>
          <t>SOFT SERVICE</t>
        </is>
      </c>
      <c r="G563" s="200" t="inlineStr">
        <is>
          <t>-</t>
        </is>
      </c>
      <c r="H563" s="200" t="n">
        <v>2480241567</v>
      </c>
      <c r="I563" s="174" t="inlineStr">
        <is>
          <t>Additional</t>
        </is>
      </c>
      <c r="J563" s="521" t="n">
        <v>46217</v>
      </c>
      <c r="K563" s="175" t="inlineStr">
        <is>
          <t>MEHAN RENTAL</t>
        </is>
      </c>
      <c r="L563" s="198" t="inlineStr">
        <is>
          <t>-</t>
        </is>
      </c>
      <c r="N563" s="128" t="n"/>
      <c r="O563" s="128" t="n"/>
      <c r="P563" s="128" t="n"/>
      <c r="Q563" s="128" t="n"/>
      <c r="R563" s="128" t="n"/>
      <c r="S563" s="128" t="n"/>
      <c r="T563" s="128" t="n"/>
    </row>
    <row r="564" ht="15.75" customHeight="1">
      <c r="A564" s="429" t="n"/>
      <c r="B564" s="429" t="n"/>
      <c r="C564" s="429" t="n"/>
      <c r="D564" s="429" t="n"/>
      <c r="E564" s="474" t="inlineStr">
        <is>
          <t>Md Samim</t>
        </is>
      </c>
      <c r="F564" s="199" t="inlineStr">
        <is>
          <t>SOFT SERVICE</t>
        </is>
      </c>
      <c r="G564" s="200" t="inlineStr">
        <is>
          <t>-</t>
        </is>
      </c>
      <c r="H564" s="200" t="n">
        <v>2607347578</v>
      </c>
      <c r="I564" s="174" t="inlineStr">
        <is>
          <t>Additional</t>
        </is>
      </c>
      <c r="J564" s="521" t="n">
        <v>46217</v>
      </c>
      <c r="K564" s="175" t="inlineStr">
        <is>
          <t>MEHAN RENTAL</t>
        </is>
      </c>
      <c r="L564" s="198" t="inlineStr">
        <is>
          <t>-</t>
        </is>
      </c>
      <c r="N564" s="128" t="n"/>
      <c r="O564" s="128" t="n"/>
      <c r="P564" s="128" t="n"/>
      <c r="Q564" s="128" t="n"/>
      <c r="R564" s="128" t="n"/>
      <c r="S564" s="128" t="n"/>
      <c r="T564" s="128" t="n"/>
    </row>
    <row r="565" ht="15.75" customHeight="1">
      <c r="A565" s="429" t="n"/>
      <c r="B565" s="429" t="n"/>
      <c r="C565" s="429" t="n"/>
      <c r="D565" s="429" t="n"/>
      <c r="E565" s="474" t="inlineStr">
        <is>
          <t>Masoom Ali Azad Ali</t>
        </is>
      </c>
      <c r="F565" s="199" t="inlineStr">
        <is>
          <t>SOFT SERVICE</t>
        </is>
      </c>
      <c r="G565" s="200" t="inlineStr">
        <is>
          <t>-</t>
        </is>
      </c>
      <c r="H565" s="200" t="n">
        <v>2613560487</v>
      </c>
      <c r="I565" s="174" t="inlineStr">
        <is>
          <t>Additional</t>
        </is>
      </c>
      <c r="J565" s="521" t="n">
        <v>46217</v>
      </c>
      <c r="K565" s="175" t="inlineStr">
        <is>
          <t>MEHAN RENTAL</t>
        </is>
      </c>
      <c r="L565" s="198" t="inlineStr">
        <is>
          <t>-</t>
        </is>
      </c>
      <c r="N565" s="128" t="n"/>
      <c r="O565" s="128" t="n"/>
      <c r="P565" s="128" t="n"/>
      <c r="Q565" s="128" t="n"/>
      <c r="R565" s="128" t="n"/>
      <c r="S565" s="128" t="n"/>
      <c r="T565" s="128" t="n"/>
    </row>
    <row r="566" ht="15.75" customHeight="1">
      <c r="A566" s="429" t="n"/>
      <c r="B566" s="429" t="n"/>
      <c r="C566" s="429" t="n"/>
      <c r="D566" s="429" t="n"/>
      <c r="E566" s="474" t="inlineStr">
        <is>
          <t>Mohammad Saban - Saiyad</t>
        </is>
      </c>
      <c r="F566" s="199" t="inlineStr">
        <is>
          <t>SOFT SERVICE</t>
        </is>
      </c>
      <c r="G566" s="200" t="inlineStr">
        <is>
          <t>-</t>
        </is>
      </c>
      <c r="H566" s="200" t="n">
        <v>2614293294</v>
      </c>
      <c r="I566" s="174" t="inlineStr">
        <is>
          <t>Additional</t>
        </is>
      </c>
      <c r="J566" s="521" t="n">
        <v>46217</v>
      </c>
      <c r="K566" s="175" t="inlineStr">
        <is>
          <t>MEHAN RENTAL</t>
        </is>
      </c>
      <c r="L566" s="198" t="inlineStr">
        <is>
          <t>-</t>
        </is>
      </c>
      <c r="N566" s="128" t="n"/>
      <c r="O566" s="128" t="n"/>
      <c r="P566" s="128" t="n"/>
      <c r="Q566" s="128" t="n"/>
      <c r="R566" s="128" t="n"/>
      <c r="S566" s="128" t="n"/>
      <c r="T566" s="128" t="n"/>
    </row>
    <row r="567" ht="15.75" customHeight="1">
      <c r="A567" s="429" t="n"/>
      <c r="B567" s="429" t="n"/>
      <c r="C567" s="429" t="n"/>
      <c r="D567" s="429" t="n"/>
      <c r="E567" s="474" t="inlineStr">
        <is>
          <t>Abdul Rasheed</t>
        </is>
      </c>
      <c r="F567" s="199" t="inlineStr">
        <is>
          <t>SOFT SERVICE</t>
        </is>
      </c>
      <c r="G567" s="200" t="inlineStr">
        <is>
          <t>-</t>
        </is>
      </c>
      <c r="H567" s="200" t="n">
        <v>2618556027</v>
      </c>
      <c r="I567" s="174" t="inlineStr">
        <is>
          <t>Additional</t>
        </is>
      </c>
      <c r="J567" s="521" t="n">
        <v>46217</v>
      </c>
      <c r="K567" s="175" t="inlineStr">
        <is>
          <t>MEHAN RENTAL</t>
        </is>
      </c>
      <c r="L567" s="198" t="inlineStr">
        <is>
          <t>-</t>
        </is>
      </c>
      <c r="N567" s="128" t="n"/>
      <c r="O567" s="128" t="n"/>
      <c r="P567" s="128" t="n"/>
      <c r="Q567" s="128" t="n"/>
      <c r="R567" s="128" t="n"/>
      <c r="S567" s="128" t="n"/>
      <c r="T567" s="128" t="n"/>
    </row>
    <row r="568" ht="15.75" customHeight="1">
      <c r="A568" s="429" t="n"/>
      <c r="B568" s="429" t="n"/>
      <c r="C568" s="429" t="n"/>
      <c r="D568" s="429" t="n"/>
      <c r="E568" s="474" t="inlineStr">
        <is>
          <t>Noor Alam Sher Ali</t>
        </is>
      </c>
      <c r="F568" s="199" t="inlineStr">
        <is>
          <t>SOFT SERVICE</t>
        </is>
      </c>
      <c r="G568" s="200" t="inlineStr">
        <is>
          <t>-</t>
        </is>
      </c>
      <c r="H568" s="200" t="n">
        <v>2630509475</v>
      </c>
      <c r="I568" s="174" t="inlineStr">
        <is>
          <t>Additional</t>
        </is>
      </c>
      <c r="J568" s="521" t="n">
        <v>46217</v>
      </c>
      <c r="K568" s="175" t="inlineStr">
        <is>
          <t>MEHAN RENTAL</t>
        </is>
      </c>
      <c r="L568" s="198" t="inlineStr">
        <is>
          <t>-</t>
        </is>
      </c>
      <c r="N568" s="128" t="n"/>
      <c r="O568" s="128" t="n"/>
      <c r="P568" s="128" t="n"/>
      <c r="Q568" s="128" t="n"/>
      <c r="R568" s="128" t="n"/>
      <c r="S568" s="128" t="n"/>
      <c r="T568" s="128" t="n"/>
    </row>
    <row r="569" ht="15.75" customHeight="1">
      <c r="A569" s="429" t="n"/>
      <c r="B569" s="429" t="n"/>
      <c r="C569" s="429" t="n"/>
      <c r="D569" s="429" t="n"/>
      <c r="E569" s="474" t="inlineStr">
        <is>
          <t>Suresh Ramsevak</t>
        </is>
      </c>
      <c r="F569" s="199" t="inlineStr">
        <is>
          <t>SOFT SERVICE</t>
        </is>
      </c>
      <c r="G569" s="200" t="inlineStr">
        <is>
          <t>-</t>
        </is>
      </c>
      <c r="H569" s="200" t="n">
        <v>2630686729</v>
      </c>
      <c r="I569" s="174" t="inlineStr">
        <is>
          <t>Additional</t>
        </is>
      </c>
      <c r="J569" s="521" t="n">
        <v>46217</v>
      </c>
      <c r="K569" s="175" t="inlineStr">
        <is>
          <t>MEHAN RENTAL</t>
        </is>
      </c>
      <c r="L569" s="198" t="inlineStr">
        <is>
          <t>-</t>
        </is>
      </c>
      <c r="N569" s="128" t="n"/>
      <c r="O569" s="128" t="n"/>
      <c r="P569" s="128" t="n"/>
      <c r="Q569" s="128" t="n"/>
      <c r="R569" s="128" t="n"/>
      <c r="S569" s="128" t="n"/>
      <c r="T569" s="128" t="n"/>
    </row>
    <row r="570" ht="15.75" customHeight="1">
      <c r="A570" s="429" t="n"/>
      <c r="B570" s="429" t="n"/>
      <c r="C570" s="429" t="n"/>
      <c r="D570" s="429" t="n"/>
      <c r="E570" s="474" t="inlineStr">
        <is>
          <t>MD AZADUL PK</t>
        </is>
      </c>
      <c r="F570" s="199" t="inlineStr">
        <is>
          <t>SOFT SERVICE</t>
        </is>
      </c>
      <c r="G570" s="200" t="inlineStr">
        <is>
          <t>-</t>
        </is>
      </c>
      <c r="H570" s="437" t="inlineStr">
        <is>
          <t>-</t>
        </is>
      </c>
      <c r="I570" s="174" t="inlineStr">
        <is>
          <t>Additional</t>
        </is>
      </c>
      <c r="J570" s="521" t="n">
        <v>46257</v>
      </c>
      <c r="K570" s="175" t="inlineStr">
        <is>
          <t>-</t>
        </is>
      </c>
      <c r="L570" s="198" t="inlineStr">
        <is>
          <t>-</t>
        </is>
      </c>
      <c r="N570" s="128" t="n"/>
      <c r="O570" s="128" t="n"/>
      <c r="P570" s="128" t="n"/>
      <c r="Q570" s="128" t="n"/>
      <c r="R570" s="128" t="n"/>
      <c r="S570" s="128" t="n"/>
      <c r="T570" s="128" t="n"/>
    </row>
    <row r="571" ht="15.75" customHeight="1">
      <c r="A571" s="429" t="n"/>
      <c r="B571" s="429" t="n"/>
      <c r="C571" s="429" t="n"/>
      <c r="D571" s="429" t="n"/>
      <c r="E571" s="474" t="inlineStr">
        <is>
          <t>MD ATIK HASAN</t>
        </is>
      </c>
      <c r="F571" s="199" t="inlineStr">
        <is>
          <t>SOFT SERVICE</t>
        </is>
      </c>
      <c r="G571" s="200" t="inlineStr">
        <is>
          <t>-</t>
        </is>
      </c>
      <c r="H571" s="437" t="inlineStr">
        <is>
          <t>-</t>
        </is>
      </c>
      <c r="I571" s="174" t="inlineStr">
        <is>
          <t>Additional</t>
        </is>
      </c>
      <c r="J571" s="521" t="n">
        <v>46257</v>
      </c>
      <c r="K571" s="175" t="inlineStr">
        <is>
          <t>-</t>
        </is>
      </c>
      <c r="L571" s="198" t="inlineStr">
        <is>
          <t>-</t>
        </is>
      </c>
      <c r="N571" s="128" t="n"/>
      <c r="O571" s="128" t="n"/>
      <c r="P571" s="128" t="n"/>
      <c r="Q571" s="128" t="n"/>
      <c r="R571" s="128" t="n"/>
      <c r="S571" s="128" t="n"/>
      <c r="T571" s="128" t="n"/>
    </row>
    <row r="572" ht="15.75" customHeight="1">
      <c r="A572" s="429" t="n"/>
      <c r="B572" s="429" t="n"/>
      <c r="C572" s="429" t="n"/>
      <c r="D572" s="429" t="n"/>
      <c r="E572" s="474" t="inlineStr">
        <is>
          <t>MOHAMMAD ALI</t>
        </is>
      </c>
      <c r="F572" s="199" t="inlineStr">
        <is>
          <t>SOFT SERVICE</t>
        </is>
      </c>
      <c r="G572" s="200" t="inlineStr">
        <is>
          <t>-</t>
        </is>
      </c>
      <c r="H572" s="200" t="n">
        <v>2643061407</v>
      </c>
      <c r="I572" s="174" t="inlineStr">
        <is>
          <t>Additional</t>
        </is>
      </c>
      <c r="J572" s="521" t="n">
        <v>46257</v>
      </c>
      <c r="K572" s="175" t="inlineStr">
        <is>
          <t>-</t>
        </is>
      </c>
      <c r="L572" s="198" t="inlineStr">
        <is>
          <t>-</t>
        </is>
      </c>
      <c r="N572" s="128" t="n"/>
      <c r="O572" s="128" t="n"/>
      <c r="P572" s="128" t="n"/>
      <c r="Q572" s="128" t="n"/>
      <c r="R572" s="128" t="n"/>
      <c r="S572" s="128" t="n"/>
      <c r="T572" s="128" t="n"/>
    </row>
    <row r="573" ht="15.75" customHeight="1">
      <c r="A573" s="429" t="n"/>
      <c r="B573" s="429" t="n"/>
      <c r="C573" s="429" t="n"/>
      <c r="D573" s="429" t="n"/>
      <c r="E573" s="474" t="inlineStr">
        <is>
          <t>MUSTAFA MIA</t>
        </is>
      </c>
      <c r="F573" s="199" t="inlineStr">
        <is>
          <t>SOFT SERVICE</t>
        </is>
      </c>
      <c r="G573" s="200" t="inlineStr">
        <is>
          <t>-</t>
        </is>
      </c>
      <c r="H573" s="437" t="inlineStr">
        <is>
          <t>-</t>
        </is>
      </c>
      <c r="I573" s="174" t="inlineStr">
        <is>
          <t>Additional</t>
        </is>
      </c>
      <c r="J573" s="521" t="n">
        <v>46257</v>
      </c>
      <c r="K573" s="175" t="inlineStr">
        <is>
          <t>-</t>
        </is>
      </c>
      <c r="L573" s="198" t="inlineStr">
        <is>
          <t>-</t>
        </is>
      </c>
      <c r="N573" s="128" t="n"/>
      <c r="O573" s="128" t="n"/>
      <c r="P573" s="128" t="n"/>
      <c r="Q573" s="128" t="n"/>
      <c r="R573" s="128" t="n"/>
      <c r="S573" s="128" t="n"/>
      <c r="T573" s="128" t="n"/>
    </row>
    <row r="574" ht="15.75" customHeight="1">
      <c r="A574" s="429" t="n"/>
      <c r="B574" s="429" t="n"/>
      <c r="C574" s="429" t="n"/>
      <c r="D574" s="429" t="n"/>
      <c r="E574" s="474" t="inlineStr">
        <is>
          <t>MD NAZMUL HAQUE</t>
        </is>
      </c>
      <c r="F574" s="199" t="inlineStr">
        <is>
          <t>SOFT SERVICE</t>
        </is>
      </c>
      <c r="G574" s="200" t="inlineStr">
        <is>
          <t>-</t>
        </is>
      </c>
      <c r="H574" s="200" t="n">
        <v>2643189117</v>
      </c>
      <c r="I574" s="174" t="inlineStr">
        <is>
          <t>Additional</t>
        </is>
      </c>
      <c r="J574" s="521" t="n">
        <v>46257</v>
      </c>
      <c r="K574" s="175" t="inlineStr">
        <is>
          <t>-</t>
        </is>
      </c>
      <c r="L574" s="198" t="inlineStr">
        <is>
          <t>-</t>
        </is>
      </c>
      <c r="N574" s="128" t="n"/>
      <c r="O574" s="128" t="n"/>
      <c r="P574" s="128" t="n"/>
      <c r="Q574" s="128" t="n"/>
      <c r="R574" s="128" t="n"/>
      <c r="S574" s="128" t="n"/>
      <c r="T574" s="128" t="n"/>
    </row>
    <row r="575" ht="15.75" customHeight="1">
      <c r="A575" s="429" t="n"/>
      <c r="B575" s="429" t="n"/>
      <c r="C575" s="429" t="n"/>
      <c r="D575" s="429" t="n"/>
      <c r="E575" s="474" t="inlineStr">
        <is>
          <t>BORHAN UDDIN</t>
        </is>
      </c>
      <c r="F575" s="199" t="inlineStr">
        <is>
          <t>SOFT SERVICE</t>
        </is>
      </c>
      <c r="G575" s="200" t="inlineStr">
        <is>
          <t>-</t>
        </is>
      </c>
      <c r="H575" s="437" t="inlineStr">
        <is>
          <t>-</t>
        </is>
      </c>
      <c r="I575" s="174" t="inlineStr">
        <is>
          <t>Additional</t>
        </is>
      </c>
      <c r="J575" s="521" t="n">
        <v>46257</v>
      </c>
      <c r="K575" s="175" t="inlineStr">
        <is>
          <t>-</t>
        </is>
      </c>
      <c r="L575" s="198" t="inlineStr">
        <is>
          <t>-</t>
        </is>
      </c>
      <c r="N575" s="128" t="n"/>
      <c r="O575" s="128" t="n"/>
      <c r="P575" s="128" t="n"/>
      <c r="Q575" s="128" t="n"/>
      <c r="R575" s="128" t="n"/>
      <c r="S575" s="128" t="n"/>
      <c r="T575" s="128" t="n"/>
    </row>
    <row r="576" ht="15.75" customHeight="1">
      <c r="A576" s="429" t="n"/>
      <c r="B576" s="429" t="n"/>
      <c r="C576" s="429" t="n"/>
      <c r="D576" s="429" t="n"/>
      <c r="E576" s="474" t="inlineStr">
        <is>
          <t>KHALIL MUSTAFIZUR RAHMAN</t>
        </is>
      </c>
      <c r="F576" s="199" t="inlineStr">
        <is>
          <t>SOFT SERVICE</t>
        </is>
      </c>
      <c r="G576" s="200" t="inlineStr">
        <is>
          <t>-</t>
        </is>
      </c>
      <c r="H576" s="437" t="inlineStr">
        <is>
          <t>-</t>
        </is>
      </c>
      <c r="I576" s="174" t="inlineStr">
        <is>
          <t>Additional</t>
        </is>
      </c>
      <c r="J576" s="521" t="n">
        <v>46257</v>
      </c>
      <c r="K576" s="175" t="inlineStr">
        <is>
          <t>-</t>
        </is>
      </c>
      <c r="L576" s="198" t="inlineStr">
        <is>
          <t>-</t>
        </is>
      </c>
      <c r="N576" s="128" t="n"/>
      <c r="O576" s="128" t="n"/>
      <c r="P576" s="128" t="n"/>
      <c r="Q576" s="128" t="n"/>
      <c r="R576" s="128" t="n"/>
      <c r="S576" s="128" t="n"/>
      <c r="T576" s="128" t="n"/>
    </row>
    <row r="577" ht="15.75" customHeight="1">
      <c r="A577" s="429" t="n"/>
      <c r="B577" s="429" t="n"/>
      <c r="C577" s="429" t="n"/>
      <c r="D577" s="429" t="n"/>
      <c r="E577" s="474" t="inlineStr">
        <is>
          <t>MD ARIFUL ISLAM</t>
        </is>
      </c>
      <c r="F577" s="199" t="inlineStr">
        <is>
          <t>SOFT SERVICE</t>
        </is>
      </c>
      <c r="G577" s="200" t="inlineStr">
        <is>
          <t>-</t>
        </is>
      </c>
      <c r="H577" s="437" t="inlineStr">
        <is>
          <t>-</t>
        </is>
      </c>
      <c r="I577" s="174" t="inlineStr">
        <is>
          <t>Additional</t>
        </is>
      </c>
      <c r="J577" s="521" t="n">
        <v>46257</v>
      </c>
      <c r="K577" s="175" t="inlineStr">
        <is>
          <t>-</t>
        </is>
      </c>
      <c r="L577" s="198" t="inlineStr">
        <is>
          <t>-</t>
        </is>
      </c>
      <c r="N577" s="128" t="n"/>
      <c r="O577" s="128" t="n"/>
      <c r="P577" s="128" t="n"/>
      <c r="Q577" s="128" t="n"/>
      <c r="R577" s="128" t="n"/>
      <c r="S577" s="128" t="n"/>
      <c r="T577" s="128" t="n"/>
    </row>
    <row r="578" ht="15.75" customHeight="1">
      <c r="A578" s="431" t="n"/>
      <c r="B578" s="431" t="n"/>
      <c r="C578" s="431" t="n"/>
      <c r="D578" s="431" t="n"/>
      <c r="E578" s="474" t="inlineStr">
        <is>
          <t>MD HARES MIA</t>
        </is>
      </c>
      <c r="F578" s="199" t="inlineStr">
        <is>
          <t>SOFT SERVICE</t>
        </is>
      </c>
      <c r="G578" s="200" t="inlineStr">
        <is>
          <t>-</t>
        </is>
      </c>
      <c r="H578" s="437" t="inlineStr">
        <is>
          <t>-</t>
        </is>
      </c>
      <c r="I578" s="174" t="inlineStr">
        <is>
          <t>Additional</t>
        </is>
      </c>
      <c r="J578" s="521" t="n">
        <v>46257</v>
      </c>
      <c r="K578" s="175" t="inlineStr">
        <is>
          <t>-</t>
        </is>
      </c>
      <c r="L578" s="198" t="inlineStr">
        <is>
          <t>-</t>
        </is>
      </c>
      <c r="N578" s="128" t="n"/>
      <c r="O578" s="128" t="n"/>
      <c r="P578" s="128" t="n"/>
      <c r="Q578" s="128" t="n"/>
      <c r="R578" s="128" t="n"/>
      <c r="S578" s="128" t="n"/>
      <c r="T578" s="128" t="n"/>
    </row>
    <row r="579" ht="15.75" customHeight="1">
      <c r="A579" s="474" t="inlineStr">
        <is>
          <t>Plumbing Supervisor</t>
        </is>
      </c>
      <c r="B579" s="197" t="n">
        <v>0</v>
      </c>
      <c r="C579" s="477" t="n">
        <v>1</v>
      </c>
      <c r="D579" s="483" t="n">
        <v>0</v>
      </c>
      <c r="E579" s="474" t="inlineStr">
        <is>
          <t>Ishtiaq Ahmed</t>
        </is>
      </c>
      <c r="F579" s="199" t="inlineStr">
        <is>
          <t>Hard Service</t>
        </is>
      </c>
      <c r="G579" s="206" t="inlineStr">
        <is>
          <t>-</t>
        </is>
      </c>
      <c r="H579" s="417" t="n">
        <v>2420098002</v>
      </c>
      <c r="I579" s="174" t="inlineStr">
        <is>
          <t>Additional</t>
        </is>
      </c>
      <c r="J579" s="521" t="n">
        <v>46229</v>
      </c>
      <c r="K579" s="175" t="inlineStr">
        <is>
          <t>-</t>
        </is>
      </c>
      <c r="L579" s="198" t="inlineStr">
        <is>
          <t>-</t>
        </is>
      </c>
      <c r="N579" s="128" t="n"/>
      <c r="O579" s="128" t="n"/>
      <c r="P579" s="128" t="n"/>
      <c r="Q579" s="128" t="n"/>
      <c r="R579" s="128" t="n"/>
      <c r="S579" s="128" t="n"/>
      <c r="T579" s="128" t="n"/>
    </row>
    <row r="580" ht="15.75" customHeight="1">
      <c r="A580" s="431" t="n"/>
      <c r="B580" s="477" t="n">
        <v>0</v>
      </c>
      <c r="C580" s="477" t="n">
        <v>1</v>
      </c>
      <c r="D580" s="483" t="n">
        <v>0</v>
      </c>
      <c r="E580" s="474" t="inlineStr">
        <is>
          <t>ARUN YADAV</t>
        </is>
      </c>
      <c r="F580" s="199" t="inlineStr">
        <is>
          <t>Hard Service</t>
        </is>
      </c>
      <c r="G580" s="200" t="inlineStr">
        <is>
          <t>-</t>
        </is>
      </c>
      <c r="H580" s="200" t="inlineStr">
        <is>
          <t>-</t>
        </is>
      </c>
      <c r="I580" s="174" t="inlineStr">
        <is>
          <t>Additional</t>
        </is>
      </c>
      <c r="J580" s="521" t="n">
        <v>46235</v>
      </c>
      <c r="K580" s="175" t="inlineStr">
        <is>
          <t>-</t>
        </is>
      </c>
      <c r="L580" s="208" t="inlineStr">
        <is>
          <t>-</t>
        </is>
      </c>
      <c r="N580" s="128" t="n"/>
      <c r="O580" s="128" t="n"/>
      <c r="P580" s="128" t="n"/>
      <c r="Q580" s="128" t="n"/>
      <c r="R580" s="128" t="n"/>
      <c r="S580" s="128" t="n"/>
      <c r="T580" s="128" t="n"/>
    </row>
    <row r="581" ht="15.75" customHeight="1">
      <c r="A581" s="474" t="inlineStr">
        <is>
          <t>Pest Control Operative</t>
        </is>
      </c>
      <c r="B581" s="477" t="n">
        <v>0</v>
      </c>
      <c r="C581" s="477" t="n">
        <v>1</v>
      </c>
      <c r="D581" s="483" t="n">
        <v>0</v>
      </c>
      <c r="E581" s="474" t="inlineStr">
        <is>
          <t xml:space="preserve">MD. RONI AHMED </t>
        </is>
      </c>
      <c r="F581" s="199" t="inlineStr">
        <is>
          <t>SOFT SERVICE</t>
        </is>
      </c>
      <c r="G581" s="200" t="inlineStr">
        <is>
          <t>-</t>
        </is>
      </c>
      <c r="H581" s="205" t="n">
        <v>2594321636</v>
      </c>
      <c r="I581" s="174" t="inlineStr">
        <is>
          <t>Additional</t>
        </is>
      </c>
      <c r="J581" s="209" t="n">
        <v>46232</v>
      </c>
      <c r="K581" s="175" t="inlineStr">
        <is>
          <t>GULF VISION</t>
        </is>
      </c>
      <c r="L581" s="198" t="inlineStr">
        <is>
          <t>-</t>
        </is>
      </c>
      <c r="N581" s="128" t="n"/>
      <c r="O581" s="128" t="n"/>
      <c r="P581" s="128" t="n"/>
      <c r="Q581" s="128" t="n"/>
      <c r="R581" s="128" t="n"/>
      <c r="S581" s="128" t="n"/>
      <c r="T581" s="128" t="n"/>
    </row>
    <row r="582" ht="15.75" customHeight="1">
      <c r="A582" s="429" t="n"/>
      <c r="B582" s="477" t="n">
        <v>0</v>
      </c>
      <c r="C582" s="477" t="n">
        <v>1</v>
      </c>
      <c r="D582" s="483" t="n">
        <v>0</v>
      </c>
      <c r="E582" s="474" t="inlineStr">
        <is>
          <t xml:space="preserve">MD BILLAL HOSSAIN </t>
        </is>
      </c>
      <c r="F582" s="199" t="inlineStr">
        <is>
          <t>SOFT SERVICE</t>
        </is>
      </c>
      <c r="G582" s="200" t="inlineStr">
        <is>
          <t>-</t>
        </is>
      </c>
      <c r="H582" s="205" t="n">
        <v>2633957093</v>
      </c>
      <c r="I582" s="174" t="inlineStr">
        <is>
          <t>Additional</t>
        </is>
      </c>
      <c r="J582" s="209" t="n">
        <v>46232</v>
      </c>
      <c r="K582" s="175" t="inlineStr">
        <is>
          <t>GULF VISION</t>
        </is>
      </c>
      <c r="L582" s="198" t="inlineStr">
        <is>
          <t>-</t>
        </is>
      </c>
      <c r="N582" s="128" t="n"/>
      <c r="O582" s="128" t="n"/>
      <c r="P582" s="128" t="n"/>
      <c r="Q582" s="128" t="n"/>
      <c r="R582" s="128" t="n"/>
      <c r="S582" s="128" t="n"/>
      <c r="T582" s="128" t="n"/>
    </row>
    <row r="583" ht="15.75" customHeight="1">
      <c r="A583" s="429" t="n"/>
      <c r="B583" s="477" t="n">
        <v>0</v>
      </c>
      <c r="C583" s="477" t="n">
        <v>1</v>
      </c>
      <c r="D583" s="483" t="n">
        <v>0</v>
      </c>
      <c r="E583" s="474" t="inlineStr">
        <is>
          <t xml:space="preserve">MD. MARUF SHEIKH </t>
        </is>
      </c>
      <c r="F583" s="199" t="inlineStr">
        <is>
          <t>SOFT SERVICE</t>
        </is>
      </c>
      <c r="G583" s="200" t="inlineStr">
        <is>
          <t>-</t>
        </is>
      </c>
      <c r="H583" s="205" t="n">
        <v>2621343983</v>
      </c>
      <c r="I583" s="174" t="inlineStr">
        <is>
          <t>Additional</t>
        </is>
      </c>
      <c r="J583" s="209" t="n">
        <v>46232</v>
      </c>
      <c r="K583" s="175" t="inlineStr">
        <is>
          <t>GULF VISION</t>
        </is>
      </c>
      <c r="L583" s="198" t="inlineStr">
        <is>
          <t>-</t>
        </is>
      </c>
      <c r="N583" s="128" t="n"/>
      <c r="O583" s="128" t="n"/>
      <c r="P583" s="128" t="n"/>
      <c r="Q583" s="128" t="n"/>
      <c r="R583" s="128" t="n"/>
      <c r="S583" s="128" t="n"/>
      <c r="T583" s="128" t="n"/>
    </row>
    <row r="584" ht="15.75" customHeight="1">
      <c r="A584" s="429" t="n"/>
      <c r="B584" s="477" t="n">
        <v>0</v>
      </c>
      <c r="C584" s="477" t="n">
        <v>1</v>
      </c>
      <c r="D584" s="483" t="n">
        <v>0</v>
      </c>
      <c r="E584" s="474" t="inlineStr">
        <is>
          <t xml:space="preserve">KAMRUZZAMAN HARIJ </t>
        </is>
      </c>
      <c r="F584" s="199" t="inlineStr">
        <is>
          <t>SOFT SERVICE</t>
        </is>
      </c>
      <c r="G584" s="200" t="inlineStr">
        <is>
          <t>-</t>
        </is>
      </c>
      <c r="H584" s="205" t="n">
        <v>2633504689</v>
      </c>
      <c r="I584" s="174" t="inlineStr">
        <is>
          <t>Additional</t>
        </is>
      </c>
      <c r="J584" s="209" t="n">
        <v>46232</v>
      </c>
      <c r="K584" s="175" t="inlineStr">
        <is>
          <t>GULF VISION</t>
        </is>
      </c>
      <c r="L584" s="198" t="inlineStr">
        <is>
          <t>-</t>
        </is>
      </c>
      <c r="N584" s="128" t="n"/>
      <c r="O584" s="128" t="n"/>
      <c r="P584" s="128" t="n"/>
      <c r="Q584" s="128" t="n"/>
      <c r="R584" s="128" t="n"/>
      <c r="S584" s="128" t="n"/>
      <c r="T584" s="128" t="n"/>
    </row>
    <row r="585" ht="15.75" customHeight="1">
      <c r="A585" s="429" t="n"/>
      <c r="B585" s="477" t="n">
        <v>0</v>
      </c>
      <c r="C585" s="477" t="n">
        <v>1</v>
      </c>
      <c r="D585" s="483" t="n">
        <v>0</v>
      </c>
      <c r="E585" s="474" t="inlineStr">
        <is>
          <t xml:space="preserve">MD. ALAL MIA </t>
        </is>
      </c>
      <c r="F585" s="199" t="inlineStr">
        <is>
          <t>SOFT SERVICE</t>
        </is>
      </c>
      <c r="G585" s="200" t="inlineStr">
        <is>
          <t>-</t>
        </is>
      </c>
      <c r="H585" s="205" t="n">
        <v>2636050946</v>
      </c>
      <c r="I585" s="174" t="inlineStr">
        <is>
          <t>Additional</t>
        </is>
      </c>
      <c r="J585" s="209" t="n">
        <v>46232</v>
      </c>
      <c r="K585" s="175" t="inlineStr">
        <is>
          <t>GULF VISION</t>
        </is>
      </c>
      <c r="L585" s="198" t="inlineStr">
        <is>
          <t>-</t>
        </is>
      </c>
      <c r="N585" s="128" t="n"/>
      <c r="O585" s="128" t="n"/>
      <c r="P585" s="128" t="n"/>
      <c r="Q585" s="128" t="n"/>
      <c r="R585" s="128" t="n"/>
      <c r="S585" s="128" t="n"/>
      <c r="T585" s="128" t="n"/>
    </row>
    <row r="586" ht="15.75" customHeight="1">
      <c r="A586" s="429" t="n"/>
      <c r="B586" s="477" t="n">
        <v>0</v>
      </c>
      <c r="C586" s="477" t="n">
        <v>1</v>
      </c>
      <c r="D586" s="483" t="n">
        <v>0</v>
      </c>
      <c r="E586" s="474" t="inlineStr">
        <is>
          <t>MOHAMMAD JAKIR HOSSAIN</t>
        </is>
      </c>
      <c r="F586" s="199" t="inlineStr">
        <is>
          <t>SOFT SERVICE</t>
        </is>
      </c>
      <c r="G586" s="200" t="inlineStr">
        <is>
          <t>-</t>
        </is>
      </c>
      <c r="H586" s="205" t="n">
        <v>2624114449</v>
      </c>
      <c r="I586" s="174" t="inlineStr">
        <is>
          <t>Additional</t>
        </is>
      </c>
      <c r="J586" s="209" t="n">
        <v>46232</v>
      </c>
      <c r="K586" s="175" t="inlineStr">
        <is>
          <t>GULF VISION</t>
        </is>
      </c>
      <c r="L586" s="198" t="inlineStr">
        <is>
          <t>-</t>
        </is>
      </c>
      <c r="N586" s="128" t="n"/>
      <c r="O586" s="128" t="n"/>
      <c r="P586" s="128" t="n"/>
      <c r="Q586" s="128" t="n"/>
      <c r="R586" s="128" t="n"/>
      <c r="S586" s="128" t="n"/>
      <c r="T586" s="128" t="n"/>
    </row>
    <row r="587" ht="15.75" customHeight="1">
      <c r="A587" s="429" t="n"/>
      <c r="B587" s="477" t="n">
        <v>0</v>
      </c>
      <c r="C587" s="477" t="n">
        <v>1</v>
      </c>
      <c r="D587" s="483" t="n">
        <v>0</v>
      </c>
      <c r="E587" s="474" t="inlineStr">
        <is>
          <t xml:space="preserve">MODHU MIA </t>
        </is>
      </c>
      <c r="F587" s="199" t="inlineStr">
        <is>
          <t>SOFT SERVICE</t>
        </is>
      </c>
      <c r="G587" s="200" t="inlineStr">
        <is>
          <t>-</t>
        </is>
      </c>
      <c r="H587" s="205" t="n">
        <v>2634248049</v>
      </c>
      <c r="I587" s="174" t="inlineStr">
        <is>
          <t>Additional</t>
        </is>
      </c>
      <c r="J587" s="209" t="n">
        <v>46237</v>
      </c>
      <c r="K587" s="175" t="inlineStr">
        <is>
          <t>GULF VISION</t>
        </is>
      </c>
      <c r="L587" s="198" t="inlineStr">
        <is>
          <t>-</t>
        </is>
      </c>
      <c r="N587" s="128" t="n"/>
      <c r="O587" s="128" t="n"/>
      <c r="P587" s="128" t="n"/>
      <c r="Q587" s="128" t="n"/>
      <c r="R587" s="128" t="n"/>
      <c r="S587" s="128" t="n"/>
      <c r="T587" s="128" t="n"/>
    </row>
    <row r="588" ht="15.75" customHeight="1">
      <c r="A588" s="429" t="n"/>
      <c r="B588" s="477" t="n">
        <v>0</v>
      </c>
      <c r="C588" s="477" t="n">
        <v>1</v>
      </c>
      <c r="D588" s="483" t="n">
        <v>0</v>
      </c>
      <c r="E588" s="474" t="inlineStr">
        <is>
          <t xml:space="preserve">MD. HANIF KHANDAKER </t>
        </is>
      </c>
      <c r="F588" s="199" t="inlineStr">
        <is>
          <t>SOFT SERVICE</t>
        </is>
      </c>
      <c r="G588" s="200" t="inlineStr">
        <is>
          <t>-</t>
        </is>
      </c>
      <c r="H588" s="205" t="n">
        <v>2499121552</v>
      </c>
      <c r="I588" s="174" t="inlineStr">
        <is>
          <t>Additional</t>
        </is>
      </c>
      <c r="J588" s="209" t="n">
        <v>46233</v>
      </c>
      <c r="K588" s="175" t="inlineStr">
        <is>
          <t>GULF VISION</t>
        </is>
      </c>
      <c r="L588" s="198" t="inlineStr">
        <is>
          <t>-</t>
        </is>
      </c>
      <c r="N588" s="128" t="n"/>
      <c r="O588" s="128" t="n"/>
      <c r="P588" s="128" t="n"/>
      <c r="Q588" s="128" t="n"/>
      <c r="R588" s="128" t="n"/>
      <c r="S588" s="128" t="n"/>
      <c r="T588" s="128" t="n"/>
    </row>
    <row r="589" ht="15.75" customHeight="1">
      <c r="A589" s="429" t="n"/>
      <c r="B589" s="477" t="n">
        <v>0</v>
      </c>
      <c r="C589" s="477" t="n">
        <v>1</v>
      </c>
      <c r="D589" s="483" t="n">
        <v>0</v>
      </c>
      <c r="E589" s="474" t="inlineStr">
        <is>
          <t xml:space="preserve">SHEDUL ISLAM </t>
        </is>
      </c>
      <c r="F589" s="199" t="inlineStr">
        <is>
          <t>SOFT SERVICE</t>
        </is>
      </c>
      <c r="G589" s="200" t="inlineStr">
        <is>
          <t>-</t>
        </is>
      </c>
      <c r="H589" s="205" t="n">
        <v>2590557852</v>
      </c>
      <c r="I589" s="174" t="inlineStr">
        <is>
          <t>Additional</t>
        </is>
      </c>
      <c r="J589" s="209" t="n">
        <v>46233</v>
      </c>
      <c r="K589" s="175" t="inlineStr">
        <is>
          <t>GULF VISION</t>
        </is>
      </c>
      <c r="L589" s="198" t="inlineStr">
        <is>
          <t>-</t>
        </is>
      </c>
      <c r="N589" s="128" t="n"/>
      <c r="O589" s="128" t="n"/>
      <c r="P589" s="128" t="n"/>
      <c r="Q589" s="128" t="n"/>
      <c r="R589" s="128" t="n"/>
      <c r="S589" s="128" t="n"/>
      <c r="T589" s="128" t="n"/>
    </row>
    <row r="590" ht="15.75" customHeight="1">
      <c r="A590" s="429" t="n"/>
      <c r="B590" s="477" t="n">
        <v>0</v>
      </c>
      <c r="C590" s="477" t="n">
        <v>1</v>
      </c>
      <c r="D590" s="483" t="n">
        <v>0</v>
      </c>
      <c r="E590" s="437" t="inlineStr">
        <is>
          <t>MD JUAL RANA</t>
        </is>
      </c>
      <c r="F590" s="199" t="inlineStr">
        <is>
          <t>SOFT SERVICE</t>
        </is>
      </c>
      <c r="G590" s="200" t="inlineStr">
        <is>
          <t>-</t>
        </is>
      </c>
      <c r="H590" s="437" t="n">
        <v>2633155771</v>
      </c>
      <c r="I590" s="174" t="inlineStr">
        <is>
          <t>Additional</t>
        </is>
      </c>
      <c r="J590" s="209" t="n">
        <v>46611</v>
      </c>
      <c r="K590" s="175" t="inlineStr">
        <is>
          <t>-</t>
        </is>
      </c>
      <c r="L590" s="198" t="inlineStr">
        <is>
          <t>-</t>
        </is>
      </c>
      <c r="N590" s="128" t="n"/>
      <c r="O590" s="128" t="n"/>
      <c r="P590" s="128" t="n"/>
      <c r="Q590" s="128" t="n"/>
      <c r="R590" s="128" t="n"/>
      <c r="S590" s="128" t="n"/>
      <c r="T590" s="128" t="n"/>
    </row>
    <row r="591" ht="15.75" customHeight="1">
      <c r="A591" s="431" t="n"/>
      <c r="B591" s="477" t="n">
        <v>0</v>
      </c>
      <c r="C591" s="477" t="n">
        <v>1</v>
      </c>
      <c r="D591" s="483" t="n">
        <v>0</v>
      </c>
      <c r="E591" s="474" t="inlineStr">
        <is>
          <t xml:space="preserve">ABIR ISLAM </t>
        </is>
      </c>
      <c r="F591" s="199" t="inlineStr">
        <is>
          <t>SOFT SERVICE</t>
        </is>
      </c>
      <c r="G591" s="200" t="inlineStr">
        <is>
          <t>-</t>
        </is>
      </c>
      <c r="H591" s="205" t="n">
        <v>2611064367</v>
      </c>
      <c r="I591" s="174" t="inlineStr">
        <is>
          <t>Additional</t>
        </is>
      </c>
      <c r="J591" s="209" t="n">
        <v>46233</v>
      </c>
      <c r="K591" s="175" t="inlineStr">
        <is>
          <t>GULF VISION</t>
        </is>
      </c>
      <c r="L591" s="198" t="inlineStr">
        <is>
          <t>-</t>
        </is>
      </c>
      <c r="N591" s="128" t="n"/>
      <c r="O591" s="128" t="n"/>
      <c r="P591" s="128" t="n"/>
      <c r="Q591" s="128" t="n"/>
      <c r="R591" s="128" t="n"/>
      <c r="S591" s="128" t="n"/>
      <c r="T591" s="128" t="n"/>
    </row>
    <row r="592" ht="15.75" customHeight="1">
      <c r="A592" s="474" t="inlineStr">
        <is>
          <t>Mechanical Technician</t>
        </is>
      </c>
      <c r="B592" s="477" t="n">
        <v>0</v>
      </c>
      <c r="C592" s="477" t="n">
        <v>1</v>
      </c>
      <c r="D592" s="483" t="n">
        <v>0</v>
      </c>
      <c r="E592" s="474" t="inlineStr">
        <is>
          <t>Dilipbhai Govindbhai Solanki</t>
        </is>
      </c>
      <c r="F592" s="199" t="inlineStr">
        <is>
          <t>HARD SERVICE</t>
        </is>
      </c>
      <c r="G592" s="200" t="inlineStr">
        <is>
          <t>-</t>
        </is>
      </c>
      <c r="H592" s="200" t="n">
        <v>2639573878</v>
      </c>
      <c r="I592" s="174" t="inlineStr">
        <is>
          <t>Additional</t>
        </is>
      </c>
      <c r="J592" s="516" t="n"/>
      <c r="K592" s="175" t="inlineStr">
        <is>
          <t xml:space="preserve">RAMZ </t>
        </is>
      </c>
      <c r="L592" s="198" t="inlineStr">
        <is>
          <t>-</t>
        </is>
      </c>
      <c r="N592" s="128" t="n"/>
      <c r="O592" s="128" t="n"/>
      <c r="P592" s="128" t="n"/>
      <c r="Q592" s="128" t="n"/>
      <c r="R592" s="128" t="n"/>
      <c r="S592" s="128" t="n"/>
      <c r="T592" s="128" t="n"/>
    </row>
    <row r="593" ht="15.75" customHeight="1">
      <c r="A593" s="431" t="n"/>
      <c r="B593" s="477" t="n">
        <v>0</v>
      </c>
      <c r="C593" s="477" t="n">
        <v>1</v>
      </c>
      <c r="D593" s="483" t="n">
        <v>0</v>
      </c>
      <c r="E593" s="474" t="inlineStr">
        <is>
          <t>EMRAN SAYYED MOMIN</t>
        </is>
      </c>
      <c r="F593" s="199" t="inlineStr">
        <is>
          <t>Hard Service</t>
        </is>
      </c>
      <c r="G593" s="200" t="inlineStr">
        <is>
          <t>-</t>
        </is>
      </c>
      <c r="H593" s="200" t="inlineStr">
        <is>
          <t>-</t>
        </is>
      </c>
      <c r="I593" s="174" t="inlineStr">
        <is>
          <t>Additional</t>
        </is>
      </c>
      <c r="J593" s="209" t="n">
        <v>9707</v>
      </c>
      <c r="K593" s="175" t="inlineStr">
        <is>
          <t>-</t>
        </is>
      </c>
      <c r="L593" s="198" t="inlineStr">
        <is>
          <t>-</t>
        </is>
      </c>
      <c r="N593" s="128" t="n"/>
      <c r="O593" s="128" t="n"/>
      <c r="P593" s="128" t="n"/>
      <c r="Q593" s="128" t="n"/>
      <c r="R593" s="128" t="n"/>
      <c r="S593" s="128" t="n"/>
      <c r="T593" s="128" t="n"/>
    </row>
    <row r="594" ht="15.75" customHeight="1">
      <c r="A594" s="205" t="inlineStr">
        <is>
          <t>FIRE FIGHTER TECH</t>
        </is>
      </c>
      <c r="B594" s="477" t="n">
        <v>0</v>
      </c>
      <c r="C594" s="477" t="n">
        <v>1</v>
      </c>
      <c r="D594" s="483" t="n">
        <v>0</v>
      </c>
      <c r="E594" s="474" t="inlineStr">
        <is>
          <t>HAMZA MERAJ</t>
        </is>
      </c>
      <c r="F594" s="199" t="inlineStr">
        <is>
          <t>Hard Service</t>
        </is>
      </c>
      <c r="G594" s="200" t="inlineStr">
        <is>
          <t>-</t>
        </is>
      </c>
      <c r="H594" s="200" t="inlineStr">
        <is>
          <t>-</t>
        </is>
      </c>
      <c r="I594" s="174" t="inlineStr">
        <is>
          <t>Additional</t>
        </is>
      </c>
      <c r="J594" s="209" t="n">
        <v>9708</v>
      </c>
      <c r="K594" s="175" t="inlineStr">
        <is>
          <t>-</t>
        </is>
      </c>
      <c r="L594" s="198" t="inlineStr">
        <is>
          <t>-</t>
        </is>
      </c>
      <c r="N594" s="128" t="n"/>
      <c r="O594" s="128" t="n"/>
      <c r="P594" s="128" t="n"/>
      <c r="Q594" s="128" t="n"/>
      <c r="R594" s="128" t="n"/>
      <c r="S594" s="128" t="n"/>
      <c r="T594" s="128" t="n"/>
    </row>
    <row r="595" ht="15.75" customHeight="1">
      <c r="A595" s="476" t="inlineStr">
        <is>
          <t>FACILITIES ENGINEER</t>
        </is>
      </c>
      <c r="B595" s="476" t="n">
        <v>0</v>
      </c>
      <c r="C595" s="476" t="n">
        <v>2</v>
      </c>
      <c r="D595" s="476" t="n">
        <v>0</v>
      </c>
      <c r="E595" s="474" t="inlineStr">
        <is>
          <t>Md Khaled Saifullah</t>
        </is>
      </c>
      <c r="F595" s="199" t="inlineStr">
        <is>
          <t>Hard Service</t>
        </is>
      </c>
      <c r="G595" s="200" t="n"/>
      <c r="H595" s="200" t="n">
        <v>2643189513</v>
      </c>
      <c r="I595" s="174" t="inlineStr">
        <is>
          <t>Additional</t>
        </is>
      </c>
      <c r="J595" s="209" t="n">
        <v>46267</v>
      </c>
      <c r="K595" s="175" t="n"/>
      <c r="L595" s="198" t="n"/>
      <c r="N595" s="128" t="n"/>
      <c r="O595" s="128" t="n"/>
      <c r="P595" s="128" t="n"/>
      <c r="Q595" s="128" t="n"/>
      <c r="R595" s="128" t="n"/>
      <c r="S595" s="128" t="n"/>
      <c r="T595" s="128" t="n"/>
    </row>
    <row r="596" ht="15.75" customHeight="1">
      <c r="A596" s="431" t="n"/>
      <c r="B596" s="431" t="n"/>
      <c r="C596" s="431" t="n"/>
      <c r="D596" s="431" t="n"/>
      <c r="E596" s="474" t="inlineStr">
        <is>
          <t>SURAJ RAWAT</t>
        </is>
      </c>
      <c r="F596" s="199" t="inlineStr">
        <is>
          <t>Hard Service</t>
        </is>
      </c>
      <c r="G596" s="200" t="inlineStr">
        <is>
          <t>-</t>
        </is>
      </c>
      <c r="H596" s="200" t="inlineStr">
        <is>
          <t>-</t>
        </is>
      </c>
      <c r="I596" s="174" t="inlineStr">
        <is>
          <t>Additional</t>
        </is>
      </c>
      <c r="J596" s="209" t="n">
        <v>9709</v>
      </c>
      <c r="K596" s="175" t="inlineStr">
        <is>
          <t>-</t>
        </is>
      </c>
      <c r="L596" s="198" t="inlineStr">
        <is>
          <t>-</t>
        </is>
      </c>
      <c r="N596" s="128" t="n"/>
      <c r="O596" s="128" t="n"/>
      <c r="P596" s="128" t="n"/>
      <c r="Q596" s="128" t="n"/>
      <c r="R596" s="128" t="n"/>
      <c r="S596" s="128" t="n"/>
      <c r="T596" s="128" t="n"/>
    </row>
    <row r="597" ht="18.75" customHeight="1">
      <c r="A597" s="474" t="inlineStr">
        <is>
          <t>STP OPERATOR</t>
        </is>
      </c>
      <c r="B597" s="477" t="n">
        <v>0</v>
      </c>
      <c r="C597" s="477" t="n">
        <v>1</v>
      </c>
      <c r="D597" s="483" t="n">
        <v>0</v>
      </c>
      <c r="E597" s="474" t="inlineStr">
        <is>
          <t>JUNAID KHAN</t>
        </is>
      </c>
      <c r="F597" s="199" t="inlineStr">
        <is>
          <t>Hard Service</t>
        </is>
      </c>
      <c r="G597" s="200" t="inlineStr">
        <is>
          <t>-</t>
        </is>
      </c>
      <c r="H597" s="200" t="inlineStr">
        <is>
          <t>-</t>
        </is>
      </c>
      <c r="I597" s="174" t="inlineStr">
        <is>
          <t>Additional</t>
        </is>
      </c>
      <c r="J597" s="209" t="n">
        <v>9709</v>
      </c>
      <c r="K597" s="175" t="inlineStr">
        <is>
          <t>-</t>
        </is>
      </c>
      <c r="L597" s="198" t="inlineStr">
        <is>
          <t>-</t>
        </is>
      </c>
      <c r="N597" s="128" t="n"/>
      <c r="O597" s="128" t="n"/>
      <c r="P597" s="128" t="n"/>
      <c r="Q597" s="128" t="n"/>
      <c r="R597" s="128" t="n"/>
      <c r="S597" s="128" t="n"/>
      <c r="T597" s="128" t="n"/>
    </row>
    <row r="598" ht="18.75" customHeight="1">
      <c r="A598" s="476" t="inlineStr">
        <is>
          <t>CCTV OPERATOR</t>
        </is>
      </c>
      <c r="B598" s="477" t="n">
        <v>0</v>
      </c>
      <c r="C598" s="477" t="n">
        <v>1</v>
      </c>
      <c r="D598" s="477" t="n">
        <v>0</v>
      </c>
      <c r="E598" s="292" t="inlineStr">
        <is>
          <t>ABDULVAHAB SARFUDEEN</t>
        </is>
      </c>
      <c r="F598" s="199" t="inlineStr">
        <is>
          <t>Hard Service</t>
        </is>
      </c>
      <c r="G598" s="200" t="n"/>
      <c r="H598" s="200" t="inlineStr">
        <is>
          <t>X9389552</t>
        </is>
      </c>
      <c r="I598" s="174" t="inlineStr">
        <is>
          <t>Additional</t>
        </is>
      </c>
      <c r="J598" s="209" t="n">
        <v>46261</v>
      </c>
      <c r="K598" s="175" t="n"/>
      <c r="L598" s="198" t="n"/>
      <c r="N598" s="128" t="n"/>
      <c r="O598" s="128" t="n"/>
      <c r="P598" s="128" t="n"/>
      <c r="Q598" s="128" t="n"/>
      <c r="R598" s="128" t="n"/>
      <c r="S598" s="128" t="n"/>
      <c r="T598" s="128" t="n"/>
    </row>
    <row r="599" ht="15.75" customHeight="1">
      <c r="A599" s="431" t="n"/>
      <c r="B599" s="431" t="n"/>
      <c r="C599" s="431" t="n"/>
      <c r="D599" s="431" t="n"/>
      <c r="E599" s="474" t="inlineStr">
        <is>
          <t>KAMIL AZAD</t>
        </is>
      </c>
      <c r="F599" s="199" t="inlineStr">
        <is>
          <t>Hard Service</t>
        </is>
      </c>
      <c r="G599" s="200" t="inlineStr">
        <is>
          <t>-</t>
        </is>
      </c>
      <c r="H599" s="200" t="inlineStr">
        <is>
          <t>-</t>
        </is>
      </c>
      <c r="I599" s="174" t="inlineStr">
        <is>
          <t>Additional</t>
        </is>
      </c>
      <c r="J599" s="209" t="n">
        <v>9709</v>
      </c>
      <c r="K599" s="175" t="inlineStr">
        <is>
          <t>-</t>
        </is>
      </c>
      <c r="L599" s="198" t="inlineStr">
        <is>
          <t>-</t>
        </is>
      </c>
      <c r="N599" s="128" t="n"/>
      <c r="O599" s="128" t="n"/>
      <c r="P599" s="128" t="n"/>
      <c r="Q599" s="128" t="n"/>
      <c r="R599" s="128" t="n"/>
      <c r="S599" s="128" t="n"/>
      <c r="T599" s="128" t="n"/>
    </row>
    <row r="600" ht="15.75" customHeight="1">
      <c r="A600" s="476" t="inlineStr">
        <is>
          <t>ELECTRICAL TECHNICIAN</t>
        </is>
      </c>
      <c r="B600" s="477" t="n">
        <v>0</v>
      </c>
      <c r="C600" s="477" t="n">
        <v>11</v>
      </c>
      <c r="D600" s="477" t="n">
        <v>0</v>
      </c>
      <c r="E600" s="474" t="inlineStr">
        <is>
          <t>ZAHID ALI</t>
        </is>
      </c>
      <c r="F600" s="199" t="inlineStr">
        <is>
          <t>Hard Service</t>
        </is>
      </c>
      <c r="G600" s="200" t="inlineStr">
        <is>
          <t>-</t>
        </is>
      </c>
      <c r="H600" s="201" t="inlineStr">
        <is>
          <t>-</t>
        </is>
      </c>
      <c r="I600" s="174" t="inlineStr">
        <is>
          <t>Additional</t>
        </is>
      </c>
      <c r="J600" s="209" t="n">
        <v>46236</v>
      </c>
      <c r="K600" s="175" t="inlineStr">
        <is>
          <t>MEHAN</t>
        </is>
      </c>
      <c r="L600" s="198" t="inlineStr">
        <is>
          <t>-</t>
        </is>
      </c>
      <c r="N600" s="128" t="n"/>
      <c r="O600" s="128" t="n"/>
      <c r="P600" s="128" t="n"/>
      <c r="Q600" s="128" t="n"/>
      <c r="R600" s="128" t="n"/>
      <c r="S600" s="128" t="n"/>
      <c r="T600" s="128" t="n"/>
    </row>
    <row r="601" ht="15.75" customHeight="1">
      <c r="A601" s="429" t="n"/>
      <c r="B601" s="429" t="n"/>
      <c r="C601" s="429" t="n"/>
      <c r="D601" s="429" t="n"/>
      <c r="E601" s="474" t="inlineStr">
        <is>
          <t>MD SHAHDAB</t>
        </is>
      </c>
      <c r="F601" s="199" t="inlineStr">
        <is>
          <t>Hard Service</t>
        </is>
      </c>
      <c r="G601" s="200" t="inlineStr">
        <is>
          <t>-</t>
        </is>
      </c>
      <c r="H601" s="201" t="inlineStr">
        <is>
          <t>-</t>
        </is>
      </c>
      <c r="I601" s="174" t="inlineStr">
        <is>
          <t>Additional</t>
        </is>
      </c>
      <c r="J601" s="209" t="n">
        <v>46237</v>
      </c>
      <c r="K601" s="175" t="inlineStr">
        <is>
          <t>FMCO VISA</t>
        </is>
      </c>
      <c r="L601" s="198" t="inlineStr">
        <is>
          <t>-</t>
        </is>
      </c>
      <c r="N601" s="128" t="n"/>
      <c r="O601" s="128" t="n"/>
      <c r="P601" s="128" t="n"/>
      <c r="Q601" s="128" t="n"/>
      <c r="R601" s="128" t="n"/>
      <c r="S601" s="128" t="n"/>
      <c r="T601" s="128" t="n"/>
    </row>
    <row r="602" ht="15.75" customHeight="1">
      <c r="A602" s="429" t="n"/>
      <c r="B602" s="429" t="n"/>
      <c r="C602" s="429" t="n"/>
      <c r="D602" s="429" t="n"/>
      <c r="E602" s="112" t="inlineStr">
        <is>
          <t>MD TANWEER ALAM</t>
        </is>
      </c>
      <c r="F602" s="199" t="inlineStr">
        <is>
          <t>Hard Service</t>
        </is>
      </c>
      <c r="G602" s="200" t="inlineStr">
        <is>
          <t>-</t>
        </is>
      </c>
      <c r="H602" s="201" t="inlineStr">
        <is>
          <t>-</t>
        </is>
      </c>
      <c r="I602" s="174" t="inlineStr">
        <is>
          <t>Additional</t>
        </is>
      </c>
      <c r="J602" s="209" t="n">
        <v>46237</v>
      </c>
      <c r="K602" s="175" t="inlineStr">
        <is>
          <t>-</t>
        </is>
      </c>
      <c r="L602" s="198" t="inlineStr">
        <is>
          <t>-</t>
        </is>
      </c>
      <c r="N602" s="128" t="n"/>
      <c r="O602" s="128" t="n"/>
      <c r="P602" s="128" t="n"/>
      <c r="Q602" s="128" t="n"/>
      <c r="R602" s="128" t="n"/>
      <c r="S602" s="128" t="n"/>
      <c r="T602" s="128" t="n"/>
    </row>
    <row r="603" ht="15.75" customHeight="1">
      <c r="A603" s="429" t="n"/>
      <c r="B603" s="429" t="n"/>
      <c r="C603" s="429" t="n"/>
      <c r="D603" s="429" t="n"/>
      <c r="E603" s="112" t="inlineStr">
        <is>
          <t xml:space="preserve">MOHAMMAD SAHID HUSSAIN ANSARI </t>
        </is>
      </c>
      <c r="F603" s="199" t="inlineStr">
        <is>
          <t>Hard Service</t>
        </is>
      </c>
      <c r="G603" s="200" t="inlineStr">
        <is>
          <t>-</t>
        </is>
      </c>
      <c r="H603" s="201" t="inlineStr">
        <is>
          <t>-</t>
        </is>
      </c>
      <c r="I603" s="174" t="inlineStr">
        <is>
          <t>Additional</t>
        </is>
      </c>
      <c r="J603" s="209" t="n">
        <v>46237</v>
      </c>
      <c r="K603" s="175" t="inlineStr">
        <is>
          <t>-</t>
        </is>
      </c>
      <c r="L603" s="198" t="inlineStr">
        <is>
          <t>-</t>
        </is>
      </c>
      <c r="N603" s="128" t="n"/>
      <c r="O603" s="128" t="n"/>
      <c r="P603" s="128" t="n"/>
      <c r="Q603" s="128" t="n"/>
      <c r="R603" s="128" t="n"/>
      <c r="S603" s="128" t="n"/>
      <c r="T603" s="128" t="n"/>
    </row>
    <row r="604" ht="15.75" customHeight="1">
      <c r="A604" s="429" t="n"/>
      <c r="B604" s="429" t="n"/>
      <c r="C604" s="429" t="n"/>
      <c r="D604" s="429" t="n"/>
      <c r="E604" s="474" t="inlineStr">
        <is>
          <t>IZHARUL HAQUE</t>
        </is>
      </c>
      <c r="F604" s="199" t="inlineStr">
        <is>
          <t>Hard Service</t>
        </is>
      </c>
      <c r="G604" s="200" t="inlineStr">
        <is>
          <t>-</t>
        </is>
      </c>
      <c r="H604" s="200" t="inlineStr">
        <is>
          <t>-</t>
        </is>
      </c>
      <c r="I604" s="174" t="inlineStr">
        <is>
          <t>Additional</t>
        </is>
      </c>
      <c r="J604" s="209" t="n">
        <v>9708</v>
      </c>
      <c r="K604" s="175" t="inlineStr">
        <is>
          <t>-</t>
        </is>
      </c>
      <c r="L604" s="198" t="inlineStr">
        <is>
          <t>-</t>
        </is>
      </c>
      <c r="N604" s="128" t="n"/>
      <c r="O604" s="128" t="n"/>
      <c r="P604" s="128" t="n"/>
      <c r="Q604" s="128" t="n"/>
      <c r="R604" s="128" t="n"/>
      <c r="S604" s="128" t="n"/>
      <c r="T604" s="128" t="n"/>
    </row>
    <row r="605" ht="15.75" customHeight="1">
      <c r="A605" s="429" t="n"/>
      <c r="B605" s="429" t="n"/>
      <c r="C605" s="429" t="n"/>
      <c r="D605" s="429" t="n"/>
      <c r="E605" s="474" t="inlineStr">
        <is>
          <t>ZABIR ALI</t>
        </is>
      </c>
      <c r="F605" s="199" t="inlineStr">
        <is>
          <t>Hard Service</t>
        </is>
      </c>
      <c r="G605" s="200" t="inlineStr">
        <is>
          <t>-</t>
        </is>
      </c>
      <c r="H605" s="200" t="inlineStr">
        <is>
          <t>-</t>
        </is>
      </c>
      <c r="I605" s="174" t="inlineStr">
        <is>
          <t>Additional</t>
        </is>
      </c>
      <c r="J605" s="209" t="n">
        <v>9708</v>
      </c>
      <c r="K605" s="175" t="inlineStr">
        <is>
          <t>-</t>
        </is>
      </c>
      <c r="L605" s="198" t="inlineStr">
        <is>
          <t>-</t>
        </is>
      </c>
      <c r="N605" s="128" t="n"/>
      <c r="O605" s="128" t="n"/>
      <c r="P605" s="128" t="n"/>
      <c r="Q605" s="128" t="n"/>
      <c r="R605" s="128" t="n"/>
      <c r="S605" s="128" t="n"/>
      <c r="T605" s="128" t="n"/>
    </row>
    <row r="606" ht="15.75" customHeight="1">
      <c r="A606" s="429" t="n"/>
      <c r="B606" s="429" t="n"/>
      <c r="C606" s="429" t="n"/>
      <c r="D606" s="429" t="n"/>
      <c r="E606" s="474" t="inlineStr">
        <is>
          <t>MAROUF SIDDIQUI</t>
        </is>
      </c>
      <c r="F606" s="199" t="inlineStr">
        <is>
          <t>Hard Service</t>
        </is>
      </c>
      <c r="G606" s="200" t="inlineStr">
        <is>
          <t>-</t>
        </is>
      </c>
      <c r="H606" s="200" t="inlineStr">
        <is>
          <t>-</t>
        </is>
      </c>
      <c r="I606" s="174" t="inlineStr">
        <is>
          <t>Additional</t>
        </is>
      </c>
      <c r="J606" s="209" t="n">
        <v>9709</v>
      </c>
      <c r="K606" s="175" t="inlineStr">
        <is>
          <t>-</t>
        </is>
      </c>
      <c r="L606" s="198" t="inlineStr">
        <is>
          <t>-</t>
        </is>
      </c>
      <c r="N606" s="128" t="n"/>
      <c r="O606" s="128" t="n"/>
      <c r="P606" s="128" t="n"/>
      <c r="Q606" s="128" t="n"/>
      <c r="R606" s="128" t="n"/>
      <c r="S606" s="128" t="n"/>
      <c r="T606" s="128" t="n"/>
    </row>
    <row r="607" ht="15.75" customHeight="1">
      <c r="A607" s="429" t="n"/>
      <c r="B607" s="429" t="n"/>
      <c r="C607" s="429" t="n"/>
      <c r="D607" s="429" t="n"/>
      <c r="E607" s="474" t="inlineStr">
        <is>
          <t>RAASHID IQUBAL</t>
        </is>
      </c>
      <c r="F607" s="199" t="inlineStr">
        <is>
          <t>Hard Service</t>
        </is>
      </c>
      <c r="G607" s="200" t="inlineStr">
        <is>
          <t>-</t>
        </is>
      </c>
      <c r="H607" s="200" t="inlineStr">
        <is>
          <t>-</t>
        </is>
      </c>
      <c r="I607" s="174" t="inlineStr">
        <is>
          <t>Additional</t>
        </is>
      </c>
      <c r="J607" s="209" t="n">
        <v>9709</v>
      </c>
      <c r="K607" s="175" t="inlineStr">
        <is>
          <t>-</t>
        </is>
      </c>
      <c r="L607" s="198" t="inlineStr">
        <is>
          <t>-</t>
        </is>
      </c>
      <c r="N607" s="128" t="n"/>
      <c r="O607" s="128" t="n"/>
      <c r="P607" s="128" t="n"/>
      <c r="Q607" s="128" t="n"/>
      <c r="R607" s="128" t="n"/>
      <c r="S607" s="128" t="n"/>
      <c r="T607" s="128" t="n"/>
    </row>
    <row r="608" ht="15.75" customHeight="1">
      <c r="A608" s="429" t="n"/>
      <c r="B608" s="429" t="n"/>
      <c r="C608" s="429" t="n"/>
      <c r="D608" s="429" t="n"/>
      <c r="E608" s="474" t="inlineStr">
        <is>
          <t>MD SHAHDAB</t>
        </is>
      </c>
      <c r="F608" s="199" t="inlineStr">
        <is>
          <t>Hard Service</t>
        </is>
      </c>
      <c r="G608" s="200" t="n">
        <v>704398</v>
      </c>
      <c r="H608" s="200" t="n">
        <v>2641115064</v>
      </c>
      <c r="I608" s="174" t="inlineStr">
        <is>
          <t>Additional</t>
        </is>
      </c>
      <c r="J608" s="209" t="n">
        <v>46237</v>
      </c>
      <c r="K608" s="175" t="inlineStr">
        <is>
          <t>FMCO</t>
        </is>
      </c>
      <c r="L608" s="198" t="n"/>
      <c r="N608" s="128" t="n"/>
      <c r="O608" s="128" t="n"/>
      <c r="P608" s="128" t="n"/>
      <c r="Q608" s="128" t="n"/>
      <c r="R608" s="128" t="n"/>
      <c r="S608" s="128" t="n"/>
      <c r="T608" s="128" t="n"/>
    </row>
    <row r="609" ht="15.75" customHeight="1">
      <c r="A609" s="431" t="n"/>
      <c r="B609" s="431" t="n"/>
      <c r="C609" s="431" t="n"/>
      <c r="D609" s="431" t="n"/>
      <c r="E609" s="474" t="inlineStr">
        <is>
          <t>VIKASH KUMAR</t>
        </is>
      </c>
      <c r="F609" s="199" t="inlineStr">
        <is>
          <t>Hard Service</t>
        </is>
      </c>
      <c r="G609" s="200" t="inlineStr">
        <is>
          <t>-</t>
        </is>
      </c>
      <c r="H609" s="201" t="inlineStr">
        <is>
          <t>-</t>
        </is>
      </c>
      <c r="I609" s="174" t="inlineStr">
        <is>
          <t>Additional</t>
        </is>
      </c>
      <c r="J609" s="209" t="n">
        <v>46236</v>
      </c>
      <c r="K609" s="175" t="inlineStr">
        <is>
          <t>MEHAN</t>
        </is>
      </c>
      <c r="L609" s="198" t="inlineStr">
        <is>
          <t>-</t>
        </is>
      </c>
      <c r="N609" s="128" t="n"/>
      <c r="O609" s="128" t="n"/>
      <c r="P609" s="128" t="n"/>
      <c r="Q609" s="128" t="n"/>
      <c r="R609" s="128" t="n"/>
      <c r="S609" s="128" t="n"/>
      <c r="T609" s="128" t="n"/>
    </row>
    <row r="610" ht="15.75" customHeight="1">
      <c r="A610" s="474" t="inlineStr">
        <is>
          <t>Mechanical Technician</t>
        </is>
      </c>
      <c r="B610" s="197" t="n">
        <v>0</v>
      </c>
      <c r="C610" s="477" t="n">
        <v>1</v>
      </c>
      <c r="D610" s="483" t="n">
        <v>0</v>
      </c>
      <c r="E610" s="474" t="inlineStr">
        <is>
          <t>Faiz Ahmed</t>
        </is>
      </c>
      <c r="F610" s="199" t="inlineStr">
        <is>
          <t>Hard Service</t>
        </is>
      </c>
      <c r="G610" s="206" t="n">
        <v>700316</v>
      </c>
      <c r="H610" s="417" t="n">
        <v>2481795074</v>
      </c>
      <c r="I610" s="174" t="inlineStr">
        <is>
          <t>Additional</t>
        </is>
      </c>
      <c r="J610" s="521" t="n">
        <v>46229</v>
      </c>
      <c r="K610" s="175" t="inlineStr">
        <is>
          <t>FMCO</t>
        </is>
      </c>
      <c r="L610" s="208" t="inlineStr">
        <is>
          <t>ON VACATION</t>
        </is>
      </c>
      <c r="N610" s="128" t="n"/>
      <c r="O610" s="128" t="n"/>
      <c r="P610" s="128" t="n"/>
      <c r="Q610" s="128" t="n"/>
      <c r="R610" s="128" t="n"/>
      <c r="S610" s="128" t="n"/>
      <c r="T610" s="128" t="n"/>
    </row>
    <row r="611" ht="15.75" customHeight="1">
      <c r="A611" s="474" t="inlineStr">
        <is>
          <t>Pest Controll specialist</t>
        </is>
      </c>
      <c r="B611" s="197" t="n">
        <v>0</v>
      </c>
      <c r="C611" s="477" t="n">
        <v>1</v>
      </c>
      <c r="D611" s="483" t="n">
        <v>0</v>
      </c>
      <c r="E611" s="474" t="inlineStr">
        <is>
          <t>Mohammad Imtiyaz Hussain Ansari</t>
        </is>
      </c>
      <c r="F611" s="171" t="inlineStr">
        <is>
          <t>Soft Service</t>
        </is>
      </c>
      <c r="G611" s="172" t="inlineStr">
        <is>
          <t>-</t>
        </is>
      </c>
      <c r="H611" s="417" t="inlineStr">
        <is>
          <t>-</t>
        </is>
      </c>
      <c r="I611" s="174" t="inlineStr">
        <is>
          <t>Additional</t>
        </is>
      </c>
      <c r="J611" s="175" t="inlineStr">
        <is>
          <t>-</t>
        </is>
      </c>
      <c r="K611" s="208" t="inlineStr">
        <is>
          <t>-</t>
        </is>
      </c>
      <c r="L611" s="208" t="inlineStr">
        <is>
          <t>-</t>
        </is>
      </c>
      <c r="N611" s="128" t="n"/>
      <c r="O611" s="128" t="n"/>
      <c r="P611" s="128" t="n"/>
      <c r="Q611" s="128" t="n"/>
      <c r="R611" s="128" t="n"/>
      <c r="S611" s="128" t="n"/>
      <c r="T611" s="128" t="n"/>
    </row>
    <row r="612" ht="15.75" customHeight="1">
      <c r="A612" s="474" t="inlineStr">
        <is>
          <t>ADMINISTRATOR/ RECERATION</t>
        </is>
      </c>
      <c r="B612" s="197" t="n">
        <v>0</v>
      </c>
      <c r="C612" s="477" t="n">
        <v>1</v>
      </c>
      <c r="D612" s="483" t="n">
        <v>0</v>
      </c>
      <c r="E612" s="474" t="inlineStr">
        <is>
          <t>MD MEHEDI HASAN APON</t>
        </is>
      </c>
      <c r="F612" s="171" t="inlineStr">
        <is>
          <t>Recreation</t>
        </is>
      </c>
      <c r="G612" s="172" t="inlineStr">
        <is>
          <t>EM-0004123</t>
        </is>
      </c>
      <c r="H612" s="417" t="n">
        <v>2643066273</v>
      </c>
      <c r="I612" s="174" t="inlineStr">
        <is>
          <t>Additional</t>
        </is>
      </c>
      <c r="J612" s="522" t="n">
        <v>46245</v>
      </c>
      <c r="K612" s="175" t="inlineStr">
        <is>
          <t>AL-FALAK VISA</t>
        </is>
      </c>
      <c r="L612" s="208" t="inlineStr">
        <is>
          <t>-</t>
        </is>
      </c>
      <c r="N612" s="128" t="n"/>
      <c r="O612" s="128" t="n"/>
      <c r="P612" s="128" t="n"/>
      <c r="Q612" s="128" t="n"/>
      <c r="R612" s="128" t="n"/>
      <c r="S612" s="128" t="n"/>
      <c r="T612" s="128" t="n"/>
    </row>
    <row r="613" ht="15.75" customHeight="1">
      <c r="A613" s="475" t="inlineStr">
        <is>
          <t>Male Cleaner</t>
        </is>
      </c>
      <c r="B613" s="473" t="n">
        <v>0</v>
      </c>
      <c r="C613" s="473" t="n">
        <v>11</v>
      </c>
      <c r="D613" s="473" t="n">
        <v>0</v>
      </c>
      <c r="E613" s="474" t="inlineStr">
        <is>
          <t>Jobayel Moral</t>
        </is>
      </c>
      <c r="F613" s="171" t="inlineStr">
        <is>
          <t>Soft Service</t>
        </is>
      </c>
      <c r="G613" s="172" t="n"/>
      <c r="H613" s="417" t="n"/>
      <c r="I613" s="174" t="inlineStr">
        <is>
          <t>Additional</t>
        </is>
      </c>
      <c r="J613" s="522" t="n"/>
      <c r="K613" s="175" t="n"/>
      <c r="L613" s="208" t="n"/>
      <c r="N613" s="128" t="n"/>
      <c r="O613" s="128" t="n"/>
      <c r="P613" s="128" t="n"/>
      <c r="Q613" s="128" t="n"/>
      <c r="R613" s="128" t="n"/>
      <c r="S613" s="128" t="n"/>
      <c r="T613" s="128" t="n"/>
    </row>
    <row r="614" ht="15.75" customHeight="1">
      <c r="A614" s="429" t="n"/>
      <c r="B614" s="429" t="n"/>
      <c r="C614" s="429" t="n"/>
      <c r="D614" s="429" t="n"/>
      <c r="E614" s="474" t="inlineStr">
        <is>
          <t>NAISAR ERFAN</t>
        </is>
      </c>
      <c r="F614" s="171" t="inlineStr">
        <is>
          <t>SOFT SERVICE</t>
        </is>
      </c>
      <c r="G614" s="172" t="inlineStr">
        <is>
          <t>S209</t>
        </is>
      </c>
      <c r="H614" s="417" t="n">
        <v>2597976246</v>
      </c>
      <c r="I614" s="174" t="inlineStr">
        <is>
          <t>Additional</t>
        </is>
      </c>
      <c r="J614" s="522" t="n">
        <v>45734</v>
      </c>
      <c r="K614" s="175" t="inlineStr">
        <is>
          <t>SCC (RENTAL)</t>
        </is>
      </c>
      <c r="L614" s="208" t="n"/>
      <c r="N614" s="128" t="n"/>
      <c r="O614" s="128" t="n"/>
      <c r="P614" s="128" t="n"/>
      <c r="Q614" s="128" t="n"/>
      <c r="R614" s="128" t="n"/>
      <c r="S614" s="128" t="n"/>
      <c r="T614" s="128" t="n"/>
    </row>
    <row r="615" ht="15.75" customHeight="1">
      <c r="A615" s="429" t="n"/>
      <c r="B615" s="429" t="n"/>
      <c r="C615" s="429" t="n"/>
      <c r="D615" s="429" t="n"/>
      <c r="E615" s="474" t="inlineStr">
        <is>
          <t>GANESH MAHATO</t>
        </is>
      </c>
      <c r="F615" s="171" t="inlineStr">
        <is>
          <t>SOFT SERVICE</t>
        </is>
      </c>
      <c r="G615" s="172" t="inlineStr">
        <is>
          <t>S210</t>
        </is>
      </c>
      <c r="H615" s="417" t="n">
        <v>2597976055</v>
      </c>
      <c r="I615" s="174" t="inlineStr">
        <is>
          <t>Additional</t>
        </is>
      </c>
      <c r="J615" s="522" t="n">
        <v>45734</v>
      </c>
      <c r="K615" s="175" t="inlineStr">
        <is>
          <t>SCC (RENTAL)</t>
        </is>
      </c>
      <c r="L615" s="208" t="n"/>
      <c r="N615" s="128" t="n"/>
      <c r="O615" s="128" t="n"/>
      <c r="P615" s="128" t="n"/>
      <c r="Q615" s="128" t="n"/>
      <c r="R615" s="128" t="n"/>
      <c r="S615" s="128" t="n"/>
      <c r="T615" s="128" t="n"/>
    </row>
    <row r="616" ht="15.75" customHeight="1">
      <c r="A616" s="429" t="n"/>
      <c r="B616" s="429" t="n"/>
      <c r="C616" s="429" t="n"/>
      <c r="D616" s="429" t="n"/>
      <c r="E616" s="474" t="inlineStr">
        <is>
          <t>MUKESH KUMAR YADAV</t>
        </is>
      </c>
      <c r="F616" s="171" t="inlineStr">
        <is>
          <t>SOFT SERVICE</t>
        </is>
      </c>
      <c r="G616" s="172" t="inlineStr">
        <is>
          <t>S213</t>
        </is>
      </c>
      <c r="H616" s="417" t="n">
        <v>2597976311</v>
      </c>
      <c r="I616" s="174" t="inlineStr">
        <is>
          <t>Additional</t>
        </is>
      </c>
      <c r="J616" s="522" t="n">
        <v>45734</v>
      </c>
      <c r="K616" s="175" t="inlineStr">
        <is>
          <t>SCC (RENTAL)</t>
        </is>
      </c>
      <c r="L616" s="208" t="n"/>
      <c r="N616" s="128" t="n"/>
      <c r="O616" s="128" t="n"/>
      <c r="P616" s="128" t="n"/>
      <c r="Q616" s="128" t="n"/>
      <c r="R616" s="128" t="n"/>
      <c r="S616" s="128" t="n"/>
      <c r="T616" s="128" t="n"/>
    </row>
    <row r="617" ht="15.75" customHeight="1">
      <c r="A617" s="429" t="n"/>
      <c r="B617" s="429" t="n"/>
      <c r="C617" s="429" t="n"/>
      <c r="D617" s="429" t="n"/>
      <c r="E617" s="474" t="inlineStr">
        <is>
          <t>PAPPU KUMAR YADAV</t>
        </is>
      </c>
      <c r="F617" s="171" t="inlineStr">
        <is>
          <t>SOFT SERVICE</t>
        </is>
      </c>
      <c r="G617" s="172" t="inlineStr">
        <is>
          <t>S214</t>
        </is>
      </c>
      <c r="H617" s="417" t="n">
        <v>2597977012</v>
      </c>
      <c r="I617" s="174" t="inlineStr">
        <is>
          <t>Additional</t>
        </is>
      </c>
      <c r="J617" s="522" t="n">
        <v>45734</v>
      </c>
      <c r="K617" s="175" t="inlineStr">
        <is>
          <t>SCC (RENTAL)</t>
        </is>
      </c>
      <c r="L617" s="208" t="n"/>
      <c r="N617" s="128" t="n"/>
      <c r="O617" s="128" t="n"/>
      <c r="P617" s="128" t="n"/>
      <c r="Q617" s="128" t="n"/>
      <c r="R617" s="128" t="n"/>
      <c r="S617" s="128" t="n"/>
      <c r="T617" s="128" t="n"/>
    </row>
    <row r="618" ht="15.75" customHeight="1">
      <c r="A618" s="429" t="n"/>
      <c r="B618" s="429" t="n"/>
      <c r="C618" s="429" t="n"/>
      <c r="D618" s="429" t="n"/>
      <c r="E618" s="474" t="inlineStr">
        <is>
          <t>SEHANDRA MAHTO</t>
        </is>
      </c>
      <c r="F618" s="171" t="inlineStr">
        <is>
          <t>SOFT SERVICE</t>
        </is>
      </c>
      <c r="G618" s="172" t="inlineStr">
        <is>
          <t>S215</t>
        </is>
      </c>
      <c r="H618" s="417" t="n">
        <v>2597976782</v>
      </c>
      <c r="I618" s="174" t="inlineStr">
        <is>
          <t>Additional</t>
        </is>
      </c>
      <c r="J618" s="522" t="n">
        <v>45734</v>
      </c>
      <c r="K618" s="175" t="inlineStr">
        <is>
          <t>SCC (RENTAL)</t>
        </is>
      </c>
      <c r="L618" s="208" t="n"/>
      <c r="N618" s="128" t="n"/>
      <c r="O618" s="128" t="n"/>
      <c r="P618" s="128" t="n"/>
      <c r="Q618" s="128" t="n"/>
      <c r="R618" s="128" t="n"/>
      <c r="S618" s="128" t="n"/>
      <c r="T618" s="128" t="n"/>
    </row>
    <row r="619" ht="15.75" customHeight="1">
      <c r="A619" s="429" t="n"/>
      <c r="B619" s="429" t="n"/>
      <c r="C619" s="429" t="n"/>
      <c r="D619" s="429" t="n"/>
      <c r="E619" s="474" t="inlineStr">
        <is>
          <t>ABUNASAR SHAHID</t>
        </is>
      </c>
      <c r="F619" s="171" t="inlineStr">
        <is>
          <t>SOFT SERVICE</t>
        </is>
      </c>
      <c r="G619" s="172" t="inlineStr">
        <is>
          <t>S216</t>
        </is>
      </c>
      <c r="H619" s="417" t="n">
        <v>2597975396</v>
      </c>
      <c r="I619" s="174" t="inlineStr">
        <is>
          <t>Additional</t>
        </is>
      </c>
      <c r="J619" s="522" t="n">
        <v>45734</v>
      </c>
      <c r="K619" s="175" t="inlineStr">
        <is>
          <t>SCC (RENTAL)</t>
        </is>
      </c>
      <c r="L619" s="208" t="n"/>
      <c r="N619" s="128" t="n"/>
      <c r="O619" s="128" t="n"/>
      <c r="P619" s="128" t="n"/>
      <c r="Q619" s="128" t="n"/>
      <c r="R619" s="128" t="n"/>
      <c r="S619" s="128" t="n"/>
      <c r="T619" s="128" t="n"/>
    </row>
    <row r="620" ht="15.75" customHeight="1">
      <c r="A620" s="429" t="n"/>
      <c r="B620" s="429" t="n"/>
      <c r="C620" s="429" t="n"/>
      <c r="D620" s="429" t="n"/>
      <c r="E620" s="474" t="inlineStr">
        <is>
          <t>TOHID MIAH</t>
        </is>
      </c>
      <c r="F620" s="171" t="inlineStr">
        <is>
          <t>SOFT SERVICE</t>
        </is>
      </c>
      <c r="G620" s="172" t="n">
        <v>1291</v>
      </c>
      <c r="H620" s="417" t="n">
        <v>2598776769</v>
      </c>
      <c r="I620" s="174" t="inlineStr">
        <is>
          <t>Additional</t>
        </is>
      </c>
      <c r="J620" s="522" t="n">
        <v>45769</v>
      </c>
      <c r="K620" s="175" t="inlineStr">
        <is>
          <t>UCC RENTAL</t>
        </is>
      </c>
      <c r="L620" s="208" t="n"/>
      <c r="N620" s="128" t="n"/>
      <c r="O620" s="128" t="n"/>
      <c r="P620" s="128" t="n"/>
      <c r="Q620" s="128" t="n"/>
      <c r="R620" s="128" t="n"/>
      <c r="S620" s="128" t="n"/>
      <c r="T620" s="128" t="n"/>
    </row>
    <row r="621" ht="15.75" customHeight="1">
      <c r="A621" s="429" t="n"/>
      <c r="B621" s="429" t="n"/>
      <c r="C621" s="429" t="n"/>
      <c r="D621" s="429" t="n"/>
      <c r="E621" s="474" t="inlineStr">
        <is>
          <t>MD ARSHADUL HOQUE</t>
        </is>
      </c>
      <c r="F621" s="171" t="inlineStr">
        <is>
          <t>SOFT SERVICE</t>
        </is>
      </c>
      <c r="G621" s="172" t="n">
        <v>1295</v>
      </c>
      <c r="H621" s="417" t="n">
        <v>2600359653</v>
      </c>
      <c r="I621" s="174" t="inlineStr">
        <is>
          <t>Additional</t>
        </is>
      </c>
      <c r="J621" s="522" t="n">
        <v>45769</v>
      </c>
      <c r="K621" s="175" t="inlineStr">
        <is>
          <t>UCC RENTAL</t>
        </is>
      </c>
      <c r="L621" s="208" t="n"/>
      <c r="N621" s="128" t="n"/>
      <c r="O621" s="128" t="n"/>
      <c r="P621" s="128" t="n"/>
      <c r="Q621" s="128" t="n"/>
      <c r="R621" s="128" t="n"/>
      <c r="S621" s="128" t="n"/>
      <c r="T621" s="128" t="n"/>
    </row>
    <row r="622" ht="15.75" customHeight="1">
      <c r="A622" s="429" t="n"/>
      <c r="B622" s="429" t="n"/>
      <c r="C622" s="429" t="n"/>
      <c r="D622" s="429" t="n"/>
      <c r="E622" s="474" t="inlineStr">
        <is>
          <t>MD IMAN</t>
        </is>
      </c>
      <c r="F622" s="171" t="inlineStr">
        <is>
          <t>SOFT SERVICE</t>
        </is>
      </c>
      <c r="G622" s="172" t="inlineStr">
        <is>
          <t>S572</t>
        </is>
      </c>
      <c r="H622" s="417" t="inlineStr">
        <is>
          <t>2629529039</t>
        </is>
      </c>
      <c r="I622" s="174" t="inlineStr">
        <is>
          <t>Additional</t>
        </is>
      </c>
      <c r="J622" s="522" t="n">
        <v>46070</v>
      </c>
      <c r="K622" s="175" t="inlineStr">
        <is>
          <t>SCC (RENTAL)</t>
        </is>
      </c>
      <c r="L622" s="208" t="n"/>
      <c r="N622" s="128" t="n"/>
      <c r="O622" s="128" t="n"/>
      <c r="P622" s="128" t="n"/>
      <c r="Q622" s="128" t="n"/>
      <c r="R622" s="128" t="n"/>
      <c r="S622" s="128" t="n"/>
      <c r="T622" s="128" t="n"/>
    </row>
    <row r="623" ht="15.75" customHeight="1">
      <c r="A623" s="431" t="n"/>
      <c r="B623" s="431" t="n"/>
      <c r="C623" s="431" t="n"/>
      <c r="D623" s="431" t="n"/>
      <c r="E623" s="474" t="inlineStr">
        <is>
          <t>MD Tuhin Miah</t>
        </is>
      </c>
      <c r="F623" s="171" t="inlineStr">
        <is>
          <t>SOFT SERVICE</t>
        </is>
      </c>
      <c r="G623" s="172" t="inlineStr">
        <is>
          <t>-</t>
        </is>
      </c>
      <c r="H623" s="417" t="n">
        <v>2640707168</v>
      </c>
      <c r="I623" s="174" t="inlineStr">
        <is>
          <t>Additional</t>
        </is>
      </c>
      <c r="J623" s="522" t="n">
        <v>46243</v>
      </c>
      <c r="K623" s="175" t="inlineStr">
        <is>
          <t>-</t>
        </is>
      </c>
      <c r="L623" s="208" t="inlineStr">
        <is>
          <t>-</t>
        </is>
      </c>
      <c r="N623" s="128" t="n"/>
      <c r="O623" s="128" t="n"/>
      <c r="P623" s="128" t="n"/>
      <c r="Q623" s="128" t="n"/>
      <c r="R623" s="128" t="n"/>
      <c r="S623" s="128" t="n"/>
      <c r="T623" s="128" t="n"/>
    </row>
    <row r="624" ht="15.75" customHeight="1">
      <c r="A624" s="475" t="inlineStr">
        <is>
          <t>CAFM Operator</t>
        </is>
      </c>
      <c r="B624" s="197" t="n">
        <v>0</v>
      </c>
      <c r="C624" s="477" t="n">
        <v>1</v>
      </c>
      <c r="D624" s="483" t="n">
        <v>0</v>
      </c>
      <c r="E624" s="292" t="inlineStr">
        <is>
          <t>Som Kumar Munda</t>
        </is>
      </c>
      <c r="F624" s="171" t="inlineStr">
        <is>
          <t>Site Management</t>
        </is>
      </c>
      <c r="G624" s="172" t="n"/>
      <c r="H624" s="417" t="inlineStr">
        <is>
          <t>V9107540</t>
        </is>
      </c>
      <c r="I624" s="174" t="inlineStr">
        <is>
          <t>Additional</t>
        </is>
      </c>
      <c r="J624" s="522" t="n">
        <v>46268</v>
      </c>
      <c r="K624" s="175" t="n"/>
      <c r="L624" s="208" t="n"/>
      <c r="N624" s="128" t="n"/>
      <c r="O624" s="128" t="n"/>
      <c r="P624" s="128" t="n"/>
      <c r="Q624" s="128" t="n"/>
      <c r="R624" s="128" t="n"/>
      <c r="S624" s="128" t="n"/>
      <c r="T624" s="128" t="n"/>
    </row>
    <row r="625" ht="15.75" customHeight="1">
      <c r="A625" s="475" t="inlineStr">
        <is>
          <t>Facilities Inspector</t>
        </is>
      </c>
      <c r="B625" s="197" t="n">
        <v>0</v>
      </c>
      <c r="C625" s="477" t="n">
        <v>1</v>
      </c>
      <c r="D625" s="483" t="n">
        <v>0</v>
      </c>
      <c r="E625" s="294" t="inlineStr">
        <is>
          <t>Boncy Thomas</t>
        </is>
      </c>
      <c r="F625" s="171" t="inlineStr">
        <is>
          <t>Site Management</t>
        </is>
      </c>
      <c r="G625" s="172" t="n"/>
      <c r="H625" s="417" t="inlineStr">
        <is>
          <t>S2927667</t>
        </is>
      </c>
      <c r="I625" s="174" t="inlineStr">
        <is>
          <t>Additional</t>
        </is>
      </c>
      <c r="J625" s="522" t="n">
        <v>46267</v>
      </c>
      <c r="K625" s="175" t="n"/>
      <c r="L625" s="208" t="n"/>
      <c r="N625" s="128" t="n"/>
      <c r="O625" s="128" t="n"/>
      <c r="P625" s="128" t="n"/>
      <c r="Q625" s="128" t="n"/>
      <c r="R625" s="128" t="n"/>
      <c r="S625" s="128" t="n"/>
      <c r="T625" s="128" t="n"/>
    </row>
    <row r="626" ht="15.75" customHeight="1">
      <c r="A626" s="475" t="inlineStr">
        <is>
          <t>Office Boy</t>
        </is>
      </c>
      <c r="B626" s="197" t="n">
        <v>0</v>
      </c>
      <c r="C626" s="477" t="n">
        <v>1</v>
      </c>
      <c r="D626" s="483" t="n">
        <v>0</v>
      </c>
      <c r="E626" s="296" t="inlineStr">
        <is>
          <t>Md Ziarul Islam</t>
        </is>
      </c>
      <c r="F626" s="171" t="inlineStr">
        <is>
          <t>Site Management</t>
        </is>
      </c>
      <c r="G626" s="172" t="n"/>
      <c r="H626" s="417" t="inlineStr">
        <is>
          <t>A01892306</t>
        </is>
      </c>
      <c r="I626" s="174" t="inlineStr">
        <is>
          <t>Additional</t>
        </is>
      </c>
      <c r="J626" s="522" t="n">
        <v>46267</v>
      </c>
      <c r="K626" s="175" t="n"/>
      <c r="L626" s="208" t="n"/>
      <c r="N626" s="128" t="n"/>
      <c r="O626" s="128" t="n"/>
      <c r="P626" s="128" t="n"/>
      <c r="Q626" s="128" t="n"/>
      <c r="R626" s="128" t="n"/>
      <c r="S626" s="128" t="n"/>
      <c r="T626" s="128" t="n"/>
    </row>
    <row r="627" ht="15.75" customHeight="1">
      <c r="A627" s="475" t="inlineStr">
        <is>
          <t>SAFETY OFFICER</t>
        </is>
      </c>
      <c r="B627" s="197" t="n">
        <v>0</v>
      </c>
      <c r="C627" s="477" t="n">
        <v>1</v>
      </c>
      <c r="D627" s="483" t="n">
        <v>0</v>
      </c>
      <c r="E627" s="296" t="inlineStr">
        <is>
          <t>SOHRAB ANWAR</t>
        </is>
      </c>
      <c r="F627" s="171" t="inlineStr">
        <is>
          <t>HSE</t>
        </is>
      </c>
      <c r="G627" s="172" t="n"/>
      <c r="H627" s="417" t="n"/>
      <c r="I627" s="174" t="inlineStr">
        <is>
          <t>Additional</t>
        </is>
      </c>
      <c r="J627" s="522" t="n">
        <v>46292</v>
      </c>
      <c r="K627" s="175" t="n"/>
      <c r="L627" s="208" t="n"/>
      <c r="N627" s="128" t="n"/>
      <c r="O627" s="128" t="n"/>
      <c r="P627" s="128" t="n"/>
      <c r="Q627" s="128" t="n"/>
      <c r="R627" s="128" t="n"/>
      <c r="S627" s="128" t="n"/>
      <c r="T627" s="128" t="n"/>
    </row>
    <row r="628" ht="15.75" customHeight="1">
      <c r="A628" s="474" t="inlineStr">
        <is>
          <t>PLUMBER</t>
        </is>
      </c>
      <c r="B628" s="197" t="n">
        <v>0</v>
      </c>
      <c r="C628" s="477" t="n">
        <v>1</v>
      </c>
      <c r="D628" s="483" t="n">
        <v>0</v>
      </c>
      <c r="E628" s="296" t="inlineStr">
        <is>
          <t>MUHAMMAD NAVEED</t>
        </is>
      </c>
      <c r="F628" s="171" t="inlineStr">
        <is>
          <t>HARD SERVICE</t>
        </is>
      </c>
      <c r="G628" s="172" t="n">
        <v>704494</v>
      </c>
      <c r="H628" s="417" t="inlineStr">
        <is>
          <t>2624341810</t>
        </is>
      </c>
      <c r="I628" s="174" t="inlineStr">
        <is>
          <t>Additional</t>
        </is>
      </c>
      <c r="J628" s="522" t="n">
        <v>46239</v>
      </c>
      <c r="K628" s="175" t="inlineStr">
        <is>
          <t>FMCO</t>
        </is>
      </c>
      <c r="L628" s="198" t="n"/>
      <c r="N628" s="128" t="n"/>
      <c r="O628" s="128" t="n"/>
      <c r="P628" s="128" t="n"/>
      <c r="Q628" s="128" t="n"/>
      <c r="R628" s="128" t="n"/>
      <c r="S628" s="128" t="n"/>
      <c r="T628" s="128" t="n"/>
    </row>
    <row r="629" ht="15.75" customHeight="1">
      <c r="A629" s="474" t="inlineStr">
        <is>
          <t>ELECTRICIAN</t>
        </is>
      </c>
      <c r="B629" s="197" t="n">
        <v>0</v>
      </c>
      <c r="C629" s="477" t="n">
        <v>1</v>
      </c>
      <c r="D629" s="483" t="n">
        <v>0</v>
      </c>
      <c r="E629" s="296" t="inlineStr">
        <is>
          <t>MD RIPHON MIAH</t>
        </is>
      </c>
      <c r="F629" s="171" t="inlineStr">
        <is>
          <t>HARD SERVICE</t>
        </is>
      </c>
      <c r="G629" s="172" t="inlineStr">
        <is>
          <t>C00869</t>
        </is>
      </c>
      <c r="H629" s="417" t="n">
        <v>2592479675</v>
      </c>
      <c r="I629" s="174" t="inlineStr">
        <is>
          <t>Additional</t>
        </is>
      </c>
      <c r="J629" s="522" t="n">
        <v>46015</v>
      </c>
      <c r="K629" s="175" t="inlineStr">
        <is>
          <t>MEHAN VISA</t>
        </is>
      </c>
      <c r="L629" s="208" t="n"/>
      <c r="N629" s="128" t="n"/>
      <c r="O629" s="128" t="n"/>
      <c r="P629" s="128" t="n"/>
      <c r="Q629" s="128" t="n"/>
      <c r="R629" s="128" t="n"/>
      <c r="S629" s="128" t="n"/>
      <c r="T629" s="128" t="n"/>
    </row>
    <row r="630" ht="15.75" customHeight="1">
      <c r="A630" s="474" t="inlineStr">
        <is>
          <t>JANITOR</t>
        </is>
      </c>
      <c r="B630" s="197" t="n">
        <v>0</v>
      </c>
      <c r="C630" s="477" t="n">
        <v>1</v>
      </c>
      <c r="D630" s="483" t="n">
        <v>0</v>
      </c>
      <c r="E630" s="296" t="inlineStr">
        <is>
          <t>DHARMENDRA CHAUHAN PHULENA CHAUHAN</t>
        </is>
      </c>
      <c r="F630" s="171" t="inlineStr">
        <is>
          <t>SOFT SERVICE</t>
        </is>
      </c>
      <c r="G630" s="172" t="n">
        <v>103464</v>
      </c>
      <c r="H630" s="417" t="n">
        <v>2430959433</v>
      </c>
      <c r="I630" s="174" t="inlineStr">
        <is>
          <t>Additional</t>
        </is>
      </c>
      <c r="J630" s="522" t="n">
        <v>45702</v>
      </c>
      <c r="K630" s="175" t="inlineStr">
        <is>
          <t>MEHAN (RENTAL)</t>
        </is>
      </c>
      <c r="L630" s="208" t="n"/>
      <c r="N630" s="128" t="n"/>
      <c r="O630" s="128" t="n"/>
      <c r="P630" s="128" t="n"/>
      <c r="Q630" s="128" t="n"/>
      <c r="R630" s="128" t="n"/>
      <c r="S630" s="128" t="n"/>
      <c r="T630" s="128" t="n"/>
    </row>
    <row r="631" ht="15.75" customHeight="1">
      <c r="A631" s="474" t="inlineStr">
        <is>
          <t>LAND SCAPE ENGINEER</t>
        </is>
      </c>
      <c r="B631" s="197" t="n">
        <v>0</v>
      </c>
      <c r="C631" s="477" t="n">
        <v>1</v>
      </c>
      <c r="D631" s="483" t="n">
        <v>0</v>
      </c>
      <c r="E631" s="296" t="inlineStr">
        <is>
          <t>MUHAMMAD SIDDIQUE</t>
        </is>
      </c>
      <c r="F631" s="171" t="inlineStr">
        <is>
          <t>SOFT SERVICE</t>
        </is>
      </c>
      <c r="G631" s="172" t="n">
        <v>703185</v>
      </c>
      <c r="H631" s="417" t="n">
        <v>2576492140</v>
      </c>
      <c r="I631" s="174" t="inlineStr">
        <is>
          <t>Additional</t>
        </is>
      </c>
      <c r="J631" s="522" t="n">
        <v>45902</v>
      </c>
      <c r="K631" s="175" t="inlineStr">
        <is>
          <t>FMCO</t>
        </is>
      </c>
      <c r="L631" s="208" t="n"/>
      <c r="N631" s="128" t="n"/>
      <c r="O631" s="128" t="n"/>
      <c r="P631" s="128" t="n"/>
      <c r="Q631" s="128" t="n"/>
      <c r="R631" s="128" t="n"/>
      <c r="S631" s="128" t="n"/>
      <c r="T631" s="128" t="n"/>
    </row>
    <row r="632" ht="15.75" customHeight="1">
      <c r="A632" s="474" t="inlineStr">
        <is>
          <t>HELPDESK OPERATOR</t>
        </is>
      </c>
      <c r="B632" s="197" t="n">
        <v>0</v>
      </c>
      <c r="C632" s="477" t="n">
        <v>1</v>
      </c>
      <c r="D632" s="483" t="n">
        <v>0</v>
      </c>
      <c r="E632" s="296" t="inlineStr">
        <is>
          <t>ALMUTAIRI YARA NAHI M</t>
        </is>
      </c>
      <c r="F632" s="171" t="inlineStr">
        <is>
          <t>SUPPORT SERVICES</t>
        </is>
      </c>
      <c r="G632" s="172" t="n">
        <v>704454</v>
      </c>
      <c r="H632" s="417" t="n">
        <v>1118559333</v>
      </c>
      <c r="I632" s="174" t="inlineStr">
        <is>
          <t>Additional</t>
        </is>
      </c>
      <c r="J632" s="522" t="n">
        <v>46229</v>
      </c>
      <c r="K632" s="175" t="inlineStr">
        <is>
          <t>FMCO</t>
        </is>
      </c>
      <c r="L632" s="208" t="n"/>
      <c r="N632" s="128" t="n"/>
      <c r="O632" s="128" t="n"/>
      <c r="P632" s="128" t="n"/>
      <c r="Q632" s="128" t="n"/>
      <c r="R632" s="128" t="n"/>
      <c r="S632" s="128" t="n"/>
      <c r="T632" s="128" t="n"/>
    </row>
    <row r="633" ht="15.75" customHeight="1">
      <c r="A633" s="474" t="inlineStr">
        <is>
          <t>Tailor</t>
        </is>
      </c>
      <c r="B633" s="197" t="n">
        <v>0</v>
      </c>
      <c r="C633" s="477">
        <f>COUNTIF(E633,"&lt;&gt;")</f>
        <v/>
      </c>
      <c r="D633" s="483" t="n">
        <v>0</v>
      </c>
      <c r="E633" s="474" t="inlineStr">
        <is>
          <t>Sikandar Ali</t>
        </is>
      </c>
      <c r="F633" s="171" t="inlineStr">
        <is>
          <t>Soft Service</t>
        </is>
      </c>
      <c r="G633" s="171" t="inlineStr">
        <is>
          <t>C00937</t>
        </is>
      </c>
      <c r="H633" s="417" t="n">
        <v>2600062562</v>
      </c>
      <c r="I633" s="210" t="inlineStr">
        <is>
          <t>Additional</t>
        </is>
      </c>
      <c r="J633" s="522" t="n">
        <v>45757</v>
      </c>
      <c r="K633" s="175" t="inlineStr">
        <is>
          <t>MEHAN VISA</t>
        </is>
      </c>
      <c r="L633" s="208" t="inlineStr">
        <is>
          <t>-</t>
        </is>
      </c>
      <c r="N633" s="128" t="n"/>
      <c r="O633" s="128" t="n"/>
      <c r="P633" s="128" t="n"/>
      <c r="Q633" s="128" t="n"/>
      <c r="R633" s="128" t="n"/>
      <c r="S633" s="128" t="n"/>
      <c r="T633" s="128" t="n"/>
    </row>
    <row r="634" ht="27.75" customHeight="1">
      <c r="A634" s="211" t="inlineStr">
        <is>
          <t>CAFM OPERATOR</t>
        </is>
      </c>
      <c r="B634" s="211" t="n">
        <v>0</v>
      </c>
      <c r="C634" s="211" t="inlineStr">
        <is>
          <t>Approved</t>
        </is>
      </c>
      <c r="D634" s="211" t="inlineStr">
        <is>
          <t>Vacant Position</t>
        </is>
      </c>
      <c r="E634" s="212" t="inlineStr">
        <is>
          <t>FARHAN SULTAN AHMED SHAIKH</t>
        </is>
      </c>
      <c r="F634" s="213" t="inlineStr">
        <is>
          <t>SUPPORT SERVICES</t>
        </is>
      </c>
      <c r="G634" s="213" t="inlineStr">
        <is>
          <t>EM-0001930</t>
        </is>
      </c>
      <c r="H634" s="213" t="inlineStr">
        <is>
          <t>2583855685</t>
        </is>
      </c>
      <c r="I634" s="212" t="inlineStr">
        <is>
          <t>Additional</t>
        </is>
      </c>
      <c r="J634" s="527" t="n">
        <v>45586</v>
      </c>
      <c r="K634" s="214" t="inlineStr">
        <is>
          <t>AL-FALAK VISA</t>
        </is>
      </c>
      <c r="L634" s="213" t="inlineStr">
        <is>
          <t>Remark/Notes</t>
        </is>
      </c>
      <c r="N634" s="128" t="n"/>
      <c r="O634" s="128" t="n"/>
      <c r="P634" s="128" t="n"/>
      <c r="Q634" s="128" t="n"/>
      <c r="R634" s="128" t="n"/>
      <c r="S634" s="128" t="n"/>
      <c r="T634" s="128" t="n"/>
    </row>
    <row r="635" ht="15.75" customHeight="1">
      <c r="A635" s="273" t="inlineStr">
        <is>
          <t>CLEANER</t>
        </is>
      </c>
      <c r="B635" s="273" t="n">
        <v>0</v>
      </c>
      <c r="C635" s="273">
        <f>COUNTIF(I524:I633,"Approved")</f>
        <v/>
      </c>
      <c r="D635" s="273">
        <f>COUNTIF(I524:I633,"Approved")</f>
        <v/>
      </c>
      <c r="E635" s="273" t="inlineStr">
        <is>
          <t>MOHAMMAD   SHAKIL</t>
        </is>
      </c>
      <c r="F635" s="274" t="inlineStr">
        <is>
          <t>SOFT SERVICE</t>
        </is>
      </c>
      <c r="G635" s="274" t="inlineStr">
        <is>
          <t>R05354</t>
        </is>
      </c>
      <c r="H635" s="274" t="inlineStr">
        <is>
          <t>2520583291</t>
        </is>
      </c>
      <c r="I635" s="275" t="inlineStr">
        <is>
          <t>Additional</t>
        </is>
      </c>
      <c r="J635" s="528" t="n">
        <v>45592</v>
      </c>
      <c r="K635" s="275" t="inlineStr">
        <is>
          <t>MEHAN (RENTAL)</t>
        </is>
      </c>
      <c r="L635" s="275" t="n"/>
      <c r="N635" s="128" t="n"/>
      <c r="O635" s="128" t="n"/>
      <c r="P635" s="128" t="n"/>
      <c r="Q635" s="128" t="n"/>
      <c r="R635" s="128" t="n"/>
      <c r="S635" s="128" t="n"/>
      <c r="T635" s="128" t="n"/>
    </row>
    <row r="636">
      <c r="H636" s="131" t="n"/>
      <c r="I636" s="128" t="n"/>
      <c r="J636" s="132" t="n"/>
      <c r="K636" s="132" t="n"/>
      <c r="L636" s="132" t="n"/>
      <c r="M636" s="132" t="n"/>
    </row>
    <row r="637">
      <c r="H637" s="131" t="n"/>
      <c r="I637" s="128" t="n"/>
      <c r="J637" s="132" t="n"/>
      <c r="K637" s="132" t="n"/>
      <c r="L637" s="132" t="n"/>
      <c r="M637" s="132" t="n"/>
    </row>
    <row r="638">
      <c r="H638" s="131" t="n"/>
      <c r="I638" s="128" t="n"/>
      <c r="J638" s="132" t="n"/>
      <c r="K638" s="132" t="n"/>
      <c r="L638" s="132" t="n"/>
      <c r="M638" s="132" t="n"/>
    </row>
    <row r="639">
      <c r="H639" s="131" t="n"/>
      <c r="I639" s="128" t="n"/>
      <c r="J639" s="132" t="n"/>
      <c r="K639" s="132" t="n"/>
      <c r="L639" s="132" t="n"/>
      <c r="M639" s="132" t="n"/>
    </row>
    <row r="640">
      <c r="H640" s="131" t="n"/>
      <c r="I640" s="128" t="n"/>
      <c r="J640" s="132" t="n"/>
      <c r="K640" s="132" t="n"/>
      <c r="L640" s="132" t="n"/>
      <c r="M640" s="132" t="n"/>
    </row>
    <row r="641">
      <c r="H641" s="131" t="n"/>
      <c r="I641" s="128" t="n"/>
      <c r="J641" s="132" t="n"/>
      <c r="K641" s="132" t="n"/>
      <c r="L641" s="132" t="n"/>
      <c r="M641" s="132" t="n"/>
    </row>
    <row r="642">
      <c r="H642" s="131" t="n"/>
      <c r="I642" s="128" t="n"/>
      <c r="J642" s="132" t="n"/>
      <c r="K642" s="132" t="n"/>
      <c r="L642" s="132" t="n"/>
      <c r="M642" s="132" t="n"/>
    </row>
    <row r="643">
      <c r="H643" s="131" t="n"/>
      <c r="I643" s="128" t="n"/>
      <c r="J643" s="132" t="n"/>
      <c r="K643" s="132" t="n"/>
      <c r="L643" s="132" t="n"/>
      <c r="M643" s="132" t="n"/>
    </row>
    <row r="644">
      <c r="H644" s="131" t="n"/>
      <c r="I644" s="128" t="n"/>
      <c r="J644" s="132" t="n"/>
      <c r="K644" s="132" t="n"/>
      <c r="L644" s="132" t="n"/>
      <c r="M644" s="132" t="n"/>
    </row>
    <row r="645">
      <c r="H645" s="131" t="n"/>
      <c r="I645" s="128" t="n"/>
      <c r="J645" s="132" t="n"/>
      <c r="K645" s="132" t="n"/>
      <c r="L645" s="132" t="n"/>
      <c r="M645" s="132" t="n"/>
    </row>
    <row r="646">
      <c r="H646" s="131" t="n"/>
      <c r="I646" s="128" t="n"/>
      <c r="J646" s="132" t="n"/>
      <c r="K646" s="132" t="n"/>
      <c r="L646" s="132" t="n"/>
      <c r="M646" s="132" t="n"/>
    </row>
    <row r="647">
      <c r="H647" s="131" t="n"/>
      <c r="I647" s="128" t="n"/>
      <c r="J647" s="132" t="n"/>
      <c r="K647" s="132" t="n"/>
      <c r="L647" s="132" t="n"/>
      <c r="M647" s="132" t="n"/>
    </row>
    <row r="648">
      <c r="H648" s="131" t="n"/>
      <c r="I648" s="128" t="n"/>
      <c r="J648" s="132" t="n"/>
      <c r="K648" s="132" t="n"/>
      <c r="L648" s="132" t="n"/>
      <c r="M648" s="132" t="n"/>
    </row>
    <row r="649">
      <c r="H649" s="131" t="n"/>
      <c r="I649" s="128" t="n"/>
      <c r="J649" s="132" t="n"/>
      <c r="K649" s="132" t="n"/>
      <c r="L649" s="132" t="n"/>
      <c r="M649" s="132" t="n"/>
    </row>
    <row r="650">
      <c r="H650" s="131" t="n"/>
      <c r="I650" s="128" t="n"/>
      <c r="J650" s="132" t="n"/>
      <c r="K650" s="132" t="n"/>
      <c r="L650" s="132" t="n"/>
      <c r="M650" s="132" t="n"/>
    </row>
    <row r="651">
      <c r="H651" s="131" t="n"/>
      <c r="I651" s="128" t="n"/>
      <c r="J651" s="132" t="n"/>
      <c r="K651" s="132" t="n"/>
      <c r="L651" s="132" t="n"/>
      <c r="M651" s="132" t="n"/>
    </row>
    <row r="652">
      <c r="H652" s="131" t="n"/>
      <c r="I652" s="128" t="n"/>
      <c r="J652" s="132" t="n"/>
      <c r="K652" s="132" t="n"/>
      <c r="L652" s="132" t="n"/>
      <c r="M652" s="132" t="n"/>
    </row>
    <row r="653">
      <c r="H653" s="131" t="n"/>
      <c r="I653" s="128" t="n"/>
      <c r="J653" s="132" t="n"/>
      <c r="K653" s="132" t="n"/>
      <c r="L653" s="132" t="n"/>
      <c r="M653" s="132" t="n"/>
    </row>
    <row r="654">
      <c r="H654" s="131" t="n"/>
      <c r="I654" s="128" t="n"/>
      <c r="J654" s="132" t="n"/>
      <c r="K654" s="132" t="n"/>
      <c r="L654" s="132" t="n"/>
      <c r="M654" s="132" t="n"/>
    </row>
    <row r="655">
      <c r="H655" s="129" t="n"/>
      <c r="I655" s="131" t="n"/>
      <c r="J655" s="128" t="n"/>
      <c r="K655" s="132" t="n"/>
      <c r="L655" s="132" t="n"/>
      <c r="M655" s="132" t="n"/>
    </row>
    <row r="656">
      <c r="H656" s="129" t="n"/>
      <c r="I656" s="131" t="n"/>
      <c r="J656" s="128" t="n"/>
      <c r="K656" s="132" t="n"/>
      <c r="L656" s="132" t="n"/>
      <c r="M656" s="132" t="n"/>
    </row>
    <row r="657">
      <c r="H657" s="129" t="n"/>
      <c r="I657" s="131" t="n"/>
      <c r="J657" s="128" t="n"/>
      <c r="K657" s="132" t="n"/>
      <c r="L657" s="132" t="n"/>
      <c r="M657" s="132" t="n"/>
    </row>
    <row r="658">
      <c r="H658" s="129" t="n"/>
      <c r="I658" s="131" t="n"/>
      <c r="J658" s="128" t="n"/>
      <c r="K658" s="132" t="n"/>
      <c r="L658" s="132" t="n"/>
      <c r="M658" s="132" t="n"/>
    </row>
    <row r="659">
      <c r="H659" s="129" t="n"/>
      <c r="I659" s="131" t="n"/>
      <c r="J659" s="128" t="n"/>
      <c r="K659" s="132" t="n"/>
      <c r="L659" s="132" t="n"/>
      <c r="M659" s="132" t="n"/>
    </row>
    <row r="660">
      <c r="H660" s="129" t="n"/>
      <c r="I660" s="131" t="n"/>
      <c r="J660" s="128" t="n"/>
      <c r="K660" s="132" t="n"/>
      <c r="L660" s="132" t="n"/>
      <c r="M660" s="132" t="n"/>
    </row>
    <row r="661">
      <c r="H661" s="129" t="n"/>
      <c r="I661" s="131" t="n"/>
      <c r="J661" s="128" t="n"/>
      <c r="K661" s="132" t="n"/>
      <c r="L661" s="132" t="n"/>
      <c r="M661" s="132" t="n"/>
    </row>
    <row r="662">
      <c r="H662" s="129" t="n"/>
      <c r="I662" s="131" t="n"/>
      <c r="J662" s="128" t="n"/>
      <c r="K662" s="132" t="n"/>
      <c r="L662" s="132" t="n"/>
      <c r="M662" s="132" t="n"/>
    </row>
    <row r="663">
      <c r="H663" s="129" t="n"/>
      <c r="I663" s="131" t="n"/>
      <c r="J663" s="128" t="n"/>
      <c r="K663" s="132" t="n"/>
      <c r="L663" s="132" t="n"/>
      <c r="M663" s="132" t="n"/>
    </row>
    <row r="664">
      <c r="H664" s="129" t="n"/>
      <c r="I664" s="131" t="n"/>
      <c r="J664" s="128" t="n"/>
      <c r="K664" s="132" t="n"/>
      <c r="L664" s="132" t="n"/>
      <c r="M664" s="132" t="n"/>
    </row>
    <row r="665">
      <c r="H665" s="129" t="n"/>
      <c r="I665" s="131" t="n"/>
      <c r="J665" s="128" t="n"/>
      <c r="K665" s="132" t="n"/>
      <c r="L665" s="132" t="n"/>
      <c r="M665" s="132" t="n"/>
    </row>
    <row r="666">
      <c r="H666" s="129" t="n"/>
      <c r="I666" s="131" t="n"/>
      <c r="J666" s="128" t="n"/>
      <c r="K666" s="132" t="n"/>
      <c r="L666" s="132" t="n"/>
      <c r="M666" s="132" t="n"/>
    </row>
    <row r="667">
      <c r="H667" s="129" t="n"/>
      <c r="I667" s="131" t="n"/>
      <c r="J667" s="128" t="n"/>
      <c r="K667" s="132" t="n"/>
      <c r="L667" s="132" t="n"/>
      <c r="M667" s="132" t="n"/>
    </row>
    <row r="668">
      <c r="H668" s="129" t="n"/>
      <c r="I668" s="131" t="n"/>
      <c r="J668" s="128" t="n"/>
      <c r="K668" s="132" t="n"/>
      <c r="L668" s="132" t="n"/>
      <c r="M668" s="132" t="n"/>
    </row>
    <row r="669">
      <c r="H669" s="129" t="n"/>
      <c r="I669" s="131" t="n"/>
      <c r="J669" s="128" t="n"/>
      <c r="K669" s="132" t="n"/>
      <c r="L669" s="132" t="n"/>
      <c r="M669" s="132" t="n"/>
    </row>
    <row r="670">
      <c r="H670" s="129" t="n"/>
      <c r="I670" s="131" t="n"/>
      <c r="J670" s="128" t="n"/>
      <c r="K670" s="132" t="n"/>
      <c r="L670" s="132" t="n"/>
      <c r="M670" s="132" t="n"/>
    </row>
    <row r="671">
      <c r="H671" s="129" t="n"/>
      <c r="I671" s="131" t="n"/>
      <c r="J671" s="128" t="n"/>
      <c r="K671" s="132" t="n"/>
      <c r="L671" s="132" t="n"/>
      <c r="M671" s="132" t="n"/>
    </row>
    <row r="672">
      <c r="H672" s="129" t="n"/>
      <c r="I672" s="131" t="n"/>
      <c r="J672" s="128" t="n"/>
      <c r="K672" s="132" t="n"/>
      <c r="L672" s="132" t="n"/>
      <c r="M672" s="132" t="n"/>
    </row>
    <row r="673">
      <c r="H673" s="129" t="n"/>
      <c r="I673" s="131" t="n"/>
      <c r="J673" s="128" t="n"/>
      <c r="K673" s="132" t="n"/>
      <c r="L673" s="132" t="n"/>
      <c r="M673" s="132" t="n"/>
    </row>
    <row r="674">
      <c r="H674" s="129" t="n"/>
      <c r="I674" s="131" t="n"/>
      <c r="J674" s="128" t="n"/>
      <c r="K674" s="132" t="n"/>
      <c r="L674" s="132" t="n"/>
      <c r="M674" s="132" t="n"/>
    </row>
    <row r="675">
      <c r="H675" s="129" t="n"/>
      <c r="I675" s="131" t="n"/>
      <c r="J675" s="128" t="n"/>
      <c r="K675" s="132" t="n"/>
      <c r="L675" s="132" t="n"/>
      <c r="M675" s="132" t="n"/>
    </row>
    <row r="676">
      <c r="H676" s="129" t="n"/>
      <c r="I676" s="131" t="n"/>
      <c r="J676" s="128" t="n"/>
      <c r="K676" s="132" t="n"/>
      <c r="L676" s="132" t="n"/>
      <c r="M676" s="132" t="n"/>
    </row>
    <row r="677">
      <c r="H677" s="129" t="n"/>
      <c r="I677" s="131" t="n"/>
      <c r="J677" s="128" t="n"/>
      <c r="K677" s="132" t="n"/>
      <c r="L677" s="132" t="n"/>
      <c r="M677" s="132" t="n"/>
    </row>
    <row r="678">
      <c r="H678" s="129" t="n"/>
      <c r="I678" s="131" t="n"/>
      <c r="J678" s="128" t="n"/>
      <c r="K678" s="132" t="n"/>
      <c r="L678" s="132" t="n"/>
      <c r="M678" s="132" t="n"/>
    </row>
    <row r="679">
      <c r="H679" s="129" t="n"/>
      <c r="I679" s="131" t="n"/>
      <c r="J679" s="128" t="n"/>
      <c r="K679" s="132" t="n"/>
      <c r="L679" s="132" t="n"/>
      <c r="M679" s="132" t="n"/>
    </row>
    <row r="680">
      <c r="H680" s="129" t="n"/>
      <c r="I680" s="131" t="n"/>
      <c r="J680" s="128" t="n"/>
      <c r="K680" s="132" t="n"/>
      <c r="L680" s="132" t="n"/>
      <c r="M680" s="132" t="n"/>
    </row>
    <row r="681">
      <c r="H681" s="129" t="n"/>
      <c r="I681" s="131" t="n"/>
      <c r="J681" s="128" t="n"/>
      <c r="K681" s="132" t="n"/>
      <c r="L681" s="132" t="n"/>
      <c r="M681" s="132" t="n"/>
    </row>
    <row r="682">
      <c r="H682" s="129" t="n"/>
      <c r="I682" s="131" t="n"/>
      <c r="J682" s="128" t="n"/>
      <c r="K682" s="132" t="n"/>
      <c r="L682" s="132" t="n"/>
      <c r="M682" s="132" t="n"/>
    </row>
    <row r="683">
      <c r="H683" s="129" t="n"/>
      <c r="I683" s="131" t="n"/>
      <c r="J683" s="128" t="n"/>
      <c r="K683" s="132" t="n"/>
      <c r="L683" s="132" t="n"/>
      <c r="M683" s="132" t="n"/>
    </row>
    <row r="684">
      <c r="H684" s="129" t="n"/>
      <c r="I684" s="131" t="n"/>
      <c r="J684" s="128" t="n"/>
      <c r="K684" s="132" t="n"/>
      <c r="L684" s="132" t="n"/>
      <c r="M684" s="132" t="n"/>
    </row>
    <row r="685">
      <c r="H685" s="129" t="n"/>
      <c r="I685" s="131" t="n"/>
      <c r="J685" s="128" t="n"/>
      <c r="K685" s="132" t="n"/>
      <c r="L685" s="132" t="n"/>
      <c r="M685" s="132" t="n"/>
    </row>
    <row r="686">
      <c r="H686" s="129" t="n"/>
      <c r="I686" s="131" t="n"/>
      <c r="J686" s="128" t="n"/>
      <c r="K686" s="132" t="n"/>
      <c r="L686" s="132" t="n"/>
      <c r="M686" s="132" t="n"/>
    </row>
    <row r="687">
      <c r="H687" s="129" t="n"/>
      <c r="I687" s="131" t="n"/>
      <c r="J687" s="128" t="n"/>
      <c r="K687" s="132" t="n"/>
      <c r="L687" s="132" t="n"/>
      <c r="M687" s="132" t="n"/>
    </row>
    <row r="688">
      <c r="H688" s="129" t="n"/>
      <c r="I688" s="131" t="n"/>
      <c r="J688" s="128" t="n"/>
      <c r="K688" s="132" t="n"/>
      <c r="L688" s="132" t="n"/>
      <c r="M688" s="132" t="n"/>
    </row>
    <row r="689">
      <c r="H689" s="129" t="n"/>
      <c r="I689" s="131" t="n"/>
      <c r="J689" s="128" t="n"/>
      <c r="K689" s="132" t="n"/>
      <c r="L689" s="132" t="n"/>
      <c r="M689" s="132" t="n"/>
    </row>
    <row r="690">
      <c r="H690" s="129" t="n"/>
      <c r="I690" s="131" t="n"/>
      <c r="J690" s="128" t="n"/>
      <c r="K690" s="132" t="n"/>
      <c r="L690" s="132" t="n"/>
      <c r="M690" s="132" t="n"/>
    </row>
    <row r="691">
      <c r="H691" s="129" t="n"/>
      <c r="I691" s="131" t="n"/>
      <c r="J691" s="128" t="n"/>
      <c r="K691" s="132" t="n"/>
      <c r="L691" s="132" t="n"/>
      <c r="M691" s="132" t="n"/>
    </row>
    <row r="692">
      <c r="H692" s="129" t="n"/>
      <c r="I692" s="131" t="n"/>
      <c r="J692" s="128" t="n"/>
      <c r="K692" s="132" t="n"/>
      <c r="L692" s="132" t="n"/>
      <c r="M692" s="132" t="n"/>
    </row>
    <row r="693">
      <c r="H693" s="129" t="n"/>
      <c r="I693" s="131" t="n"/>
      <c r="J693" s="128" t="n"/>
      <c r="K693" s="132" t="n"/>
      <c r="L693" s="132" t="n"/>
      <c r="M693" s="132" t="n"/>
    </row>
    <row r="694">
      <c r="H694" s="129" t="n"/>
      <c r="I694" s="131" t="n"/>
      <c r="J694" s="128" t="n"/>
      <c r="K694" s="132" t="n"/>
      <c r="L694" s="132" t="n"/>
      <c r="M694" s="132" t="n"/>
    </row>
    <row r="695">
      <c r="H695" s="129" t="n"/>
      <c r="I695" s="131" t="n"/>
      <c r="J695" s="128" t="n"/>
      <c r="K695" s="132" t="n"/>
      <c r="L695" s="132" t="n"/>
      <c r="M695" s="132" t="n"/>
    </row>
    <row r="696">
      <c r="H696" s="129" t="n"/>
      <c r="I696" s="131" t="n"/>
      <c r="J696" s="128" t="n"/>
      <c r="K696" s="132" t="n"/>
      <c r="L696" s="132" t="n"/>
      <c r="M696" s="132" t="n"/>
    </row>
    <row r="697">
      <c r="H697" s="129" t="n"/>
      <c r="I697" s="131" t="n"/>
      <c r="J697" s="128" t="n"/>
      <c r="K697" s="132" t="n"/>
      <c r="L697" s="132" t="n"/>
      <c r="M697" s="132" t="n"/>
    </row>
    <row r="698">
      <c r="H698" s="129" t="n"/>
      <c r="I698" s="131" t="n"/>
      <c r="J698" s="128" t="n"/>
      <c r="K698" s="132" t="n"/>
      <c r="L698" s="132" t="n"/>
      <c r="M698" s="132" t="n"/>
    </row>
    <row r="699">
      <c r="H699" s="129" t="n"/>
      <c r="I699" s="131" t="n"/>
      <c r="J699" s="128" t="n"/>
      <c r="K699" s="132" t="n"/>
      <c r="L699" s="132" t="n"/>
      <c r="M699" s="132" t="n"/>
    </row>
    <row r="700">
      <c r="H700" s="129" t="n"/>
      <c r="I700" s="131" t="n"/>
      <c r="J700" s="128" t="n"/>
      <c r="K700" s="132" t="n"/>
      <c r="L700" s="132" t="n"/>
      <c r="M700" s="132" t="n"/>
    </row>
    <row r="701">
      <c r="H701" s="129" t="n"/>
      <c r="I701" s="131" t="n"/>
      <c r="J701" s="128" t="n"/>
      <c r="K701" s="132" t="n"/>
      <c r="L701" s="132" t="n"/>
      <c r="M701" s="132" t="n"/>
    </row>
    <row r="702">
      <c r="H702" s="129" t="n"/>
      <c r="I702" s="131" t="n"/>
      <c r="J702" s="128" t="n"/>
      <c r="K702" s="132" t="n"/>
      <c r="L702" s="132" t="n"/>
      <c r="M702" s="132" t="n"/>
    </row>
    <row r="703">
      <c r="H703" s="129" t="n"/>
      <c r="I703" s="131" t="n"/>
      <c r="J703" s="128" t="n"/>
      <c r="K703" s="132" t="n"/>
      <c r="L703" s="132" t="n"/>
      <c r="M703" s="132" t="n"/>
    </row>
    <row r="704">
      <c r="H704" s="129" t="n"/>
      <c r="I704" s="131" t="n"/>
      <c r="J704" s="128" t="n"/>
      <c r="K704" s="132" t="n"/>
      <c r="L704" s="132" t="n"/>
      <c r="M704" s="132" t="n"/>
    </row>
    <row r="705">
      <c r="H705" s="129" t="n"/>
      <c r="I705" s="131" t="n"/>
      <c r="J705" s="128" t="n"/>
      <c r="K705" s="132" t="n"/>
      <c r="L705" s="132" t="n"/>
      <c r="M705" s="132" t="n"/>
    </row>
    <row r="706">
      <c r="H706" s="129" t="n"/>
      <c r="I706" s="131" t="n"/>
      <c r="J706" s="128" t="n"/>
      <c r="K706" s="132" t="n"/>
      <c r="L706" s="132" t="n"/>
      <c r="M706" s="132" t="n"/>
    </row>
    <row r="707">
      <c r="H707" s="129" t="n"/>
      <c r="I707" s="131" t="n"/>
      <c r="J707" s="128" t="n"/>
      <c r="K707" s="132" t="n"/>
      <c r="L707" s="132" t="n"/>
      <c r="M707" s="132" t="n"/>
    </row>
    <row r="708">
      <c r="H708" s="129" t="n"/>
      <c r="I708" s="131" t="n"/>
      <c r="J708" s="128" t="n"/>
      <c r="K708" s="132" t="n"/>
      <c r="L708" s="132" t="n"/>
      <c r="M708" s="132" t="n"/>
    </row>
    <row r="709">
      <c r="H709" s="129" t="n"/>
      <c r="I709" s="131" t="n"/>
      <c r="J709" s="128" t="n"/>
      <c r="K709" s="132" t="n"/>
      <c r="L709" s="132" t="n"/>
      <c r="M709" s="132" t="n"/>
    </row>
    <row r="710">
      <c r="H710" s="129" t="n"/>
      <c r="I710" s="131" t="n"/>
      <c r="J710" s="128" t="n"/>
      <c r="K710" s="132" t="n"/>
      <c r="L710" s="132" t="n"/>
      <c r="M710" s="132" t="n"/>
    </row>
    <row r="711">
      <c r="H711" s="129" t="n"/>
      <c r="I711" s="131" t="n"/>
      <c r="J711" s="128" t="n"/>
      <c r="K711" s="132" t="n"/>
      <c r="L711" s="132" t="n"/>
      <c r="M711" s="132" t="n"/>
    </row>
    <row r="712">
      <c r="H712" s="129" t="n"/>
      <c r="I712" s="131" t="n"/>
      <c r="J712" s="128" t="n"/>
      <c r="K712" s="132" t="n"/>
      <c r="L712" s="132" t="n"/>
      <c r="M712" s="132" t="n"/>
    </row>
    <row r="713">
      <c r="H713" s="129" t="n"/>
      <c r="I713" s="131" t="n"/>
      <c r="J713" s="128" t="n"/>
      <c r="K713" s="132" t="n"/>
      <c r="L713" s="132" t="n"/>
      <c r="M713" s="132" t="n"/>
    </row>
    <row r="714">
      <c r="H714" s="129" t="n"/>
      <c r="I714" s="131" t="n"/>
      <c r="J714" s="128" t="n"/>
      <c r="K714" s="132" t="n"/>
      <c r="L714" s="132" t="n"/>
      <c r="M714" s="132" t="n"/>
    </row>
    <row r="715">
      <c r="H715" s="129" t="n"/>
      <c r="I715" s="131" t="n"/>
      <c r="J715" s="128" t="n"/>
      <c r="K715" s="132" t="n"/>
      <c r="L715" s="132" t="n"/>
      <c r="M715" s="132" t="n"/>
    </row>
    <row r="716">
      <c r="H716" s="514" t="n"/>
      <c r="J716" s="131" t="n"/>
      <c r="K716" s="128" t="n"/>
      <c r="L716" s="132" t="n"/>
      <c r="M716" s="132" t="n"/>
    </row>
    <row r="717">
      <c r="H717" s="514" t="n"/>
      <c r="J717" s="131" t="n"/>
      <c r="K717" s="128" t="n"/>
      <c r="L717" s="132" t="n"/>
      <c r="M717" s="132" t="n"/>
    </row>
    <row r="718">
      <c r="H718" s="514" t="n"/>
      <c r="J718" s="131" t="n"/>
      <c r="K718" s="128" t="n"/>
      <c r="L718" s="132" t="n"/>
      <c r="M718" s="132" t="n"/>
    </row>
    <row r="719">
      <c r="H719" s="514" t="n"/>
      <c r="J719" s="131" t="n"/>
      <c r="K719" s="128" t="n"/>
      <c r="L719" s="132" t="n"/>
      <c r="M719" s="132" t="n"/>
    </row>
    <row r="720">
      <c r="H720" s="514" t="n"/>
      <c r="J720" s="131" t="n"/>
      <c r="K720" s="128" t="n"/>
      <c r="L720" s="132" t="n"/>
      <c r="M720" s="132" t="n"/>
    </row>
    <row r="721">
      <c r="H721" s="514" t="n"/>
      <c r="J721" s="131" t="n"/>
      <c r="K721" s="128" t="n"/>
      <c r="L721" s="132" t="n"/>
      <c r="M721" s="132" t="n"/>
    </row>
    <row r="722">
      <c r="H722" s="514" t="n"/>
      <c r="J722" s="131" t="n"/>
      <c r="K722" s="128" t="n"/>
      <c r="L722" s="132" t="n"/>
      <c r="M722" s="132" t="n"/>
    </row>
    <row r="723">
      <c r="H723" s="514" t="n"/>
      <c r="J723" s="131" t="n"/>
      <c r="K723" s="128" t="n"/>
      <c r="L723" s="132" t="n"/>
      <c r="M723" s="132" t="n"/>
    </row>
    <row r="724">
      <c r="H724" s="514" t="n"/>
      <c r="J724" s="131" t="n"/>
      <c r="K724" s="128" t="n"/>
      <c r="L724" s="132" t="n"/>
      <c r="M724" s="132" t="n"/>
    </row>
    <row r="725">
      <c r="H725" s="514" t="n"/>
      <c r="J725" s="131" t="n"/>
      <c r="K725" s="128" t="n"/>
      <c r="L725" s="132" t="n"/>
      <c r="M725" s="132" t="n"/>
    </row>
    <row r="726">
      <c r="H726" s="514" t="n"/>
      <c r="J726" s="131" t="n"/>
      <c r="K726" s="128" t="n"/>
      <c r="L726" s="132" t="n"/>
      <c r="M726" s="132" t="n"/>
    </row>
    <row r="727">
      <c r="H727" s="514" t="n"/>
      <c r="J727" s="131" t="n"/>
      <c r="K727" s="128" t="n"/>
      <c r="L727" s="132" t="n"/>
      <c r="M727" s="132" t="n"/>
    </row>
    <row r="728">
      <c r="H728" s="514" t="n"/>
      <c r="J728" s="131" t="n"/>
      <c r="K728" s="128" t="n"/>
      <c r="L728" s="132" t="n"/>
      <c r="M728" s="132" t="n"/>
    </row>
    <row r="729">
      <c r="H729" s="514" t="n"/>
      <c r="J729" s="131" t="n"/>
      <c r="K729" s="128" t="n"/>
      <c r="L729" s="132" t="n"/>
      <c r="M729" s="132" t="n"/>
    </row>
    <row r="730">
      <c r="H730" s="514" t="n"/>
      <c r="J730" s="131" t="n"/>
      <c r="K730" s="128" t="n"/>
      <c r="L730" s="132" t="n"/>
      <c r="M730" s="132" t="n"/>
    </row>
    <row r="731">
      <c r="H731" s="514" t="n"/>
      <c r="J731" s="131" t="n"/>
      <c r="K731" s="128" t="n"/>
      <c r="L731" s="132" t="n"/>
      <c r="M731" s="132" t="n"/>
    </row>
    <row r="732">
      <c r="H732" s="514" t="n"/>
      <c r="J732" s="131" t="n"/>
      <c r="K732" s="128" t="n"/>
      <c r="L732" s="132" t="n"/>
      <c r="M732" s="132" t="n"/>
    </row>
    <row r="733">
      <c r="H733" s="514" t="n"/>
      <c r="J733" s="131" t="n"/>
      <c r="K733" s="128" t="n"/>
      <c r="L733" s="132" t="n"/>
      <c r="M733" s="132" t="n"/>
    </row>
    <row r="734">
      <c r="H734" s="514" t="n"/>
      <c r="J734" s="131" t="n"/>
      <c r="K734" s="128" t="n"/>
      <c r="L734" s="132" t="n"/>
      <c r="M734" s="132" t="n"/>
    </row>
    <row r="735">
      <c r="H735" s="514" t="n"/>
      <c r="J735" s="131" t="n"/>
      <c r="K735" s="128" t="n"/>
      <c r="L735" s="132" t="n"/>
      <c r="M735" s="132" t="n"/>
    </row>
    <row r="736">
      <c r="H736" s="514" t="n"/>
      <c r="J736" s="131" t="n"/>
      <c r="K736" s="128" t="n"/>
      <c r="L736" s="132" t="n"/>
      <c r="M736" s="132" t="n"/>
    </row>
    <row r="737">
      <c r="H737" s="514" t="n"/>
      <c r="J737" s="131" t="n"/>
      <c r="K737" s="128" t="n"/>
      <c r="L737" s="132" t="n"/>
      <c r="M737" s="132" t="n"/>
    </row>
    <row r="738">
      <c r="H738" s="514" t="n"/>
      <c r="J738" s="131" t="n"/>
      <c r="K738" s="128" t="n"/>
      <c r="L738" s="132" t="n"/>
      <c r="M738" s="132" t="n"/>
    </row>
    <row r="739">
      <c r="H739" s="514" t="n"/>
      <c r="J739" s="131" t="n"/>
      <c r="K739" s="128" t="n"/>
      <c r="L739" s="132" t="n"/>
      <c r="M739" s="132" t="n"/>
    </row>
    <row r="740">
      <c r="H740" s="514" t="n"/>
      <c r="J740" s="131" t="n"/>
      <c r="K740" s="128" t="n"/>
      <c r="L740" s="132" t="n"/>
      <c r="M740" s="132" t="n"/>
    </row>
    <row r="741">
      <c r="H741" s="514" t="n"/>
      <c r="J741" s="131" t="n"/>
      <c r="K741" s="128" t="n"/>
      <c r="L741" s="132" t="n"/>
      <c r="M741" s="132" t="n"/>
    </row>
    <row r="742">
      <c r="H742" s="514" t="n"/>
      <c r="J742" s="131" t="n"/>
      <c r="K742" s="128" t="n"/>
      <c r="L742" s="132" t="n"/>
      <c r="M742" s="132" t="n"/>
    </row>
    <row r="743">
      <c r="H743" s="514" t="n"/>
      <c r="J743" s="131" t="n"/>
      <c r="K743" s="128" t="n"/>
      <c r="L743" s="132" t="n"/>
      <c r="M743" s="132" t="n"/>
    </row>
    <row r="744">
      <c r="H744" s="514" t="n"/>
      <c r="J744" s="131" t="n"/>
      <c r="K744" s="128" t="n"/>
      <c r="L744" s="132" t="n"/>
      <c r="M744" s="132" t="n"/>
    </row>
    <row r="745">
      <c r="H745" s="514" t="n"/>
      <c r="J745" s="131" t="n"/>
      <c r="K745" s="128" t="n"/>
      <c r="L745" s="132" t="n"/>
      <c r="M745" s="132" t="n"/>
    </row>
    <row r="746">
      <c r="H746" s="514" t="n"/>
      <c r="J746" s="131" t="n"/>
      <c r="K746" s="128" t="n"/>
      <c r="L746" s="132" t="n"/>
      <c r="M746" s="132" t="n"/>
    </row>
    <row r="747">
      <c r="H747" s="514" t="n"/>
      <c r="J747" s="131" t="n"/>
      <c r="K747" s="128" t="n"/>
      <c r="L747" s="132" t="n"/>
      <c r="M747" s="132" t="n"/>
    </row>
    <row r="748">
      <c r="H748" s="514" t="n"/>
      <c r="J748" s="131" t="n"/>
      <c r="K748" s="128" t="n"/>
      <c r="L748" s="132" t="n"/>
      <c r="M748" s="132" t="n"/>
    </row>
    <row r="749">
      <c r="H749" s="514" t="n"/>
      <c r="J749" s="131" t="n"/>
      <c r="K749" s="128" t="n"/>
      <c r="L749" s="132" t="n"/>
      <c r="M749" s="132" t="n"/>
    </row>
    <row r="750">
      <c r="H750" s="514" t="n"/>
      <c r="J750" s="131" t="n"/>
      <c r="K750" s="128" t="n"/>
      <c r="L750" s="132" t="n"/>
      <c r="M750" s="132" t="n"/>
    </row>
    <row r="751">
      <c r="H751" s="514" t="n"/>
      <c r="J751" s="131" t="n"/>
      <c r="K751" s="128" t="n"/>
      <c r="L751" s="132" t="n"/>
      <c r="M751" s="132" t="n"/>
    </row>
    <row r="752">
      <c r="H752" s="514" t="n"/>
      <c r="J752" s="131" t="n"/>
      <c r="K752" s="128" t="n"/>
      <c r="L752" s="132" t="n"/>
      <c r="M752" s="132" t="n"/>
    </row>
    <row r="753">
      <c r="H753" s="514" t="n"/>
      <c r="J753" s="131" t="n"/>
      <c r="K753" s="128" t="n"/>
      <c r="L753" s="132" t="n"/>
      <c r="M753" s="132" t="n"/>
    </row>
    <row r="754">
      <c r="H754" s="514" t="n"/>
      <c r="J754" s="131" t="n"/>
      <c r="K754" s="128" t="n"/>
      <c r="L754" s="132" t="n"/>
      <c r="M754" s="132" t="n"/>
    </row>
    <row r="755">
      <c r="H755" s="514" t="n"/>
      <c r="J755" s="131" t="n"/>
      <c r="K755" s="128" t="n"/>
      <c r="L755" s="132" t="n"/>
      <c r="M755" s="132" t="n"/>
    </row>
    <row r="756">
      <c r="H756" s="514" t="n"/>
      <c r="J756" s="131" t="n"/>
      <c r="K756" s="128" t="n"/>
      <c r="L756" s="132" t="n"/>
      <c r="M756" s="132" t="n"/>
    </row>
    <row r="757">
      <c r="H757" s="514" t="n"/>
      <c r="J757" s="131" t="n"/>
      <c r="K757" s="128" t="n"/>
      <c r="L757" s="132" t="n"/>
      <c r="M757" s="132" t="n"/>
    </row>
    <row r="758">
      <c r="H758" s="514" t="n"/>
      <c r="J758" s="131" t="n"/>
      <c r="K758" s="128" t="n"/>
      <c r="L758" s="132" t="n"/>
      <c r="M758" s="132" t="n"/>
    </row>
    <row r="759">
      <c r="H759" s="514" t="n"/>
      <c r="J759" s="131" t="n"/>
      <c r="K759" s="128" t="n"/>
      <c r="L759" s="132" t="n"/>
      <c r="M759" s="132" t="n"/>
    </row>
    <row r="760">
      <c r="H760" s="514" t="n"/>
      <c r="J760" s="131" t="n"/>
      <c r="K760" s="128" t="n"/>
      <c r="L760" s="132" t="n"/>
      <c r="M760" s="132" t="n"/>
    </row>
    <row r="761">
      <c r="H761" s="514" t="n"/>
      <c r="J761" s="131" t="n"/>
      <c r="K761" s="128" t="n"/>
      <c r="L761" s="132" t="n"/>
      <c r="M761" s="132" t="n"/>
    </row>
    <row r="762">
      <c r="H762" s="514" t="n"/>
      <c r="J762" s="131" t="n"/>
      <c r="K762" s="128" t="n"/>
      <c r="L762" s="132" t="n"/>
      <c r="M762" s="132" t="n"/>
    </row>
    <row r="763">
      <c r="H763" s="514" t="n"/>
      <c r="J763" s="131" t="n"/>
      <c r="K763" s="128" t="n"/>
      <c r="L763" s="132" t="n"/>
      <c r="M763" s="132" t="n"/>
    </row>
    <row r="764">
      <c r="H764" s="514" t="n"/>
      <c r="J764" s="131" t="n"/>
      <c r="K764" s="128" t="n"/>
      <c r="L764" s="132" t="n"/>
      <c r="M764" s="132" t="n"/>
    </row>
    <row r="765">
      <c r="H765" s="514" t="n"/>
      <c r="J765" s="131" t="n"/>
      <c r="K765" s="128" t="n"/>
      <c r="L765" s="132" t="n"/>
      <c r="M765" s="132" t="n"/>
    </row>
    <row r="766">
      <c r="H766" s="514" t="n"/>
      <c r="J766" s="131" t="n"/>
      <c r="K766" s="128" t="n"/>
      <c r="L766" s="132" t="n"/>
      <c r="M766" s="132" t="n"/>
    </row>
    <row r="767">
      <c r="H767" s="514" t="n"/>
      <c r="J767" s="131" t="n"/>
      <c r="K767" s="128" t="n"/>
      <c r="L767" s="132" t="n"/>
      <c r="M767" s="132" t="n"/>
    </row>
    <row r="768">
      <c r="H768" s="514" t="n"/>
      <c r="J768" s="131" t="n"/>
      <c r="K768" s="128" t="n"/>
      <c r="L768" s="132" t="n"/>
      <c r="M768" s="132" t="n"/>
    </row>
    <row r="769">
      <c r="H769" s="514" t="n"/>
      <c r="J769" s="131" t="n"/>
      <c r="K769" s="128" t="n"/>
      <c r="L769" s="132" t="n"/>
      <c r="M769" s="132" t="n"/>
    </row>
    <row r="770">
      <c r="H770" s="514" t="n"/>
      <c r="J770" s="131" t="n"/>
      <c r="K770" s="128" t="n"/>
      <c r="L770" s="132" t="n"/>
      <c r="M770" s="132" t="n"/>
    </row>
    <row r="771">
      <c r="H771" s="514" t="n"/>
      <c r="J771" s="131" t="n"/>
      <c r="K771" s="128" t="n"/>
      <c r="L771" s="132" t="n"/>
      <c r="M771" s="132" t="n"/>
    </row>
    <row r="772">
      <c r="H772" s="514" t="n"/>
      <c r="J772" s="131" t="n"/>
      <c r="K772" s="128" t="n"/>
      <c r="L772" s="132" t="n"/>
      <c r="M772" s="132" t="n"/>
    </row>
    <row r="773">
      <c r="H773" s="514" t="n"/>
      <c r="J773" s="131" t="n"/>
      <c r="K773" s="128" t="n"/>
      <c r="L773" s="132" t="n"/>
      <c r="M773" s="132" t="n"/>
    </row>
    <row r="774">
      <c r="H774" s="514" t="n"/>
      <c r="J774" s="131" t="n"/>
      <c r="K774" s="128" t="n"/>
      <c r="L774" s="132" t="n"/>
      <c r="M774" s="132" t="n"/>
    </row>
    <row r="775">
      <c r="H775" s="514" t="n"/>
      <c r="J775" s="131" t="n"/>
      <c r="K775" s="128" t="n"/>
      <c r="L775" s="132" t="n"/>
      <c r="M775" s="132" t="n"/>
    </row>
    <row r="776">
      <c r="H776" s="514" t="n"/>
      <c r="J776" s="131" t="n"/>
      <c r="K776" s="128" t="n"/>
      <c r="L776" s="132" t="n"/>
      <c r="M776" s="132" t="n"/>
    </row>
    <row r="777">
      <c r="H777" s="514" t="n"/>
      <c r="J777" s="131" t="n"/>
      <c r="K777" s="128" t="n"/>
      <c r="L777" s="132" t="n"/>
      <c r="M777" s="132" t="n"/>
    </row>
    <row r="778">
      <c r="H778" s="514" t="n"/>
      <c r="J778" s="131" t="n"/>
      <c r="K778" s="128" t="n"/>
      <c r="L778" s="132" t="n"/>
      <c r="M778" s="132" t="n"/>
    </row>
    <row r="779">
      <c r="H779" s="514" t="n"/>
      <c r="J779" s="131" t="n"/>
      <c r="K779" s="128" t="n"/>
      <c r="L779" s="132" t="n"/>
      <c r="M779" s="132" t="n"/>
    </row>
    <row r="780">
      <c r="H780" s="514" t="n"/>
      <c r="J780" s="131" t="n"/>
      <c r="K780" s="128" t="n"/>
      <c r="L780" s="132" t="n"/>
      <c r="M780" s="132" t="n"/>
    </row>
    <row r="781">
      <c r="H781" s="514" t="n"/>
      <c r="J781" s="131" t="n"/>
      <c r="K781" s="128" t="n"/>
      <c r="L781" s="132" t="n"/>
      <c r="M781" s="132" t="n"/>
    </row>
    <row r="782">
      <c r="H782" s="514" t="n"/>
      <c r="J782" s="131" t="n"/>
      <c r="K782" s="128" t="n"/>
      <c r="L782" s="132" t="n"/>
      <c r="M782" s="132" t="n"/>
    </row>
    <row r="783">
      <c r="H783" s="514" t="n"/>
      <c r="J783" s="131" t="n"/>
      <c r="K783" s="128" t="n"/>
      <c r="L783" s="132" t="n"/>
      <c r="M783" s="132" t="n"/>
    </row>
    <row r="784">
      <c r="H784" s="514" t="n"/>
      <c r="J784" s="131" t="n"/>
      <c r="K784" s="128" t="n"/>
      <c r="L784" s="132" t="n"/>
      <c r="M784" s="132" t="n"/>
    </row>
    <row r="785">
      <c r="H785" s="514" t="n"/>
      <c r="J785" s="131" t="n"/>
      <c r="K785" s="128" t="n"/>
      <c r="L785" s="132" t="n"/>
      <c r="M785" s="132" t="n"/>
    </row>
    <row r="786">
      <c r="H786" s="129" t="n"/>
      <c r="I786" s="514" t="n"/>
      <c r="J786" s="129" t="n"/>
      <c r="K786" s="131" t="n"/>
      <c r="L786" s="128" t="n"/>
      <c r="M786" s="132" t="n"/>
    </row>
    <row r="787">
      <c r="H787" s="129" t="n"/>
      <c r="I787" s="514" t="n"/>
      <c r="J787" s="129" t="n"/>
      <c r="K787" s="131" t="n"/>
      <c r="L787" s="128" t="n"/>
      <c r="M787" s="132" t="n"/>
    </row>
    <row r="788">
      <c r="H788" s="129" t="n"/>
      <c r="I788" s="514" t="n"/>
      <c r="J788" s="129" t="n"/>
      <c r="K788" s="131" t="n"/>
      <c r="L788" s="128" t="n"/>
      <c r="M788" s="132" t="n"/>
    </row>
    <row r="789">
      <c r="H789" s="129" t="n"/>
      <c r="I789" s="514" t="n"/>
      <c r="J789" s="129" t="n"/>
      <c r="K789" s="131" t="n"/>
      <c r="L789" s="128" t="n"/>
      <c r="M789" s="132" t="n"/>
    </row>
    <row r="790">
      <c r="H790" s="129" t="n"/>
      <c r="I790" s="514" t="n"/>
      <c r="J790" s="129" t="n"/>
      <c r="K790" s="131" t="n"/>
      <c r="L790" s="128" t="n"/>
      <c r="M790" s="132" t="n"/>
    </row>
    <row r="791">
      <c r="H791" s="129" t="n"/>
      <c r="I791" s="514" t="n"/>
      <c r="J791" s="129" t="n"/>
      <c r="K791" s="131" t="n"/>
      <c r="L791" s="128" t="n"/>
      <c r="M791" s="132" t="n"/>
    </row>
    <row r="792">
      <c r="H792" s="129" t="n"/>
      <c r="I792" s="514" t="n"/>
      <c r="J792" s="129" t="n"/>
      <c r="K792" s="131" t="n"/>
      <c r="L792" s="128" t="n"/>
      <c r="M792" s="132" t="n"/>
    </row>
    <row r="793">
      <c r="H793" s="129" t="n"/>
      <c r="I793" s="514" t="n"/>
      <c r="J793" s="129" t="n"/>
      <c r="K793" s="131" t="n"/>
      <c r="L793" s="128" t="n"/>
      <c r="M793" s="132" t="n"/>
    </row>
    <row r="794">
      <c r="H794" s="129" t="n"/>
      <c r="I794" s="514" t="n"/>
      <c r="J794" s="129" t="n"/>
      <c r="K794" s="131" t="n"/>
      <c r="L794" s="128" t="n"/>
      <c r="M794" s="132" t="n"/>
    </row>
    <row r="795">
      <c r="H795" s="129" t="n"/>
      <c r="I795" s="514" t="n"/>
      <c r="J795" s="129" t="n"/>
      <c r="K795" s="131" t="n"/>
      <c r="L795" s="128" t="n"/>
      <c r="M795" s="132" t="n"/>
    </row>
    <row r="796">
      <c r="H796" s="129" t="n"/>
      <c r="I796" s="514" t="n"/>
      <c r="J796" s="129" t="n"/>
      <c r="K796" s="131" t="n"/>
      <c r="L796" s="128" t="n"/>
      <c r="M796" s="132" t="n"/>
    </row>
    <row r="797">
      <c r="H797" s="129" t="n"/>
      <c r="I797" s="514" t="n"/>
      <c r="J797" s="129" t="n"/>
      <c r="K797" s="131" t="n"/>
      <c r="L797" s="128" t="n"/>
      <c r="M797" s="132" t="n"/>
    </row>
  </sheetData>
  <mergeCells count="299">
    <mergeCell ref="O7:P7"/>
    <mergeCell ref="C69:C74"/>
    <mergeCell ref="C419:C424"/>
    <mergeCell ref="A600:A609"/>
    <mergeCell ref="O6:P6"/>
    <mergeCell ref="C324:C325"/>
    <mergeCell ref="D546:D547"/>
    <mergeCell ref="B107:B124"/>
    <mergeCell ref="A506:A513"/>
    <mergeCell ref="A105:A106"/>
    <mergeCell ref="A283:A284"/>
    <mergeCell ref="A45:A48"/>
    <mergeCell ref="B53:B68"/>
    <mergeCell ref="C45:C48"/>
    <mergeCell ref="D53:D68"/>
    <mergeCell ref="B518:B519"/>
    <mergeCell ref="C532:C536"/>
    <mergeCell ref="D151:D154"/>
    <mergeCell ref="A53:A68"/>
    <mergeCell ref="B613:B623"/>
    <mergeCell ref="C407:C408"/>
    <mergeCell ref="A346:A351"/>
    <mergeCell ref="B13:B14"/>
    <mergeCell ref="D13:D14"/>
    <mergeCell ref="B600:B609"/>
    <mergeCell ref="D600:D609"/>
    <mergeCell ref="B598:B599"/>
    <mergeCell ref="D598:D599"/>
    <mergeCell ref="D283:D284"/>
    <mergeCell ref="D45:D48"/>
    <mergeCell ref="A37:A40"/>
    <mergeCell ref="C173:C174"/>
    <mergeCell ref="B28:B29"/>
    <mergeCell ref="C300:C301"/>
    <mergeCell ref="B417:B418"/>
    <mergeCell ref="C35:C36"/>
    <mergeCell ref="A598:A599"/>
    <mergeCell ref="C105:C106"/>
    <mergeCell ref="B103:B104"/>
    <mergeCell ref="D360:D395"/>
    <mergeCell ref="D103:D104"/>
    <mergeCell ref="B161:B172"/>
    <mergeCell ref="B354:B355"/>
    <mergeCell ref="C149:C150"/>
    <mergeCell ref="B69:B74"/>
    <mergeCell ref="B37:B40"/>
    <mergeCell ref="A125:A126"/>
    <mergeCell ref="A20:A21"/>
    <mergeCell ref="D430:D437"/>
    <mergeCell ref="A22:A25"/>
    <mergeCell ref="O8:P8"/>
    <mergeCell ref="B356:B357"/>
    <mergeCell ref="A35:A36"/>
    <mergeCell ref="C358:C359"/>
    <mergeCell ref="A127:A128"/>
    <mergeCell ref="B438:B445"/>
    <mergeCell ref="D544:D545"/>
    <mergeCell ref="D506:D513"/>
    <mergeCell ref="D16:D18"/>
    <mergeCell ref="A546:A547"/>
    <mergeCell ref="B26:B27"/>
    <mergeCell ref="C151:C154"/>
    <mergeCell ref="B41:B44"/>
    <mergeCell ref="A49:A52"/>
    <mergeCell ref="B35:B36"/>
    <mergeCell ref="C49:C52"/>
    <mergeCell ref="B302:B303"/>
    <mergeCell ref="C396:C397"/>
    <mergeCell ref="D302:D303"/>
    <mergeCell ref="B155:B156"/>
    <mergeCell ref="O3:P3"/>
    <mergeCell ref="C438:C445"/>
    <mergeCell ref="A402:A403"/>
    <mergeCell ref="A530:A531"/>
    <mergeCell ref="A595:A596"/>
    <mergeCell ref="A417:A418"/>
    <mergeCell ref="C402:C403"/>
    <mergeCell ref="C595:C596"/>
    <mergeCell ref="D155:D156"/>
    <mergeCell ref="D518:D519"/>
    <mergeCell ref="D149:D150"/>
    <mergeCell ref="C613:C623"/>
    <mergeCell ref="A103:A104"/>
    <mergeCell ref="B11:B12"/>
    <mergeCell ref="D11:D12"/>
    <mergeCell ref="D49:D52"/>
    <mergeCell ref="B334:B345"/>
    <mergeCell ref="B537:B542"/>
    <mergeCell ref="C285:C294"/>
    <mergeCell ref="A404:A406"/>
    <mergeCell ref="A430:A437"/>
    <mergeCell ref="A175:A190"/>
    <mergeCell ref="C22:C25"/>
    <mergeCell ref="D135:D136"/>
    <mergeCell ref="B75:B88"/>
    <mergeCell ref="A26:A27"/>
    <mergeCell ref="A296:A299"/>
    <mergeCell ref="B358:B359"/>
    <mergeCell ref="C332:C333"/>
    <mergeCell ref="A129:A130"/>
    <mergeCell ref="D125:D126"/>
    <mergeCell ref="B191:B282"/>
    <mergeCell ref="C129:C130"/>
    <mergeCell ref="A326:A331"/>
    <mergeCell ref="A550:A578"/>
    <mergeCell ref="C409:C410"/>
    <mergeCell ref="A145:A148"/>
    <mergeCell ref="D37:D40"/>
    <mergeCell ref="B127:B128"/>
    <mergeCell ref="A415:A416"/>
    <mergeCell ref="A419:A424"/>
    <mergeCell ref="A302:A303"/>
    <mergeCell ref="C415:C416"/>
    <mergeCell ref="A131:A132"/>
    <mergeCell ref="C131:C132"/>
    <mergeCell ref="A324:A325"/>
    <mergeCell ref="C89:C102"/>
    <mergeCell ref="D127:D128"/>
    <mergeCell ref="C296:C299"/>
    <mergeCell ref="A107:A124"/>
    <mergeCell ref="C107:C124"/>
    <mergeCell ref="A304:A323"/>
    <mergeCell ref="D326:D331"/>
    <mergeCell ref="D550:D578"/>
    <mergeCell ref="A532:A536"/>
    <mergeCell ref="B137:B144"/>
    <mergeCell ref="D137:D144"/>
    <mergeCell ref="A544:A545"/>
    <mergeCell ref="C544:C545"/>
    <mergeCell ref="A75:A88"/>
    <mergeCell ref="B296:B299"/>
    <mergeCell ref="C75:C88"/>
    <mergeCell ref="C404:C406"/>
    <mergeCell ref="A16:A18"/>
    <mergeCell ref="D530:D531"/>
    <mergeCell ref="A407:A408"/>
    <mergeCell ref="B324:B325"/>
    <mergeCell ref="D26:D27"/>
    <mergeCell ref="D324:D325"/>
    <mergeCell ref="C16:C18"/>
    <mergeCell ref="B506:B513"/>
    <mergeCell ref="B45:B48"/>
    <mergeCell ref="B532:B536"/>
    <mergeCell ref="A518:A519"/>
    <mergeCell ref="A173:A174"/>
    <mergeCell ref="B332:B333"/>
    <mergeCell ref="A300:A301"/>
    <mergeCell ref="A11:A12"/>
    <mergeCell ref="C103:C104"/>
    <mergeCell ref="B175:B190"/>
    <mergeCell ref="B131:B132"/>
    <mergeCell ref="D175:D190"/>
    <mergeCell ref="D131:D132"/>
    <mergeCell ref="B360:B395"/>
    <mergeCell ref="C20:C21"/>
    <mergeCell ref="C550:C578"/>
    <mergeCell ref="D334:D345"/>
    <mergeCell ref="A149:A150"/>
    <mergeCell ref="N1:P1"/>
    <mergeCell ref="A581:A591"/>
    <mergeCell ref="D300:D301"/>
    <mergeCell ref="C417:C418"/>
    <mergeCell ref="B105:B106"/>
    <mergeCell ref="B145:B148"/>
    <mergeCell ref="B89:B102"/>
    <mergeCell ref="D105:D106"/>
    <mergeCell ref="D145:D148"/>
    <mergeCell ref="C360:C395"/>
    <mergeCell ref="A161:A172"/>
    <mergeCell ref="A354:A355"/>
    <mergeCell ref="O5:P5"/>
    <mergeCell ref="D415:D416"/>
    <mergeCell ref="D419:D424"/>
    <mergeCell ref="B346:B351"/>
    <mergeCell ref="C161:C172"/>
    <mergeCell ref="A69:A74"/>
    <mergeCell ref="C546:C547"/>
    <mergeCell ref="D346:D351"/>
    <mergeCell ref="B283:B284"/>
    <mergeCell ref="B16:B18"/>
    <mergeCell ref="A409:A410"/>
    <mergeCell ref="C53:C68"/>
    <mergeCell ref="A356:A357"/>
    <mergeCell ref="D28:D29"/>
    <mergeCell ref="D532:D536"/>
    <mergeCell ref="C356:C357"/>
    <mergeCell ref="A438:A445"/>
    <mergeCell ref="B407:B408"/>
    <mergeCell ref="A13:A14"/>
    <mergeCell ref="D41:D44"/>
    <mergeCell ref="D407:D408"/>
    <mergeCell ref="A613:A623"/>
    <mergeCell ref="C600:C609"/>
    <mergeCell ref="A537:A542"/>
    <mergeCell ref="C506:C513"/>
    <mergeCell ref="C598:C599"/>
    <mergeCell ref="B133:B134"/>
    <mergeCell ref="B20:B21"/>
    <mergeCell ref="B546:B547"/>
    <mergeCell ref="B173:B174"/>
    <mergeCell ref="D133:D134"/>
    <mergeCell ref="D173:D174"/>
    <mergeCell ref="B49:B52"/>
    <mergeCell ref="D20:D21"/>
    <mergeCell ref="A155:A156"/>
    <mergeCell ref="C155:C156"/>
    <mergeCell ref="D613:D623"/>
    <mergeCell ref="B595:B596"/>
    <mergeCell ref="B135:B136"/>
    <mergeCell ref="C518:C519"/>
    <mergeCell ref="C346:C351"/>
    <mergeCell ref="C283:C284"/>
    <mergeCell ref="C354:C355"/>
    <mergeCell ref="C37:C40"/>
    <mergeCell ref="B125:B126"/>
    <mergeCell ref="D417:D418"/>
    <mergeCell ref="C430:C437"/>
    <mergeCell ref="B285:B294"/>
    <mergeCell ref="D285:D294"/>
    <mergeCell ref="B22:B25"/>
    <mergeCell ref="B446:B505"/>
    <mergeCell ref="D22:D25"/>
    <mergeCell ref="B149:B150"/>
    <mergeCell ref="D446:D505"/>
    <mergeCell ref="D161:D172"/>
    <mergeCell ref="D354:D355"/>
    <mergeCell ref="O10:P10"/>
    <mergeCell ref="D69:D74"/>
    <mergeCell ref="A358:A359"/>
    <mergeCell ref="A191:A282"/>
    <mergeCell ref="C191:C282"/>
    <mergeCell ref="B409:B410"/>
    <mergeCell ref="C26:C27"/>
    <mergeCell ref="C41:C44"/>
    <mergeCell ref="B326:B331"/>
    <mergeCell ref="B550:B578"/>
    <mergeCell ref="D409:D410"/>
    <mergeCell ref="D356:D357"/>
    <mergeCell ref="B396:B397"/>
    <mergeCell ref="C302:C303"/>
    <mergeCell ref="B304:B323"/>
    <mergeCell ref="D396:D397"/>
    <mergeCell ref="A133:A134"/>
    <mergeCell ref="D304:D323"/>
    <mergeCell ref="C133:C134"/>
    <mergeCell ref="C127:C128"/>
    <mergeCell ref="D438:D445"/>
    <mergeCell ref="B402:B403"/>
    <mergeCell ref="B530:B531"/>
    <mergeCell ref="D402:D403"/>
    <mergeCell ref="B151:B154"/>
    <mergeCell ref="D89:D102"/>
    <mergeCell ref="D537:D542"/>
    <mergeCell ref="A41:A44"/>
    <mergeCell ref="D332:D333"/>
    <mergeCell ref="D296:D299"/>
    <mergeCell ref="A135:A136"/>
    <mergeCell ref="C11:C12"/>
    <mergeCell ref="C135:C136"/>
    <mergeCell ref="A137:A144"/>
    <mergeCell ref="A334:A345"/>
    <mergeCell ref="C137:C144"/>
    <mergeCell ref="C334:C345"/>
    <mergeCell ref="B544:B545"/>
    <mergeCell ref="A151:A154"/>
    <mergeCell ref="A592:A593"/>
    <mergeCell ref="C537:C542"/>
    <mergeCell ref="B404:B406"/>
    <mergeCell ref="B430:B437"/>
    <mergeCell ref="A579:A580"/>
    <mergeCell ref="D404:D406"/>
    <mergeCell ref="C530:C531"/>
    <mergeCell ref="A446:A505"/>
    <mergeCell ref="C446:C505"/>
    <mergeCell ref="C125:C126"/>
    <mergeCell ref="B129:B130"/>
    <mergeCell ref="A332:A333"/>
    <mergeCell ref="D595:D596"/>
    <mergeCell ref="B300:B301"/>
    <mergeCell ref="D129:D130"/>
    <mergeCell ref="C304:C323"/>
    <mergeCell ref="C13:C14"/>
    <mergeCell ref="C175:C190"/>
    <mergeCell ref="A360:A395"/>
    <mergeCell ref="A285:A294"/>
    <mergeCell ref="D75:D88"/>
    <mergeCell ref="A396:A397"/>
    <mergeCell ref="B415:B416"/>
    <mergeCell ref="B419:B424"/>
    <mergeCell ref="A1:L1"/>
    <mergeCell ref="A28:A29"/>
    <mergeCell ref="D358:D359"/>
    <mergeCell ref="C28:C29"/>
    <mergeCell ref="D191:D282"/>
    <mergeCell ref="A89:A102"/>
    <mergeCell ref="D35:D36"/>
    <mergeCell ref="C326:C331"/>
    <mergeCell ref="D107:D124"/>
    <mergeCell ref="C145:C148"/>
  </mergeCells>
  <conditionalFormatting sqref="D1:D529 D532:D543 D548:D549 D579:D594 D597 D610:D612 D624:D1048576">
    <cfRule type="cellIs" priority="69" operator="lessThan" dxfId="0">
      <formula>0</formula>
    </cfRule>
  </conditionalFormatting>
  <conditionalFormatting sqref="K338">
    <cfRule type="duplicateValues" priority="70" dxfId="0"/>
  </conditionalFormatting>
  <pageMargins left="0.25" right="0.25" top="0.75" bottom="0.75" header="0.511811023622047" footer="0.3"/>
  <pageSetup orientation="landscape" paperSize="8" fitToHeight="0" horizontalDpi="300" verticalDpi="300"/>
  <headerFooter>
    <oddHeader/>
    <oddFooter>&amp;C&amp;F</oddFooter>
    <evenHeader/>
    <evenFooter/>
    <firstHeader/>
    <firstFooter/>
  </headerFooter>
  <rowBreaks count="2" manualBreakCount="2">
    <brk id="320" min="0" max="16383" man="1"/>
    <brk id="395" min="0" max="16383" man="1"/>
  </rowBreaks>
  <drawing xmlns:r="http://schemas.openxmlformats.org/officeDocument/2006/relationships" r:id="rId1"/>
</worksheet>
</file>

<file path=xl/worksheets/sheet5.xml><?xml version="1.0" encoding="utf-8"?>
<worksheet xmlns="http://schemas.openxmlformats.org/spreadsheetml/2006/main">
  <sheetPr>
    <tabColor rgb="FFFFFF00"/>
    <outlinePr summaryBelow="1" summaryRight="1"/>
    <pageSetUpPr fitToPage="1"/>
  </sheetPr>
  <dimension ref="A1:G153"/>
  <sheetViews>
    <sheetView zoomScaleNormal="100" workbookViewId="0">
      <pane ySplit="1" topLeftCell="A2" activePane="bottomLeft" state="frozen"/>
      <selection pane="bottomLeft" activeCell="P11" sqref="P11"/>
    </sheetView>
  </sheetViews>
  <sheetFormatPr baseColWidth="8" defaultColWidth="8.75" defaultRowHeight="14.25"/>
  <cols>
    <col width="13.75" customWidth="1" min="1" max="1"/>
    <col width="17.375" customWidth="1" style="117" min="2" max="2"/>
    <col width="14.75" customWidth="1" style="117" min="3" max="3"/>
    <col width="47.375" customWidth="1" style="215" min="4" max="4"/>
    <col width="17" customWidth="1" style="348" min="5" max="7"/>
    <col width="5.125" customWidth="1" min="202" max="202"/>
    <col width="13.375" customWidth="1" min="203" max="203"/>
    <col width="45.75" customWidth="1" min="204" max="204"/>
    <col width="10.625" customWidth="1" min="205" max="206"/>
    <col width="13.75" customWidth="1" min="207" max="207"/>
    <col width="18.375" customWidth="1" min="208" max="208"/>
    <col width="20.625" customWidth="1" min="209" max="209"/>
    <col width="17.375" customWidth="1" min="210" max="210"/>
    <col width="12.125" customWidth="1" min="211" max="211"/>
    <col width="10.625" customWidth="1" min="212" max="212"/>
    <col width="14.375" customWidth="1" min="213" max="213"/>
    <col width="10.625" customWidth="1" min="214" max="214"/>
    <col width="13" customWidth="1" min="215" max="215"/>
    <col width="13.125" customWidth="1" min="216" max="216"/>
    <col width="10.625" customWidth="1" min="217" max="218"/>
    <col width="13" customWidth="1" min="219" max="219"/>
    <col width="10.625" customWidth="1" min="220" max="220"/>
    <col width="12.375" customWidth="1" min="221" max="221"/>
    <col width="10.625" customWidth="1" min="222" max="222"/>
    <col width="15" customWidth="1" min="223" max="223"/>
    <col width="20.375" customWidth="1" min="224" max="224"/>
    <col width="10.625" customWidth="1" min="225" max="225"/>
    <col width="11.375" customWidth="1" min="226" max="226"/>
    <col width="10.625" customWidth="1" min="227" max="227"/>
    <col width="16.125" customWidth="1" min="228" max="228"/>
    <col width="12.625" customWidth="1" min="229" max="229"/>
    <col width="17" customWidth="1" min="230" max="230"/>
    <col width="16.375" customWidth="1" min="231" max="231"/>
    <col width="20.125" customWidth="1" min="232" max="232"/>
    <col width="17.625" customWidth="1" min="233" max="233"/>
    <col width="12" customWidth="1" min="234" max="234"/>
    <col width="16" customWidth="1" min="235" max="235"/>
    <col width="5.125" customWidth="1" min="458" max="458"/>
    <col width="13.375" customWidth="1" min="459" max="459"/>
    <col width="45.75" customWidth="1" min="460" max="460"/>
    <col width="10.625" customWidth="1" min="461" max="462"/>
    <col width="13.75" customWidth="1" min="463" max="463"/>
    <col width="18.375" customWidth="1" min="464" max="464"/>
    <col width="20.625" customWidth="1" min="465" max="465"/>
    <col width="17.375" customWidth="1" min="466" max="466"/>
    <col width="12.125" customWidth="1" min="467" max="467"/>
    <col width="10.625" customWidth="1" min="468" max="468"/>
    <col width="14.375" customWidth="1" min="469" max="469"/>
    <col width="10.625" customWidth="1" min="470" max="470"/>
    <col width="13" customWidth="1" min="471" max="471"/>
    <col width="13.125" customWidth="1" min="472" max="472"/>
    <col width="10.625" customWidth="1" min="473" max="474"/>
    <col width="13" customWidth="1" min="475" max="475"/>
    <col width="10.625" customWidth="1" min="476" max="476"/>
    <col width="12.375" customWidth="1" min="477" max="477"/>
    <col width="10.625" customWidth="1" min="478" max="478"/>
    <col width="15" customWidth="1" min="479" max="479"/>
    <col width="20.375" customWidth="1" min="480" max="480"/>
    <col width="10.625" customWidth="1" min="481" max="481"/>
    <col width="11.375" customWidth="1" min="482" max="482"/>
    <col width="10.625" customWidth="1" min="483" max="483"/>
    <col width="16.125" customWidth="1" min="484" max="484"/>
    <col width="12.625" customWidth="1" min="485" max="485"/>
    <col width="17" customWidth="1" min="486" max="486"/>
    <col width="16.375" customWidth="1" min="487" max="487"/>
    <col width="20.125" customWidth="1" min="488" max="488"/>
    <col width="17.625" customWidth="1" min="489" max="489"/>
    <col width="12" customWidth="1" min="490" max="490"/>
    <col width="16" customWidth="1" min="491" max="491"/>
    <col width="5.125" customWidth="1" min="714" max="714"/>
    <col width="13.375" customWidth="1" min="715" max="715"/>
    <col width="45.75" customWidth="1" min="716" max="716"/>
    <col width="10.625" customWidth="1" min="717" max="718"/>
    <col width="13.75" customWidth="1" min="719" max="719"/>
    <col width="18.375" customWidth="1" min="720" max="720"/>
    <col width="20.625" customWidth="1" min="721" max="721"/>
    <col width="17.375" customWidth="1" min="722" max="722"/>
    <col width="12.125" customWidth="1" min="723" max="723"/>
    <col width="10.625" customWidth="1" min="724" max="724"/>
    <col width="14.375" customWidth="1" min="725" max="725"/>
    <col width="10.625" customWidth="1" min="726" max="726"/>
    <col width="13" customWidth="1" min="727" max="727"/>
    <col width="13.125" customWidth="1" min="728" max="728"/>
    <col width="10.625" customWidth="1" min="729" max="730"/>
    <col width="13" customWidth="1" min="731" max="731"/>
    <col width="10.625" customWidth="1" min="732" max="732"/>
    <col width="12.375" customWidth="1" min="733" max="733"/>
    <col width="10.625" customWidth="1" min="734" max="734"/>
    <col width="15" customWidth="1" min="735" max="735"/>
    <col width="20.375" customWidth="1" min="736" max="736"/>
    <col width="10.625" customWidth="1" min="737" max="737"/>
    <col width="11.375" customWidth="1" min="738" max="738"/>
    <col width="10.625" customWidth="1" min="739" max="739"/>
    <col width="16.125" customWidth="1" min="740" max="740"/>
    <col width="12.625" customWidth="1" min="741" max="741"/>
    <col width="17" customWidth="1" min="742" max="742"/>
    <col width="16.375" customWidth="1" min="743" max="743"/>
    <col width="20.125" customWidth="1" min="744" max="744"/>
    <col width="17.625" customWidth="1" min="745" max="745"/>
    <col width="12" customWidth="1" min="746" max="746"/>
    <col width="16" customWidth="1" min="747" max="747"/>
    <col width="5.125" customWidth="1" min="970" max="970"/>
    <col width="13.375" customWidth="1" min="971" max="971"/>
    <col width="45.75" customWidth="1" min="972" max="972"/>
    <col width="10.625" customWidth="1" min="973" max="974"/>
    <col width="13.75" customWidth="1" min="975" max="975"/>
    <col width="18.375" customWidth="1" min="976" max="976"/>
    <col width="20.625" customWidth="1" min="977" max="977"/>
    <col width="17.375" customWidth="1" min="978" max="978"/>
    <col width="12.125" customWidth="1" min="979" max="979"/>
    <col width="10.625" customWidth="1" min="980" max="980"/>
    <col width="14.375" customWidth="1" min="981" max="981"/>
    <col width="10.625" customWidth="1" min="982" max="982"/>
    <col width="13" customWidth="1" min="983" max="983"/>
    <col width="13.125" customWidth="1" min="984" max="984"/>
    <col width="10.625" customWidth="1" min="985" max="986"/>
    <col width="13" customWidth="1" min="987" max="987"/>
    <col width="10.625" customWidth="1" min="988" max="988"/>
    <col width="12.375" customWidth="1" min="989" max="989"/>
    <col width="10.625" customWidth="1" min="990" max="990"/>
    <col width="15" customWidth="1" min="991" max="991"/>
    <col width="20.375" customWidth="1" min="992" max="992"/>
    <col width="10.625" customWidth="1" min="993" max="993"/>
    <col width="11.375" customWidth="1" min="994" max="994"/>
    <col width="10.625" customWidth="1" min="995" max="995"/>
    <col width="16.125" customWidth="1" min="996" max="996"/>
    <col width="12.625" customWidth="1" min="997" max="997"/>
    <col width="17" customWidth="1" min="998" max="998"/>
    <col width="16.375" customWidth="1" min="999" max="999"/>
    <col width="20.125" customWidth="1" min="1000" max="1000"/>
    <col width="17.625" customWidth="1" min="1001" max="1001"/>
    <col width="12" customWidth="1" min="1002" max="1002"/>
    <col width="16" customWidth="1" min="1003" max="1003"/>
    <col width="5.125" customWidth="1" min="1226" max="1226"/>
    <col width="13.375" customWidth="1" min="1227" max="1227"/>
    <col width="45.75" customWidth="1" min="1228" max="1228"/>
    <col width="10.625" customWidth="1" min="1229" max="1230"/>
    <col width="13.75" customWidth="1" min="1231" max="1231"/>
    <col width="18.375" customWidth="1" min="1232" max="1232"/>
    <col width="20.625" customWidth="1" min="1233" max="1233"/>
    <col width="17.375" customWidth="1" min="1234" max="1234"/>
    <col width="12.125" customWidth="1" min="1235" max="1235"/>
    <col width="10.625" customWidth="1" min="1236" max="1236"/>
    <col width="14.375" customWidth="1" min="1237" max="1237"/>
    <col width="10.625" customWidth="1" min="1238" max="1238"/>
    <col width="13" customWidth="1" min="1239" max="1239"/>
    <col width="13.125" customWidth="1" min="1240" max="1240"/>
    <col width="10.625" customWidth="1" min="1241" max="1242"/>
    <col width="13" customWidth="1" min="1243" max="1243"/>
    <col width="10.625" customWidth="1" min="1244" max="1244"/>
    <col width="12.375" customWidth="1" min="1245" max="1245"/>
    <col width="10.625" customWidth="1" min="1246" max="1246"/>
    <col width="15" customWidth="1" min="1247" max="1247"/>
    <col width="20.375" customWidth="1" min="1248" max="1248"/>
    <col width="10.625" customWidth="1" min="1249" max="1249"/>
    <col width="11.375" customWidth="1" min="1250" max="1250"/>
    <col width="10.625" customWidth="1" min="1251" max="1251"/>
    <col width="16.125" customWidth="1" min="1252" max="1252"/>
    <col width="12.625" customWidth="1" min="1253" max="1253"/>
    <col width="17" customWidth="1" min="1254" max="1254"/>
    <col width="16.375" customWidth="1" min="1255" max="1255"/>
    <col width="20.125" customWidth="1" min="1256" max="1256"/>
    <col width="17.625" customWidth="1" min="1257" max="1257"/>
    <col width="12" customWidth="1" min="1258" max="1258"/>
    <col width="16" customWidth="1" min="1259" max="1259"/>
    <col width="5.125" customWidth="1" min="1482" max="1482"/>
    <col width="13.375" customWidth="1" min="1483" max="1483"/>
    <col width="45.75" customWidth="1" min="1484" max="1484"/>
    <col width="10.625" customWidth="1" min="1485" max="1486"/>
    <col width="13.75" customWidth="1" min="1487" max="1487"/>
    <col width="18.375" customWidth="1" min="1488" max="1488"/>
    <col width="20.625" customWidth="1" min="1489" max="1489"/>
    <col width="17.375" customWidth="1" min="1490" max="1490"/>
    <col width="12.125" customWidth="1" min="1491" max="1491"/>
    <col width="10.625" customWidth="1" min="1492" max="1492"/>
    <col width="14.375" customWidth="1" min="1493" max="1493"/>
    <col width="10.625" customWidth="1" min="1494" max="1494"/>
    <col width="13" customWidth="1" min="1495" max="1495"/>
    <col width="13.125" customWidth="1" min="1496" max="1496"/>
    <col width="10.625" customWidth="1" min="1497" max="1498"/>
    <col width="13" customWidth="1" min="1499" max="1499"/>
    <col width="10.625" customWidth="1" min="1500" max="1500"/>
    <col width="12.375" customWidth="1" min="1501" max="1501"/>
    <col width="10.625" customWidth="1" min="1502" max="1502"/>
    <col width="15" customWidth="1" min="1503" max="1503"/>
    <col width="20.375" customWidth="1" min="1504" max="1504"/>
    <col width="10.625" customWidth="1" min="1505" max="1505"/>
    <col width="11.375" customWidth="1" min="1506" max="1506"/>
    <col width="10.625" customWidth="1" min="1507" max="1507"/>
    <col width="16.125" customWidth="1" min="1508" max="1508"/>
    <col width="12.625" customWidth="1" min="1509" max="1509"/>
    <col width="17" customWidth="1" min="1510" max="1510"/>
    <col width="16.375" customWidth="1" min="1511" max="1511"/>
    <col width="20.125" customWidth="1" min="1512" max="1512"/>
    <col width="17.625" customWidth="1" min="1513" max="1513"/>
    <col width="12" customWidth="1" min="1514" max="1514"/>
    <col width="16" customWidth="1" min="1515" max="1515"/>
    <col width="5.125" customWidth="1" min="1738" max="1738"/>
    <col width="13.375" customWidth="1" min="1739" max="1739"/>
    <col width="45.75" customWidth="1" min="1740" max="1740"/>
    <col width="10.625" customWidth="1" min="1741" max="1742"/>
    <col width="13.75" customWidth="1" min="1743" max="1743"/>
    <col width="18.375" customWidth="1" min="1744" max="1744"/>
    <col width="20.625" customWidth="1" min="1745" max="1745"/>
    <col width="17.375" customWidth="1" min="1746" max="1746"/>
    <col width="12.125" customWidth="1" min="1747" max="1747"/>
    <col width="10.625" customWidth="1" min="1748" max="1748"/>
    <col width="14.375" customWidth="1" min="1749" max="1749"/>
    <col width="10.625" customWidth="1" min="1750" max="1750"/>
    <col width="13" customWidth="1" min="1751" max="1751"/>
    <col width="13.125" customWidth="1" min="1752" max="1752"/>
    <col width="10.625" customWidth="1" min="1753" max="1754"/>
    <col width="13" customWidth="1" min="1755" max="1755"/>
    <col width="10.625" customWidth="1" min="1756" max="1756"/>
    <col width="12.375" customWidth="1" min="1757" max="1757"/>
    <col width="10.625" customWidth="1" min="1758" max="1758"/>
    <col width="15" customWidth="1" min="1759" max="1759"/>
    <col width="20.375" customWidth="1" min="1760" max="1760"/>
    <col width="10.625" customWidth="1" min="1761" max="1761"/>
    <col width="11.375" customWidth="1" min="1762" max="1762"/>
    <col width="10.625" customWidth="1" min="1763" max="1763"/>
    <col width="16.125" customWidth="1" min="1764" max="1764"/>
    <col width="12.625" customWidth="1" min="1765" max="1765"/>
    <col width="17" customWidth="1" min="1766" max="1766"/>
    <col width="16.375" customWidth="1" min="1767" max="1767"/>
    <col width="20.125" customWidth="1" min="1768" max="1768"/>
    <col width="17.625" customWidth="1" min="1769" max="1769"/>
    <col width="12" customWidth="1" min="1770" max="1770"/>
    <col width="16" customWidth="1" min="1771" max="1771"/>
    <col width="5.125" customWidth="1" min="1994" max="1994"/>
    <col width="13.375" customWidth="1" min="1995" max="1995"/>
    <col width="45.75" customWidth="1" min="1996" max="1996"/>
    <col width="10.625" customWidth="1" min="1997" max="1998"/>
    <col width="13.75" customWidth="1" min="1999" max="1999"/>
    <col width="18.375" customWidth="1" min="2000" max="2000"/>
    <col width="20.625" customWidth="1" min="2001" max="2001"/>
    <col width="17.375" customWidth="1" min="2002" max="2002"/>
    <col width="12.125" customWidth="1" min="2003" max="2003"/>
    <col width="10.625" customWidth="1" min="2004" max="2004"/>
    <col width="14.375" customWidth="1" min="2005" max="2005"/>
    <col width="10.625" customWidth="1" min="2006" max="2006"/>
    <col width="13" customWidth="1" min="2007" max="2007"/>
    <col width="13.125" customWidth="1" min="2008" max="2008"/>
    <col width="10.625" customWidth="1" min="2009" max="2010"/>
    <col width="13" customWidth="1" min="2011" max="2011"/>
    <col width="10.625" customWidth="1" min="2012" max="2012"/>
    <col width="12.375" customWidth="1" min="2013" max="2013"/>
    <col width="10.625" customWidth="1" min="2014" max="2014"/>
    <col width="15" customWidth="1" min="2015" max="2015"/>
    <col width="20.375" customWidth="1" min="2016" max="2016"/>
    <col width="10.625" customWidth="1" min="2017" max="2017"/>
    <col width="11.375" customWidth="1" min="2018" max="2018"/>
    <col width="10.625" customWidth="1" min="2019" max="2019"/>
    <col width="16.125" customWidth="1" min="2020" max="2020"/>
    <col width="12.625" customWidth="1" min="2021" max="2021"/>
    <col width="17" customWidth="1" min="2022" max="2022"/>
    <col width="16.375" customWidth="1" min="2023" max="2023"/>
    <col width="20.125" customWidth="1" min="2024" max="2024"/>
    <col width="17.625" customWidth="1" min="2025" max="2025"/>
    <col width="12" customWidth="1" min="2026" max="2026"/>
    <col width="16" customWidth="1" min="2027" max="2027"/>
    <col width="5.125" customWidth="1" min="2250" max="2250"/>
    <col width="13.375" customWidth="1" min="2251" max="2251"/>
    <col width="45.75" customWidth="1" min="2252" max="2252"/>
    <col width="10.625" customWidth="1" min="2253" max="2254"/>
    <col width="13.75" customWidth="1" min="2255" max="2255"/>
    <col width="18.375" customWidth="1" min="2256" max="2256"/>
    <col width="20.625" customWidth="1" min="2257" max="2257"/>
    <col width="17.375" customWidth="1" min="2258" max="2258"/>
    <col width="12.125" customWidth="1" min="2259" max="2259"/>
    <col width="10.625" customWidth="1" min="2260" max="2260"/>
    <col width="14.375" customWidth="1" min="2261" max="2261"/>
    <col width="10.625" customWidth="1" min="2262" max="2262"/>
    <col width="13" customWidth="1" min="2263" max="2263"/>
    <col width="13.125" customWidth="1" min="2264" max="2264"/>
    <col width="10.625" customWidth="1" min="2265" max="2266"/>
    <col width="13" customWidth="1" min="2267" max="2267"/>
    <col width="10.625" customWidth="1" min="2268" max="2268"/>
    <col width="12.375" customWidth="1" min="2269" max="2269"/>
    <col width="10.625" customWidth="1" min="2270" max="2270"/>
    <col width="15" customWidth="1" min="2271" max="2271"/>
    <col width="20.375" customWidth="1" min="2272" max="2272"/>
    <col width="10.625" customWidth="1" min="2273" max="2273"/>
    <col width="11.375" customWidth="1" min="2274" max="2274"/>
    <col width="10.625" customWidth="1" min="2275" max="2275"/>
    <col width="16.125" customWidth="1" min="2276" max="2276"/>
    <col width="12.625" customWidth="1" min="2277" max="2277"/>
    <col width="17" customWidth="1" min="2278" max="2278"/>
    <col width="16.375" customWidth="1" min="2279" max="2279"/>
    <col width="20.125" customWidth="1" min="2280" max="2280"/>
    <col width="17.625" customWidth="1" min="2281" max="2281"/>
    <col width="12" customWidth="1" min="2282" max="2282"/>
    <col width="16" customWidth="1" min="2283" max="2283"/>
    <col width="5.125" customWidth="1" min="2506" max="2506"/>
    <col width="13.375" customWidth="1" min="2507" max="2507"/>
    <col width="45.75" customWidth="1" min="2508" max="2508"/>
    <col width="10.625" customWidth="1" min="2509" max="2510"/>
    <col width="13.75" customWidth="1" min="2511" max="2511"/>
    <col width="18.375" customWidth="1" min="2512" max="2512"/>
    <col width="20.625" customWidth="1" min="2513" max="2513"/>
    <col width="17.375" customWidth="1" min="2514" max="2514"/>
    <col width="12.125" customWidth="1" min="2515" max="2515"/>
    <col width="10.625" customWidth="1" min="2516" max="2516"/>
    <col width="14.375" customWidth="1" min="2517" max="2517"/>
    <col width="10.625" customWidth="1" min="2518" max="2518"/>
    <col width="13" customWidth="1" min="2519" max="2519"/>
    <col width="13.125" customWidth="1" min="2520" max="2520"/>
    <col width="10.625" customWidth="1" min="2521" max="2522"/>
    <col width="13" customWidth="1" min="2523" max="2523"/>
    <col width="10.625" customWidth="1" min="2524" max="2524"/>
    <col width="12.375" customWidth="1" min="2525" max="2525"/>
    <col width="10.625" customWidth="1" min="2526" max="2526"/>
    <col width="15" customWidth="1" min="2527" max="2527"/>
    <col width="20.375" customWidth="1" min="2528" max="2528"/>
    <col width="10.625" customWidth="1" min="2529" max="2529"/>
    <col width="11.375" customWidth="1" min="2530" max="2530"/>
    <col width="10.625" customWidth="1" min="2531" max="2531"/>
    <col width="16.125" customWidth="1" min="2532" max="2532"/>
    <col width="12.625" customWidth="1" min="2533" max="2533"/>
    <col width="17" customWidth="1" min="2534" max="2534"/>
    <col width="16.375" customWidth="1" min="2535" max="2535"/>
    <col width="20.125" customWidth="1" min="2536" max="2536"/>
    <col width="17.625" customWidth="1" min="2537" max="2537"/>
    <col width="12" customWidth="1" min="2538" max="2538"/>
    <col width="16" customWidth="1" min="2539" max="2539"/>
    <col width="5.125" customWidth="1" min="2762" max="2762"/>
    <col width="13.375" customWidth="1" min="2763" max="2763"/>
    <col width="45.75" customWidth="1" min="2764" max="2764"/>
    <col width="10.625" customWidth="1" min="2765" max="2766"/>
    <col width="13.75" customWidth="1" min="2767" max="2767"/>
    <col width="18.375" customWidth="1" min="2768" max="2768"/>
    <col width="20.625" customWidth="1" min="2769" max="2769"/>
    <col width="17.375" customWidth="1" min="2770" max="2770"/>
    <col width="12.125" customWidth="1" min="2771" max="2771"/>
    <col width="10.625" customWidth="1" min="2772" max="2772"/>
    <col width="14.375" customWidth="1" min="2773" max="2773"/>
    <col width="10.625" customWidth="1" min="2774" max="2774"/>
    <col width="13" customWidth="1" min="2775" max="2775"/>
    <col width="13.125" customWidth="1" min="2776" max="2776"/>
    <col width="10.625" customWidth="1" min="2777" max="2778"/>
    <col width="13" customWidth="1" min="2779" max="2779"/>
    <col width="10.625" customWidth="1" min="2780" max="2780"/>
    <col width="12.375" customWidth="1" min="2781" max="2781"/>
    <col width="10.625" customWidth="1" min="2782" max="2782"/>
    <col width="15" customWidth="1" min="2783" max="2783"/>
    <col width="20.375" customWidth="1" min="2784" max="2784"/>
    <col width="10.625" customWidth="1" min="2785" max="2785"/>
    <col width="11.375" customWidth="1" min="2786" max="2786"/>
    <col width="10.625" customWidth="1" min="2787" max="2787"/>
    <col width="16.125" customWidth="1" min="2788" max="2788"/>
    <col width="12.625" customWidth="1" min="2789" max="2789"/>
    <col width="17" customWidth="1" min="2790" max="2790"/>
    <col width="16.375" customWidth="1" min="2791" max="2791"/>
    <col width="20.125" customWidth="1" min="2792" max="2792"/>
    <col width="17.625" customWidth="1" min="2793" max="2793"/>
    <col width="12" customWidth="1" min="2794" max="2794"/>
    <col width="16" customWidth="1" min="2795" max="2795"/>
    <col width="5.125" customWidth="1" min="3018" max="3018"/>
    <col width="13.375" customWidth="1" min="3019" max="3019"/>
    <col width="45.75" customWidth="1" min="3020" max="3020"/>
    <col width="10.625" customWidth="1" min="3021" max="3022"/>
    <col width="13.75" customWidth="1" min="3023" max="3023"/>
    <col width="18.375" customWidth="1" min="3024" max="3024"/>
    <col width="20.625" customWidth="1" min="3025" max="3025"/>
    <col width="17.375" customWidth="1" min="3026" max="3026"/>
    <col width="12.125" customWidth="1" min="3027" max="3027"/>
    <col width="10.625" customWidth="1" min="3028" max="3028"/>
    <col width="14.375" customWidth="1" min="3029" max="3029"/>
    <col width="10.625" customWidth="1" min="3030" max="3030"/>
    <col width="13" customWidth="1" min="3031" max="3031"/>
    <col width="13.125" customWidth="1" min="3032" max="3032"/>
    <col width="10.625" customWidth="1" min="3033" max="3034"/>
    <col width="13" customWidth="1" min="3035" max="3035"/>
    <col width="10.625" customWidth="1" min="3036" max="3036"/>
    <col width="12.375" customWidth="1" min="3037" max="3037"/>
    <col width="10.625" customWidth="1" min="3038" max="3038"/>
    <col width="15" customWidth="1" min="3039" max="3039"/>
    <col width="20.375" customWidth="1" min="3040" max="3040"/>
    <col width="10.625" customWidth="1" min="3041" max="3041"/>
    <col width="11.375" customWidth="1" min="3042" max="3042"/>
    <col width="10.625" customWidth="1" min="3043" max="3043"/>
    <col width="16.125" customWidth="1" min="3044" max="3044"/>
    <col width="12.625" customWidth="1" min="3045" max="3045"/>
    <col width="17" customWidth="1" min="3046" max="3046"/>
    <col width="16.375" customWidth="1" min="3047" max="3047"/>
    <col width="20.125" customWidth="1" min="3048" max="3048"/>
    <col width="17.625" customWidth="1" min="3049" max="3049"/>
    <col width="12" customWidth="1" min="3050" max="3050"/>
    <col width="16" customWidth="1" min="3051" max="3051"/>
    <col width="5.125" customWidth="1" min="3274" max="3274"/>
    <col width="13.375" customWidth="1" min="3275" max="3275"/>
    <col width="45.75" customWidth="1" min="3276" max="3276"/>
    <col width="10.625" customWidth="1" min="3277" max="3278"/>
    <col width="13.75" customWidth="1" min="3279" max="3279"/>
    <col width="18.375" customWidth="1" min="3280" max="3280"/>
    <col width="20.625" customWidth="1" min="3281" max="3281"/>
    <col width="17.375" customWidth="1" min="3282" max="3282"/>
    <col width="12.125" customWidth="1" min="3283" max="3283"/>
    <col width="10.625" customWidth="1" min="3284" max="3284"/>
    <col width="14.375" customWidth="1" min="3285" max="3285"/>
    <col width="10.625" customWidth="1" min="3286" max="3286"/>
    <col width="13" customWidth="1" min="3287" max="3287"/>
    <col width="13.125" customWidth="1" min="3288" max="3288"/>
    <col width="10.625" customWidth="1" min="3289" max="3290"/>
    <col width="13" customWidth="1" min="3291" max="3291"/>
    <col width="10.625" customWidth="1" min="3292" max="3292"/>
    <col width="12.375" customWidth="1" min="3293" max="3293"/>
    <col width="10.625" customWidth="1" min="3294" max="3294"/>
    <col width="15" customWidth="1" min="3295" max="3295"/>
    <col width="20.375" customWidth="1" min="3296" max="3296"/>
    <col width="10.625" customWidth="1" min="3297" max="3297"/>
    <col width="11.375" customWidth="1" min="3298" max="3298"/>
    <col width="10.625" customWidth="1" min="3299" max="3299"/>
    <col width="16.125" customWidth="1" min="3300" max="3300"/>
    <col width="12.625" customWidth="1" min="3301" max="3301"/>
    <col width="17" customWidth="1" min="3302" max="3302"/>
    <col width="16.375" customWidth="1" min="3303" max="3303"/>
    <col width="20.125" customWidth="1" min="3304" max="3304"/>
    <col width="17.625" customWidth="1" min="3305" max="3305"/>
    <col width="12" customWidth="1" min="3306" max="3306"/>
    <col width="16" customWidth="1" min="3307" max="3307"/>
    <col width="5.125" customWidth="1" min="3530" max="3530"/>
    <col width="13.375" customWidth="1" min="3531" max="3531"/>
    <col width="45.75" customWidth="1" min="3532" max="3532"/>
    <col width="10.625" customWidth="1" min="3533" max="3534"/>
    <col width="13.75" customWidth="1" min="3535" max="3535"/>
    <col width="18.375" customWidth="1" min="3536" max="3536"/>
    <col width="20.625" customWidth="1" min="3537" max="3537"/>
    <col width="17.375" customWidth="1" min="3538" max="3538"/>
    <col width="12.125" customWidth="1" min="3539" max="3539"/>
    <col width="10.625" customWidth="1" min="3540" max="3540"/>
    <col width="14.375" customWidth="1" min="3541" max="3541"/>
    <col width="10.625" customWidth="1" min="3542" max="3542"/>
    <col width="13" customWidth="1" min="3543" max="3543"/>
    <col width="13.125" customWidth="1" min="3544" max="3544"/>
    <col width="10.625" customWidth="1" min="3545" max="3546"/>
    <col width="13" customWidth="1" min="3547" max="3547"/>
    <col width="10.625" customWidth="1" min="3548" max="3548"/>
    <col width="12.375" customWidth="1" min="3549" max="3549"/>
    <col width="10.625" customWidth="1" min="3550" max="3550"/>
    <col width="15" customWidth="1" min="3551" max="3551"/>
    <col width="20.375" customWidth="1" min="3552" max="3552"/>
    <col width="10.625" customWidth="1" min="3553" max="3553"/>
    <col width="11.375" customWidth="1" min="3554" max="3554"/>
    <col width="10.625" customWidth="1" min="3555" max="3555"/>
    <col width="16.125" customWidth="1" min="3556" max="3556"/>
    <col width="12.625" customWidth="1" min="3557" max="3557"/>
    <col width="17" customWidth="1" min="3558" max="3558"/>
    <col width="16.375" customWidth="1" min="3559" max="3559"/>
    <col width="20.125" customWidth="1" min="3560" max="3560"/>
    <col width="17.625" customWidth="1" min="3561" max="3561"/>
    <col width="12" customWidth="1" min="3562" max="3562"/>
    <col width="16" customWidth="1" min="3563" max="3563"/>
    <col width="5.125" customWidth="1" min="3786" max="3786"/>
    <col width="13.375" customWidth="1" min="3787" max="3787"/>
    <col width="45.75" customWidth="1" min="3788" max="3788"/>
    <col width="10.625" customWidth="1" min="3789" max="3790"/>
    <col width="13.75" customWidth="1" min="3791" max="3791"/>
    <col width="18.375" customWidth="1" min="3792" max="3792"/>
    <col width="20.625" customWidth="1" min="3793" max="3793"/>
    <col width="17.375" customWidth="1" min="3794" max="3794"/>
    <col width="12.125" customWidth="1" min="3795" max="3795"/>
    <col width="10.625" customWidth="1" min="3796" max="3796"/>
    <col width="14.375" customWidth="1" min="3797" max="3797"/>
    <col width="10.625" customWidth="1" min="3798" max="3798"/>
    <col width="13" customWidth="1" min="3799" max="3799"/>
    <col width="13.125" customWidth="1" min="3800" max="3800"/>
    <col width="10.625" customWidth="1" min="3801" max="3802"/>
    <col width="13" customWidth="1" min="3803" max="3803"/>
    <col width="10.625" customWidth="1" min="3804" max="3804"/>
    <col width="12.375" customWidth="1" min="3805" max="3805"/>
    <col width="10.625" customWidth="1" min="3806" max="3806"/>
    <col width="15" customWidth="1" min="3807" max="3807"/>
    <col width="20.375" customWidth="1" min="3808" max="3808"/>
    <col width="10.625" customWidth="1" min="3809" max="3809"/>
    <col width="11.375" customWidth="1" min="3810" max="3810"/>
    <col width="10.625" customWidth="1" min="3811" max="3811"/>
    <col width="16.125" customWidth="1" min="3812" max="3812"/>
    <col width="12.625" customWidth="1" min="3813" max="3813"/>
    <col width="17" customWidth="1" min="3814" max="3814"/>
    <col width="16.375" customWidth="1" min="3815" max="3815"/>
    <col width="20.125" customWidth="1" min="3816" max="3816"/>
    <col width="17.625" customWidth="1" min="3817" max="3817"/>
    <col width="12" customWidth="1" min="3818" max="3818"/>
    <col width="16" customWidth="1" min="3819" max="3819"/>
    <col width="5.125" customWidth="1" min="4042" max="4042"/>
    <col width="13.375" customWidth="1" min="4043" max="4043"/>
    <col width="45.75" customWidth="1" min="4044" max="4044"/>
    <col width="10.625" customWidth="1" min="4045" max="4046"/>
    <col width="13.75" customWidth="1" min="4047" max="4047"/>
    <col width="18.375" customWidth="1" min="4048" max="4048"/>
    <col width="20.625" customWidth="1" min="4049" max="4049"/>
    <col width="17.375" customWidth="1" min="4050" max="4050"/>
    <col width="12.125" customWidth="1" min="4051" max="4051"/>
    <col width="10.625" customWidth="1" min="4052" max="4052"/>
    <col width="14.375" customWidth="1" min="4053" max="4053"/>
    <col width="10.625" customWidth="1" min="4054" max="4054"/>
    <col width="13" customWidth="1" min="4055" max="4055"/>
    <col width="13.125" customWidth="1" min="4056" max="4056"/>
    <col width="10.625" customWidth="1" min="4057" max="4058"/>
    <col width="13" customWidth="1" min="4059" max="4059"/>
    <col width="10.625" customWidth="1" min="4060" max="4060"/>
    <col width="12.375" customWidth="1" min="4061" max="4061"/>
    <col width="10.625" customWidth="1" min="4062" max="4062"/>
    <col width="15" customWidth="1" min="4063" max="4063"/>
    <col width="20.375" customWidth="1" min="4064" max="4064"/>
    <col width="10.625" customWidth="1" min="4065" max="4065"/>
    <col width="11.375" customWidth="1" min="4066" max="4066"/>
    <col width="10.625" customWidth="1" min="4067" max="4067"/>
    <col width="16.125" customWidth="1" min="4068" max="4068"/>
    <col width="12.625" customWidth="1" min="4069" max="4069"/>
    <col width="17" customWidth="1" min="4070" max="4070"/>
    <col width="16.375" customWidth="1" min="4071" max="4071"/>
    <col width="20.125" customWidth="1" min="4072" max="4072"/>
    <col width="17.625" customWidth="1" min="4073" max="4073"/>
    <col width="12" customWidth="1" min="4074" max="4074"/>
    <col width="16" customWidth="1" min="4075" max="4075"/>
    <col width="5.125" customWidth="1" min="4298" max="4298"/>
    <col width="13.375" customWidth="1" min="4299" max="4299"/>
    <col width="45.75" customWidth="1" min="4300" max="4300"/>
    <col width="10.625" customWidth="1" min="4301" max="4302"/>
    <col width="13.75" customWidth="1" min="4303" max="4303"/>
    <col width="18.375" customWidth="1" min="4304" max="4304"/>
    <col width="20.625" customWidth="1" min="4305" max="4305"/>
    <col width="17.375" customWidth="1" min="4306" max="4306"/>
    <col width="12.125" customWidth="1" min="4307" max="4307"/>
    <col width="10.625" customWidth="1" min="4308" max="4308"/>
    <col width="14.375" customWidth="1" min="4309" max="4309"/>
    <col width="10.625" customWidth="1" min="4310" max="4310"/>
    <col width="13" customWidth="1" min="4311" max="4311"/>
    <col width="13.125" customWidth="1" min="4312" max="4312"/>
    <col width="10.625" customWidth="1" min="4313" max="4314"/>
    <col width="13" customWidth="1" min="4315" max="4315"/>
    <col width="10.625" customWidth="1" min="4316" max="4316"/>
    <col width="12.375" customWidth="1" min="4317" max="4317"/>
    <col width="10.625" customWidth="1" min="4318" max="4318"/>
    <col width="15" customWidth="1" min="4319" max="4319"/>
    <col width="20.375" customWidth="1" min="4320" max="4320"/>
    <col width="10.625" customWidth="1" min="4321" max="4321"/>
    <col width="11.375" customWidth="1" min="4322" max="4322"/>
    <col width="10.625" customWidth="1" min="4323" max="4323"/>
    <col width="16.125" customWidth="1" min="4324" max="4324"/>
    <col width="12.625" customWidth="1" min="4325" max="4325"/>
    <col width="17" customWidth="1" min="4326" max="4326"/>
    <col width="16.375" customWidth="1" min="4327" max="4327"/>
    <col width="20.125" customWidth="1" min="4328" max="4328"/>
    <col width="17.625" customWidth="1" min="4329" max="4329"/>
    <col width="12" customWidth="1" min="4330" max="4330"/>
    <col width="16" customWidth="1" min="4331" max="4331"/>
    <col width="5.125" customWidth="1" min="4554" max="4554"/>
    <col width="13.375" customWidth="1" min="4555" max="4555"/>
    <col width="45.75" customWidth="1" min="4556" max="4556"/>
    <col width="10.625" customWidth="1" min="4557" max="4558"/>
    <col width="13.75" customWidth="1" min="4559" max="4559"/>
    <col width="18.375" customWidth="1" min="4560" max="4560"/>
    <col width="20.625" customWidth="1" min="4561" max="4561"/>
    <col width="17.375" customWidth="1" min="4562" max="4562"/>
    <col width="12.125" customWidth="1" min="4563" max="4563"/>
    <col width="10.625" customWidth="1" min="4564" max="4564"/>
    <col width="14.375" customWidth="1" min="4565" max="4565"/>
    <col width="10.625" customWidth="1" min="4566" max="4566"/>
    <col width="13" customWidth="1" min="4567" max="4567"/>
    <col width="13.125" customWidth="1" min="4568" max="4568"/>
    <col width="10.625" customWidth="1" min="4569" max="4570"/>
    <col width="13" customWidth="1" min="4571" max="4571"/>
    <col width="10.625" customWidth="1" min="4572" max="4572"/>
    <col width="12.375" customWidth="1" min="4573" max="4573"/>
    <col width="10.625" customWidth="1" min="4574" max="4574"/>
    <col width="15" customWidth="1" min="4575" max="4575"/>
    <col width="20.375" customWidth="1" min="4576" max="4576"/>
    <col width="10.625" customWidth="1" min="4577" max="4577"/>
    <col width="11.375" customWidth="1" min="4578" max="4578"/>
    <col width="10.625" customWidth="1" min="4579" max="4579"/>
    <col width="16.125" customWidth="1" min="4580" max="4580"/>
    <col width="12.625" customWidth="1" min="4581" max="4581"/>
    <col width="17" customWidth="1" min="4582" max="4582"/>
    <col width="16.375" customWidth="1" min="4583" max="4583"/>
    <col width="20.125" customWidth="1" min="4584" max="4584"/>
    <col width="17.625" customWidth="1" min="4585" max="4585"/>
    <col width="12" customWidth="1" min="4586" max="4586"/>
    <col width="16" customWidth="1" min="4587" max="4587"/>
    <col width="5.125" customWidth="1" min="4810" max="4810"/>
    <col width="13.375" customWidth="1" min="4811" max="4811"/>
    <col width="45.75" customWidth="1" min="4812" max="4812"/>
    <col width="10.625" customWidth="1" min="4813" max="4814"/>
    <col width="13.75" customWidth="1" min="4815" max="4815"/>
    <col width="18.375" customWidth="1" min="4816" max="4816"/>
    <col width="20.625" customWidth="1" min="4817" max="4817"/>
    <col width="17.375" customWidth="1" min="4818" max="4818"/>
    <col width="12.125" customWidth="1" min="4819" max="4819"/>
    <col width="10.625" customWidth="1" min="4820" max="4820"/>
    <col width="14.375" customWidth="1" min="4821" max="4821"/>
    <col width="10.625" customWidth="1" min="4822" max="4822"/>
    <col width="13" customWidth="1" min="4823" max="4823"/>
    <col width="13.125" customWidth="1" min="4824" max="4824"/>
    <col width="10.625" customWidth="1" min="4825" max="4826"/>
    <col width="13" customWidth="1" min="4827" max="4827"/>
    <col width="10.625" customWidth="1" min="4828" max="4828"/>
    <col width="12.375" customWidth="1" min="4829" max="4829"/>
    <col width="10.625" customWidth="1" min="4830" max="4830"/>
    <col width="15" customWidth="1" min="4831" max="4831"/>
    <col width="20.375" customWidth="1" min="4832" max="4832"/>
    <col width="10.625" customWidth="1" min="4833" max="4833"/>
    <col width="11.375" customWidth="1" min="4834" max="4834"/>
    <col width="10.625" customWidth="1" min="4835" max="4835"/>
    <col width="16.125" customWidth="1" min="4836" max="4836"/>
    <col width="12.625" customWidth="1" min="4837" max="4837"/>
    <col width="17" customWidth="1" min="4838" max="4838"/>
    <col width="16.375" customWidth="1" min="4839" max="4839"/>
    <col width="20.125" customWidth="1" min="4840" max="4840"/>
    <col width="17.625" customWidth="1" min="4841" max="4841"/>
    <col width="12" customWidth="1" min="4842" max="4842"/>
    <col width="16" customWidth="1" min="4843" max="4843"/>
    <col width="5.125" customWidth="1" min="5066" max="5066"/>
    <col width="13.375" customWidth="1" min="5067" max="5067"/>
    <col width="45.75" customWidth="1" min="5068" max="5068"/>
    <col width="10.625" customWidth="1" min="5069" max="5070"/>
    <col width="13.75" customWidth="1" min="5071" max="5071"/>
    <col width="18.375" customWidth="1" min="5072" max="5072"/>
    <col width="20.625" customWidth="1" min="5073" max="5073"/>
    <col width="17.375" customWidth="1" min="5074" max="5074"/>
    <col width="12.125" customWidth="1" min="5075" max="5075"/>
    <col width="10.625" customWidth="1" min="5076" max="5076"/>
    <col width="14.375" customWidth="1" min="5077" max="5077"/>
    <col width="10.625" customWidth="1" min="5078" max="5078"/>
    <col width="13" customWidth="1" min="5079" max="5079"/>
    <col width="13.125" customWidth="1" min="5080" max="5080"/>
    <col width="10.625" customWidth="1" min="5081" max="5082"/>
    <col width="13" customWidth="1" min="5083" max="5083"/>
    <col width="10.625" customWidth="1" min="5084" max="5084"/>
    <col width="12.375" customWidth="1" min="5085" max="5085"/>
    <col width="10.625" customWidth="1" min="5086" max="5086"/>
    <col width="15" customWidth="1" min="5087" max="5087"/>
    <col width="20.375" customWidth="1" min="5088" max="5088"/>
    <col width="10.625" customWidth="1" min="5089" max="5089"/>
    <col width="11.375" customWidth="1" min="5090" max="5090"/>
    <col width="10.625" customWidth="1" min="5091" max="5091"/>
    <col width="16.125" customWidth="1" min="5092" max="5092"/>
    <col width="12.625" customWidth="1" min="5093" max="5093"/>
    <col width="17" customWidth="1" min="5094" max="5094"/>
    <col width="16.375" customWidth="1" min="5095" max="5095"/>
    <col width="20.125" customWidth="1" min="5096" max="5096"/>
    <col width="17.625" customWidth="1" min="5097" max="5097"/>
    <col width="12" customWidth="1" min="5098" max="5098"/>
    <col width="16" customWidth="1" min="5099" max="5099"/>
    <col width="5.125" customWidth="1" min="5322" max="5322"/>
    <col width="13.375" customWidth="1" min="5323" max="5323"/>
    <col width="45.75" customWidth="1" min="5324" max="5324"/>
    <col width="10.625" customWidth="1" min="5325" max="5326"/>
    <col width="13.75" customWidth="1" min="5327" max="5327"/>
    <col width="18.375" customWidth="1" min="5328" max="5328"/>
    <col width="20.625" customWidth="1" min="5329" max="5329"/>
    <col width="17.375" customWidth="1" min="5330" max="5330"/>
    <col width="12.125" customWidth="1" min="5331" max="5331"/>
    <col width="10.625" customWidth="1" min="5332" max="5332"/>
    <col width="14.375" customWidth="1" min="5333" max="5333"/>
    <col width="10.625" customWidth="1" min="5334" max="5334"/>
    <col width="13" customWidth="1" min="5335" max="5335"/>
    <col width="13.125" customWidth="1" min="5336" max="5336"/>
    <col width="10.625" customWidth="1" min="5337" max="5338"/>
    <col width="13" customWidth="1" min="5339" max="5339"/>
    <col width="10.625" customWidth="1" min="5340" max="5340"/>
    <col width="12.375" customWidth="1" min="5341" max="5341"/>
    <col width="10.625" customWidth="1" min="5342" max="5342"/>
    <col width="15" customWidth="1" min="5343" max="5343"/>
    <col width="20.375" customWidth="1" min="5344" max="5344"/>
    <col width="10.625" customWidth="1" min="5345" max="5345"/>
    <col width="11.375" customWidth="1" min="5346" max="5346"/>
    <col width="10.625" customWidth="1" min="5347" max="5347"/>
    <col width="16.125" customWidth="1" min="5348" max="5348"/>
    <col width="12.625" customWidth="1" min="5349" max="5349"/>
    <col width="17" customWidth="1" min="5350" max="5350"/>
    <col width="16.375" customWidth="1" min="5351" max="5351"/>
    <col width="20.125" customWidth="1" min="5352" max="5352"/>
    <col width="17.625" customWidth="1" min="5353" max="5353"/>
    <col width="12" customWidth="1" min="5354" max="5354"/>
    <col width="16" customWidth="1" min="5355" max="5355"/>
    <col width="5.125" customWidth="1" min="5578" max="5578"/>
    <col width="13.375" customWidth="1" min="5579" max="5579"/>
    <col width="45.75" customWidth="1" min="5580" max="5580"/>
    <col width="10.625" customWidth="1" min="5581" max="5582"/>
    <col width="13.75" customWidth="1" min="5583" max="5583"/>
    <col width="18.375" customWidth="1" min="5584" max="5584"/>
    <col width="20.625" customWidth="1" min="5585" max="5585"/>
    <col width="17.375" customWidth="1" min="5586" max="5586"/>
    <col width="12.125" customWidth="1" min="5587" max="5587"/>
    <col width="10.625" customWidth="1" min="5588" max="5588"/>
    <col width="14.375" customWidth="1" min="5589" max="5589"/>
    <col width="10.625" customWidth="1" min="5590" max="5590"/>
    <col width="13" customWidth="1" min="5591" max="5591"/>
    <col width="13.125" customWidth="1" min="5592" max="5592"/>
    <col width="10.625" customWidth="1" min="5593" max="5594"/>
    <col width="13" customWidth="1" min="5595" max="5595"/>
    <col width="10.625" customWidth="1" min="5596" max="5596"/>
    <col width="12.375" customWidth="1" min="5597" max="5597"/>
    <col width="10.625" customWidth="1" min="5598" max="5598"/>
    <col width="15" customWidth="1" min="5599" max="5599"/>
    <col width="20.375" customWidth="1" min="5600" max="5600"/>
    <col width="10.625" customWidth="1" min="5601" max="5601"/>
    <col width="11.375" customWidth="1" min="5602" max="5602"/>
    <col width="10.625" customWidth="1" min="5603" max="5603"/>
    <col width="16.125" customWidth="1" min="5604" max="5604"/>
    <col width="12.625" customWidth="1" min="5605" max="5605"/>
    <col width="17" customWidth="1" min="5606" max="5606"/>
    <col width="16.375" customWidth="1" min="5607" max="5607"/>
    <col width="20.125" customWidth="1" min="5608" max="5608"/>
    <col width="17.625" customWidth="1" min="5609" max="5609"/>
    <col width="12" customWidth="1" min="5610" max="5610"/>
    <col width="16" customWidth="1" min="5611" max="5611"/>
    <col width="5.125" customWidth="1" min="5834" max="5834"/>
    <col width="13.375" customWidth="1" min="5835" max="5835"/>
    <col width="45.75" customWidth="1" min="5836" max="5836"/>
    <col width="10.625" customWidth="1" min="5837" max="5838"/>
    <col width="13.75" customWidth="1" min="5839" max="5839"/>
    <col width="18.375" customWidth="1" min="5840" max="5840"/>
    <col width="20.625" customWidth="1" min="5841" max="5841"/>
    <col width="17.375" customWidth="1" min="5842" max="5842"/>
    <col width="12.125" customWidth="1" min="5843" max="5843"/>
    <col width="10.625" customWidth="1" min="5844" max="5844"/>
    <col width="14.375" customWidth="1" min="5845" max="5845"/>
    <col width="10.625" customWidth="1" min="5846" max="5846"/>
    <col width="13" customWidth="1" min="5847" max="5847"/>
    <col width="13.125" customWidth="1" min="5848" max="5848"/>
    <col width="10.625" customWidth="1" min="5849" max="5850"/>
    <col width="13" customWidth="1" min="5851" max="5851"/>
    <col width="10.625" customWidth="1" min="5852" max="5852"/>
    <col width="12.375" customWidth="1" min="5853" max="5853"/>
    <col width="10.625" customWidth="1" min="5854" max="5854"/>
    <col width="15" customWidth="1" min="5855" max="5855"/>
    <col width="20.375" customWidth="1" min="5856" max="5856"/>
    <col width="10.625" customWidth="1" min="5857" max="5857"/>
    <col width="11.375" customWidth="1" min="5858" max="5858"/>
    <col width="10.625" customWidth="1" min="5859" max="5859"/>
    <col width="16.125" customWidth="1" min="5860" max="5860"/>
    <col width="12.625" customWidth="1" min="5861" max="5861"/>
    <col width="17" customWidth="1" min="5862" max="5862"/>
    <col width="16.375" customWidth="1" min="5863" max="5863"/>
    <col width="20.125" customWidth="1" min="5864" max="5864"/>
    <col width="17.625" customWidth="1" min="5865" max="5865"/>
    <col width="12" customWidth="1" min="5866" max="5866"/>
    <col width="16" customWidth="1" min="5867" max="5867"/>
    <col width="5.125" customWidth="1" min="6090" max="6090"/>
    <col width="13.375" customWidth="1" min="6091" max="6091"/>
    <col width="45.75" customWidth="1" min="6092" max="6092"/>
    <col width="10.625" customWidth="1" min="6093" max="6094"/>
    <col width="13.75" customWidth="1" min="6095" max="6095"/>
    <col width="18.375" customWidth="1" min="6096" max="6096"/>
    <col width="20.625" customWidth="1" min="6097" max="6097"/>
    <col width="17.375" customWidth="1" min="6098" max="6098"/>
    <col width="12.125" customWidth="1" min="6099" max="6099"/>
    <col width="10.625" customWidth="1" min="6100" max="6100"/>
    <col width="14.375" customWidth="1" min="6101" max="6101"/>
    <col width="10.625" customWidth="1" min="6102" max="6102"/>
    <col width="13" customWidth="1" min="6103" max="6103"/>
    <col width="13.125" customWidth="1" min="6104" max="6104"/>
    <col width="10.625" customWidth="1" min="6105" max="6106"/>
    <col width="13" customWidth="1" min="6107" max="6107"/>
    <col width="10.625" customWidth="1" min="6108" max="6108"/>
    <col width="12.375" customWidth="1" min="6109" max="6109"/>
    <col width="10.625" customWidth="1" min="6110" max="6110"/>
    <col width="15" customWidth="1" min="6111" max="6111"/>
    <col width="20.375" customWidth="1" min="6112" max="6112"/>
    <col width="10.625" customWidth="1" min="6113" max="6113"/>
    <col width="11.375" customWidth="1" min="6114" max="6114"/>
    <col width="10.625" customWidth="1" min="6115" max="6115"/>
    <col width="16.125" customWidth="1" min="6116" max="6116"/>
    <col width="12.625" customWidth="1" min="6117" max="6117"/>
    <col width="17" customWidth="1" min="6118" max="6118"/>
    <col width="16.375" customWidth="1" min="6119" max="6119"/>
    <col width="20.125" customWidth="1" min="6120" max="6120"/>
    <col width="17.625" customWidth="1" min="6121" max="6121"/>
    <col width="12" customWidth="1" min="6122" max="6122"/>
    <col width="16" customWidth="1" min="6123" max="6123"/>
    <col width="5.125" customWidth="1" min="6346" max="6346"/>
    <col width="13.375" customWidth="1" min="6347" max="6347"/>
    <col width="45.75" customWidth="1" min="6348" max="6348"/>
    <col width="10.625" customWidth="1" min="6349" max="6350"/>
    <col width="13.75" customWidth="1" min="6351" max="6351"/>
    <col width="18.375" customWidth="1" min="6352" max="6352"/>
    <col width="20.625" customWidth="1" min="6353" max="6353"/>
    <col width="17.375" customWidth="1" min="6354" max="6354"/>
    <col width="12.125" customWidth="1" min="6355" max="6355"/>
    <col width="10.625" customWidth="1" min="6356" max="6356"/>
    <col width="14.375" customWidth="1" min="6357" max="6357"/>
    <col width="10.625" customWidth="1" min="6358" max="6358"/>
    <col width="13" customWidth="1" min="6359" max="6359"/>
    <col width="13.125" customWidth="1" min="6360" max="6360"/>
    <col width="10.625" customWidth="1" min="6361" max="6362"/>
    <col width="13" customWidth="1" min="6363" max="6363"/>
    <col width="10.625" customWidth="1" min="6364" max="6364"/>
    <col width="12.375" customWidth="1" min="6365" max="6365"/>
    <col width="10.625" customWidth="1" min="6366" max="6366"/>
    <col width="15" customWidth="1" min="6367" max="6367"/>
    <col width="20.375" customWidth="1" min="6368" max="6368"/>
    <col width="10.625" customWidth="1" min="6369" max="6369"/>
    <col width="11.375" customWidth="1" min="6370" max="6370"/>
    <col width="10.625" customWidth="1" min="6371" max="6371"/>
    <col width="16.125" customWidth="1" min="6372" max="6372"/>
    <col width="12.625" customWidth="1" min="6373" max="6373"/>
    <col width="17" customWidth="1" min="6374" max="6374"/>
    <col width="16.375" customWidth="1" min="6375" max="6375"/>
    <col width="20.125" customWidth="1" min="6376" max="6376"/>
    <col width="17.625" customWidth="1" min="6377" max="6377"/>
    <col width="12" customWidth="1" min="6378" max="6378"/>
    <col width="16" customWidth="1" min="6379" max="6379"/>
    <col width="5.125" customWidth="1" min="6602" max="6602"/>
    <col width="13.375" customWidth="1" min="6603" max="6603"/>
    <col width="45.75" customWidth="1" min="6604" max="6604"/>
    <col width="10.625" customWidth="1" min="6605" max="6606"/>
    <col width="13.75" customWidth="1" min="6607" max="6607"/>
    <col width="18.375" customWidth="1" min="6608" max="6608"/>
    <col width="20.625" customWidth="1" min="6609" max="6609"/>
    <col width="17.375" customWidth="1" min="6610" max="6610"/>
    <col width="12.125" customWidth="1" min="6611" max="6611"/>
    <col width="10.625" customWidth="1" min="6612" max="6612"/>
    <col width="14.375" customWidth="1" min="6613" max="6613"/>
    <col width="10.625" customWidth="1" min="6614" max="6614"/>
    <col width="13" customWidth="1" min="6615" max="6615"/>
    <col width="13.125" customWidth="1" min="6616" max="6616"/>
    <col width="10.625" customWidth="1" min="6617" max="6618"/>
    <col width="13" customWidth="1" min="6619" max="6619"/>
    <col width="10.625" customWidth="1" min="6620" max="6620"/>
    <col width="12.375" customWidth="1" min="6621" max="6621"/>
    <col width="10.625" customWidth="1" min="6622" max="6622"/>
    <col width="15" customWidth="1" min="6623" max="6623"/>
    <col width="20.375" customWidth="1" min="6624" max="6624"/>
    <col width="10.625" customWidth="1" min="6625" max="6625"/>
    <col width="11.375" customWidth="1" min="6626" max="6626"/>
    <col width="10.625" customWidth="1" min="6627" max="6627"/>
    <col width="16.125" customWidth="1" min="6628" max="6628"/>
    <col width="12.625" customWidth="1" min="6629" max="6629"/>
    <col width="17" customWidth="1" min="6630" max="6630"/>
    <col width="16.375" customWidth="1" min="6631" max="6631"/>
    <col width="20.125" customWidth="1" min="6632" max="6632"/>
    <col width="17.625" customWidth="1" min="6633" max="6633"/>
    <col width="12" customWidth="1" min="6634" max="6634"/>
    <col width="16" customWidth="1" min="6635" max="6635"/>
    <col width="5.125" customWidth="1" min="6858" max="6858"/>
    <col width="13.375" customWidth="1" min="6859" max="6859"/>
    <col width="45.75" customWidth="1" min="6860" max="6860"/>
    <col width="10.625" customWidth="1" min="6861" max="6862"/>
    <col width="13.75" customWidth="1" min="6863" max="6863"/>
    <col width="18.375" customWidth="1" min="6864" max="6864"/>
    <col width="20.625" customWidth="1" min="6865" max="6865"/>
    <col width="17.375" customWidth="1" min="6866" max="6866"/>
    <col width="12.125" customWidth="1" min="6867" max="6867"/>
    <col width="10.625" customWidth="1" min="6868" max="6868"/>
    <col width="14.375" customWidth="1" min="6869" max="6869"/>
    <col width="10.625" customWidth="1" min="6870" max="6870"/>
    <col width="13" customWidth="1" min="6871" max="6871"/>
    <col width="13.125" customWidth="1" min="6872" max="6872"/>
    <col width="10.625" customWidth="1" min="6873" max="6874"/>
    <col width="13" customWidth="1" min="6875" max="6875"/>
    <col width="10.625" customWidth="1" min="6876" max="6876"/>
    <col width="12.375" customWidth="1" min="6877" max="6877"/>
    <col width="10.625" customWidth="1" min="6878" max="6878"/>
    <col width="15" customWidth="1" min="6879" max="6879"/>
    <col width="20.375" customWidth="1" min="6880" max="6880"/>
    <col width="10.625" customWidth="1" min="6881" max="6881"/>
    <col width="11.375" customWidth="1" min="6882" max="6882"/>
    <col width="10.625" customWidth="1" min="6883" max="6883"/>
    <col width="16.125" customWidth="1" min="6884" max="6884"/>
    <col width="12.625" customWidth="1" min="6885" max="6885"/>
    <col width="17" customWidth="1" min="6886" max="6886"/>
    <col width="16.375" customWidth="1" min="6887" max="6887"/>
    <col width="20.125" customWidth="1" min="6888" max="6888"/>
    <col width="17.625" customWidth="1" min="6889" max="6889"/>
    <col width="12" customWidth="1" min="6890" max="6890"/>
    <col width="16" customWidth="1" min="6891" max="6891"/>
    <col width="5.125" customWidth="1" min="7114" max="7114"/>
    <col width="13.375" customWidth="1" min="7115" max="7115"/>
    <col width="45.75" customWidth="1" min="7116" max="7116"/>
    <col width="10.625" customWidth="1" min="7117" max="7118"/>
    <col width="13.75" customWidth="1" min="7119" max="7119"/>
    <col width="18.375" customWidth="1" min="7120" max="7120"/>
    <col width="20.625" customWidth="1" min="7121" max="7121"/>
    <col width="17.375" customWidth="1" min="7122" max="7122"/>
    <col width="12.125" customWidth="1" min="7123" max="7123"/>
    <col width="10.625" customWidth="1" min="7124" max="7124"/>
    <col width="14.375" customWidth="1" min="7125" max="7125"/>
    <col width="10.625" customWidth="1" min="7126" max="7126"/>
    <col width="13" customWidth="1" min="7127" max="7127"/>
    <col width="13.125" customWidth="1" min="7128" max="7128"/>
    <col width="10.625" customWidth="1" min="7129" max="7130"/>
    <col width="13" customWidth="1" min="7131" max="7131"/>
    <col width="10.625" customWidth="1" min="7132" max="7132"/>
    <col width="12.375" customWidth="1" min="7133" max="7133"/>
    <col width="10.625" customWidth="1" min="7134" max="7134"/>
    <col width="15" customWidth="1" min="7135" max="7135"/>
    <col width="20.375" customWidth="1" min="7136" max="7136"/>
    <col width="10.625" customWidth="1" min="7137" max="7137"/>
    <col width="11.375" customWidth="1" min="7138" max="7138"/>
    <col width="10.625" customWidth="1" min="7139" max="7139"/>
    <col width="16.125" customWidth="1" min="7140" max="7140"/>
    <col width="12.625" customWidth="1" min="7141" max="7141"/>
    <col width="17" customWidth="1" min="7142" max="7142"/>
    <col width="16.375" customWidth="1" min="7143" max="7143"/>
    <col width="20.125" customWidth="1" min="7144" max="7144"/>
    <col width="17.625" customWidth="1" min="7145" max="7145"/>
    <col width="12" customWidth="1" min="7146" max="7146"/>
    <col width="16" customWidth="1" min="7147" max="7147"/>
    <col width="5.125" customWidth="1" min="7370" max="7370"/>
    <col width="13.375" customWidth="1" min="7371" max="7371"/>
    <col width="45.75" customWidth="1" min="7372" max="7372"/>
    <col width="10.625" customWidth="1" min="7373" max="7374"/>
    <col width="13.75" customWidth="1" min="7375" max="7375"/>
    <col width="18.375" customWidth="1" min="7376" max="7376"/>
    <col width="20.625" customWidth="1" min="7377" max="7377"/>
    <col width="17.375" customWidth="1" min="7378" max="7378"/>
    <col width="12.125" customWidth="1" min="7379" max="7379"/>
    <col width="10.625" customWidth="1" min="7380" max="7380"/>
    <col width="14.375" customWidth="1" min="7381" max="7381"/>
    <col width="10.625" customWidth="1" min="7382" max="7382"/>
    <col width="13" customWidth="1" min="7383" max="7383"/>
    <col width="13.125" customWidth="1" min="7384" max="7384"/>
    <col width="10.625" customWidth="1" min="7385" max="7386"/>
    <col width="13" customWidth="1" min="7387" max="7387"/>
    <col width="10.625" customWidth="1" min="7388" max="7388"/>
    <col width="12.375" customWidth="1" min="7389" max="7389"/>
    <col width="10.625" customWidth="1" min="7390" max="7390"/>
    <col width="15" customWidth="1" min="7391" max="7391"/>
    <col width="20.375" customWidth="1" min="7392" max="7392"/>
    <col width="10.625" customWidth="1" min="7393" max="7393"/>
    <col width="11.375" customWidth="1" min="7394" max="7394"/>
    <col width="10.625" customWidth="1" min="7395" max="7395"/>
    <col width="16.125" customWidth="1" min="7396" max="7396"/>
    <col width="12.625" customWidth="1" min="7397" max="7397"/>
    <col width="17" customWidth="1" min="7398" max="7398"/>
    <col width="16.375" customWidth="1" min="7399" max="7399"/>
    <col width="20.125" customWidth="1" min="7400" max="7400"/>
    <col width="17.625" customWidth="1" min="7401" max="7401"/>
    <col width="12" customWidth="1" min="7402" max="7402"/>
    <col width="16" customWidth="1" min="7403" max="7403"/>
    <col width="5.125" customWidth="1" min="7626" max="7626"/>
    <col width="13.375" customWidth="1" min="7627" max="7627"/>
    <col width="45.75" customWidth="1" min="7628" max="7628"/>
    <col width="10.625" customWidth="1" min="7629" max="7630"/>
    <col width="13.75" customWidth="1" min="7631" max="7631"/>
    <col width="18.375" customWidth="1" min="7632" max="7632"/>
    <col width="20.625" customWidth="1" min="7633" max="7633"/>
    <col width="17.375" customWidth="1" min="7634" max="7634"/>
    <col width="12.125" customWidth="1" min="7635" max="7635"/>
    <col width="10.625" customWidth="1" min="7636" max="7636"/>
    <col width="14.375" customWidth="1" min="7637" max="7637"/>
    <col width="10.625" customWidth="1" min="7638" max="7638"/>
    <col width="13" customWidth="1" min="7639" max="7639"/>
    <col width="13.125" customWidth="1" min="7640" max="7640"/>
    <col width="10.625" customWidth="1" min="7641" max="7642"/>
    <col width="13" customWidth="1" min="7643" max="7643"/>
    <col width="10.625" customWidth="1" min="7644" max="7644"/>
    <col width="12.375" customWidth="1" min="7645" max="7645"/>
    <col width="10.625" customWidth="1" min="7646" max="7646"/>
    <col width="15" customWidth="1" min="7647" max="7647"/>
    <col width="20.375" customWidth="1" min="7648" max="7648"/>
    <col width="10.625" customWidth="1" min="7649" max="7649"/>
    <col width="11.375" customWidth="1" min="7650" max="7650"/>
    <col width="10.625" customWidth="1" min="7651" max="7651"/>
    <col width="16.125" customWidth="1" min="7652" max="7652"/>
    <col width="12.625" customWidth="1" min="7653" max="7653"/>
    <col width="17" customWidth="1" min="7654" max="7654"/>
    <col width="16.375" customWidth="1" min="7655" max="7655"/>
    <col width="20.125" customWidth="1" min="7656" max="7656"/>
    <col width="17.625" customWidth="1" min="7657" max="7657"/>
    <col width="12" customWidth="1" min="7658" max="7658"/>
    <col width="16" customWidth="1" min="7659" max="7659"/>
    <col width="5.125" customWidth="1" min="7882" max="7882"/>
    <col width="13.375" customWidth="1" min="7883" max="7883"/>
    <col width="45.75" customWidth="1" min="7884" max="7884"/>
    <col width="10.625" customWidth="1" min="7885" max="7886"/>
    <col width="13.75" customWidth="1" min="7887" max="7887"/>
    <col width="18.375" customWidth="1" min="7888" max="7888"/>
    <col width="20.625" customWidth="1" min="7889" max="7889"/>
    <col width="17.375" customWidth="1" min="7890" max="7890"/>
    <col width="12.125" customWidth="1" min="7891" max="7891"/>
    <col width="10.625" customWidth="1" min="7892" max="7892"/>
    <col width="14.375" customWidth="1" min="7893" max="7893"/>
    <col width="10.625" customWidth="1" min="7894" max="7894"/>
    <col width="13" customWidth="1" min="7895" max="7895"/>
    <col width="13.125" customWidth="1" min="7896" max="7896"/>
    <col width="10.625" customWidth="1" min="7897" max="7898"/>
    <col width="13" customWidth="1" min="7899" max="7899"/>
    <col width="10.625" customWidth="1" min="7900" max="7900"/>
    <col width="12.375" customWidth="1" min="7901" max="7901"/>
    <col width="10.625" customWidth="1" min="7902" max="7902"/>
    <col width="15" customWidth="1" min="7903" max="7903"/>
    <col width="20.375" customWidth="1" min="7904" max="7904"/>
    <col width="10.625" customWidth="1" min="7905" max="7905"/>
    <col width="11.375" customWidth="1" min="7906" max="7906"/>
    <col width="10.625" customWidth="1" min="7907" max="7907"/>
    <col width="16.125" customWidth="1" min="7908" max="7908"/>
    <col width="12.625" customWidth="1" min="7909" max="7909"/>
    <col width="17" customWidth="1" min="7910" max="7910"/>
    <col width="16.375" customWidth="1" min="7911" max="7911"/>
    <col width="20.125" customWidth="1" min="7912" max="7912"/>
    <col width="17.625" customWidth="1" min="7913" max="7913"/>
    <col width="12" customWidth="1" min="7914" max="7914"/>
    <col width="16" customWidth="1" min="7915" max="7915"/>
    <col width="5.125" customWidth="1" min="8138" max="8138"/>
    <col width="13.375" customWidth="1" min="8139" max="8139"/>
    <col width="45.75" customWidth="1" min="8140" max="8140"/>
    <col width="10.625" customWidth="1" min="8141" max="8142"/>
    <col width="13.75" customWidth="1" min="8143" max="8143"/>
    <col width="18.375" customWidth="1" min="8144" max="8144"/>
    <col width="20.625" customWidth="1" min="8145" max="8145"/>
    <col width="17.375" customWidth="1" min="8146" max="8146"/>
    <col width="12.125" customWidth="1" min="8147" max="8147"/>
    <col width="10.625" customWidth="1" min="8148" max="8148"/>
    <col width="14.375" customWidth="1" min="8149" max="8149"/>
    <col width="10.625" customWidth="1" min="8150" max="8150"/>
    <col width="13" customWidth="1" min="8151" max="8151"/>
    <col width="13.125" customWidth="1" min="8152" max="8152"/>
    <col width="10.625" customWidth="1" min="8153" max="8154"/>
    <col width="13" customWidth="1" min="8155" max="8155"/>
    <col width="10.625" customWidth="1" min="8156" max="8156"/>
    <col width="12.375" customWidth="1" min="8157" max="8157"/>
    <col width="10.625" customWidth="1" min="8158" max="8158"/>
    <col width="15" customWidth="1" min="8159" max="8159"/>
    <col width="20.375" customWidth="1" min="8160" max="8160"/>
    <col width="10.625" customWidth="1" min="8161" max="8161"/>
    <col width="11.375" customWidth="1" min="8162" max="8162"/>
    <col width="10.625" customWidth="1" min="8163" max="8163"/>
    <col width="16.125" customWidth="1" min="8164" max="8164"/>
    <col width="12.625" customWidth="1" min="8165" max="8165"/>
    <col width="17" customWidth="1" min="8166" max="8166"/>
    <col width="16.375" customWidth="1" min="8167" max="8167"/>
    <col width="20.125" customWidth="1" min="8168" max="8168"/>
    <col width="17.625" customWidth="1" min="8169" max="8169"/>
    <col width="12" customWidth="1" min="8170" max="8170"/>
    <col width="16" customWidth="1" min="8171" max="8171"/>
    <col width="5.125" customWidth="1" min="8394" max="8394"/>
    <col width="13.375" customWidth="1" min="8395" max="8395"/>
    <col width="45.75" customWidth="1" min="8396" max="8396"/>
    <col width="10.625" customWidth="1" min="8397" max="8398"/>
    <col width="13.75" customWidth="1" min="8399" max="8399"/>
    <col width="18.375" customWidth="1" min="8400" max="8400"/>
    <col width="20.625" customWidth="1" min="8401" max="8401"/>
    <col width="17.375" customWidth="1" min="8402" max="8402"/>
    <col width="12.125" customWidth="1" min="8403" max="8403"/>
    <col width="10.625" customWidth="1" min="8404" max="8404"/>
    <col width="14.375" customWidth="1" min="8405" max="8405"/>
    <col width="10.625" customWidth="1" min="8406" max="8406"/>
    <col width="13" customWidth="1" min="8407" max="8407"/>
    <col width="13.125" customWidth="1" min="8408" max="8408"/>
    <col width="10.625" customWidth="1" min="8409" max="8410"/>
    <col width="13" customWidth="1" min="8411" max="8411"/>
    <col width="10.625" customWidth="1" min="8412" max="8412"/>
    <col width="12.375" customWidth="1" min="8413" max="8413"/>
    <col width="10.625" customWidth="1" min="8414" max="8414"/>
    <col width="15" customWidth="1" min="8415" max="8415"/>
    <col width="20.375" customWidth="1" min="8416" max="8416"/>
    <col width="10.625" customWidth="1" min="8417" max="8417"/>
    <col width="11.375" customWidth="1" min="8418" max="8418"/>
    <col width="10.625" customWidth="1" min="8419" max="8419"/>
    <col width="16.125" customWidth="1" min="8420" max="8420"/>
    <col width="12.625" customWidth="1" min="8421" max="8421"/>
    <col width="17" customWidth="1" min="8422" max="8422"/>
    <col width="16.375" customWidth="1" min="8423" max="8423"/>
    <col width="20.125" customWidth="1" min="8424" max="8424"/>
    <col width="17.625" customWidth="1" min="8425" max="8425"/>
    <col width="12" customWidth="1" min="8426" max="8426"/>
    <col width="16" customWidth="1" min="8427" max="8427"/>
    <col width="5.125" customWidth="1" min="8650" max="8650"/>
    <col width="13.375" customWidth="1" min="8651" max="8651"/>
    <col width="45.75" customWidth="1" min="8652" max="8652"/>
    <col width="10.625" customWidth="1" min="8653" max="8654"/>
    <col width="13.75" customWidth="1" min="8655" max="8655"/>
    <col width="18.375" customWidth="1" min="8656" max="8656"/>
    <col width="20.625" customWidth="1" min="8657" max="8657"/>
    <col width="17.375" customWidth="1" min="8658" max="8658"/>
    <col width="12.125" customWidth="1" min="8659" max="8659"/>
    <col width="10.625" customWidth="1" min="8660" max="8660"/>
    <col width="14.375" customWidth="1" min="8661" max="8661"/>
    <col width="10.625" customWidth="1" min="8662" max="8662"/>
    <col width="13" customWidth="1" min="8663" max="8663"/>
    <col width="13.125" customWidth="1" min="8664" max="8664"/>
    <col width="10.625" customWidth="1" min="8665" max="8666"/>
    <col width="13" customWidth="1" min="8667" max="8667"/>
    <col width="10.625" customWidth="1" min="8668" max="8668"/>
    <col width="12.375" customWidth="1" min="8669" max="8669"/>
    <col width="10.625" customWidth="1" min="8670" max="8670"/>
    <col width="15" customWidth="1" min="8671" max="8671"/>
    <col width="20.375" customWidth="1" min="8672" max="8672"/>
    <col width="10.625" customWidth="1" min="8673" max="8673"/>
    <col width="11.375" customWidth="1" min="8674" max="8674"/>
    <col width="10.625" customWidth="1" min="8675" max="8675"/>
    <col width="16.125" customWidth="1" min="8676" max="8676"/>
    <col width="12.625" customWidth="1" min="8677" max="8677"/>
    <col width="17" customWidth="1" min="8678" max="8678"/>
    <col width="16.375" customWidth="1" min="8679" max="8679"/>
    <col width="20.125" customWidth="1" min="8680" max="8680"/>
    <col width="17.625" customWidth="1" min="8681" max="8681"/>
    <col width="12" customWidth="1" min="8682" max="8682"/>
    <col width="16" customWidth="1" min="8683" max="8683"/>
    <col width="5.125" customWidth="1" min="8906" max="8906"/>
    <col width="13.375" customWidth="1" min="8907" max="8907"/>
    <col width="45.75" customWidth="1" min="8908" max="8908"/>
    <col width="10.625" customWidth="1" min="8909" max="8910"/>
    <col width="13.75" customWidth="1" min="8911" max="8911"/>
    <col width="18.375" customWidth="1" min="8912" max="8912"/>
    <col width="20.625" customWidth="1" min="8913" max="8913"/>
    <col width="17.375" customWidth="1" min="8914" max="8914"/>
    <col width="12.125" customWidth="1" min="8915" max="8915"/>
    <col width="10.625" customWidth="1" min="8916" max="8916"/>
    <col width="14.375" customWidth="1" min="8917" max="8917"/>
    <col width="10.625" customWidth="1" min="8918" max="8918"/>
    <col width="13" customWidth="1" min="8919" max="8919"/>
    <col width="13.125" customWidth="1" min="8920" max="8920"/>
    <col width="10.625" customWidth="1" min="8921" max="8922"/>
    <col width="13" customWidth="1" min="8923" max="8923"/>
    <col width="10.625" customWidth="1" min="8924" max="8924"/>
    <col width="12.375" customWidth="1" min="8925" max="8925"/>
    <col width="10.625" customWidth="1" min="8926" max="8926"/>
    <col width="15" customWidth="1" min="8927" max="8927"/>
    <col width="20.375" customWidth="1" min="8928" max="8928"/>
    <col width="10.625" customWidth="1" min="8929" max="8929"/>
    <col width="11.375" customWidth="1" min="8930" max="8930"/>
    <col width="10.625" customWidth="1" min="8931" max="8931"/>
    <col width="16.125" customWidth="1" min="8932" max="8932"/>
    <col width="12.625" customWidth="1" min="8933" max="8933"/>
    <col width="17" customWidth="1" min="8934" max="8934"/>
    <col width="16.375" customWidth="1" min="8935" max="8935"/>
    <col width="20.125" customWidth="1" min="8936" max="8936"/>
    <col width="17.625" customWidth="1" min="8937" max="8937"/>
    <col width="12" customWidth="1" min="8938" max="8938"/>
    <col width="16" customWidth="1" min="8939" max="8939"/>
    <col width="5.125" customWidth="1" min="9162" max="9162"/>
    <col width="13.375" customWidth="1" min="9163" max="9163"/>
    <col width="45.75" customWidth="1" min="9164" max="9164"/>
    <col width="10.625" customWidth="1" min="9165" max="9166"/>
    <col width="13.75" customWidth="1" min="9167" max="9167"/>
    <col width="18.375" customWidth="1" min="9168" max="9168"/>
    <col width="20.625" customWidth="1" min="9169" max="9169"/>
    <col width="17.375" customWidth="1" min="9170" max="9170"/>
    <col width="12.125" customWidth="1" min="9171" max="9171"/>
    <col width="10.625" customWidth="1" min="9172" max="9172"/>
    <col width="14.375" customWidth="1" min="9173" max="9173"/>
    <col width="10.625" customWidth="1" min="9174" max="9174"/>
    <col width="13" customWidth="1" min="9175" max="9175"/>
    <col width="13.125" customWidth="1" min="9176" max="9176"/>
    <col width="10.625" customWidth="1" min="9177" max="9178"/>
    <col width="13" customWidth="1" min="9179" max="9179"/>
    <col width="10.625" customWidth="1" min="9180" max="9180"/>
    <col width="12.375" customWidth="1" min="9181" max="9181"/>
    <col width="10.625" customWidth="1" min="9182" max="9182"/>
    <col width="15" customWidth="1" min="9183" max="9183"/>
    <col width="20.375" customWidth="1" min="9184" max="9184"/>
    <col width="10.625" customWidth="1" min="9185" max="9185"/>
    <col width="11.375" customWidth="1" min="9186" max="9186"/>
    <col width="10.625" customWidth="1" min="9187" max="9187"/>
    <col width="16.125" customWidth="1" min="9188" max="9188"/>
    <col width="12.625" customWidth="1" min="9189" max="9189"/>
    <col width="17" customWidth="1" min="9190" max="9190"/>
    <col width="16.375" customWidth="1" min="9191" max="9191"/>
    <col width="20.125" customWidth="1" min="9192" max="9192"/>
    <col width="17.625" customWidth="1" min="9193" max="9193"/>
    <col width="12" customWidth="1" min="9194" max="9194"/>
    <col width="16" customWidth="1" min="9195" max="9195"/>
    <col width="5.125" customWidth="1" min="9418" max="9418"/>
    <col width="13.375" customWidth="1" min="9419" max="9419"/>
    <col width="45.75" customWidth="1" min="9420" max="9420"/>
    <col width="10.625" customWidth="1" min="9421" max="9422"/>
    <col width="13.75" customWidth="1" min="9423" max="9423"/>
    <col width="18.375" customWidth="1" min="9424" max="9424"/>
    <col width="20.625" customWidth="1" min="9425" max="9425"/>
    <col width="17.375" customWidth="1" min="9426" max="9426"/>
    <col width="12.125" customWidth="1" min="9427" max="9427"/>
    <col width="10.625" customWidth="1" min="9428" max="9428"/>
    <col width="14.375" customWidth="1" min="9429" max="9429"/>
    <col width="10.625" customWidth="1" min="9430" max="9430"/>
    <col width="13" customWidth="1" min="9431" max="9431"/>
    <col width="13.125" customWidth="1" min="9432" max="9432"/>
    <col width="10.625" customWidth="1" min="9433" max="9434"/>
    <col width="13" customWidth="1" min="9435" max="9435"/>
    <col width="10.625" customWidth="1" min="9436" max="9436"/>
    <col width="12.375" customWidth="1" min="9437" max="9437"/>
    <col width="10.625" customWidth="1" min="9438" max="9438"/>
    <col width="15" customWidth="1" min="9439" max="9439"/>
    <col width="20.375" customWidth="1" min="9440" max="9440"/>
    <col width="10.625" customWidth="1" min="9441" max="9441"/>
    <col width="11.375" customWidth="1" min="9442" max="9442"/>
    <col width="10.625" customWidth="1" min="9443" max="9443"/>
    <col width="16.125" customWidth="1" min="9444" max="9444"/>
    <col width="12.625" customWidth="1" min="9445" max="9445"/>
    <col width="17" customWidth="1" min="9446" max="9446"/>
    <col width="16.375" customWidth="1" min="9447" max="9447"/>
    <col width="20.125" customWidth="1" min="9448" max="9448"/>
    <col width="17.625" customWidth="1" min="9449" max="9449"/>
    <col width="12" customWidth="1" min="9450" max="9450"/>
    <col width="16" customWidth="1" min="9451" max="9451"/>
    <col width="5.125" customWidth="1" min="9674" max="9674"/>
    <col width="13.375" customWidth="1" min="9675" max="9675"/>
    <col width="45.75" customWidth="1" min="9676" max="9676"/>
    <col width="10.625" customWidth="1" min="9677" max="9678"/>
    <col width="13.75" customWidth="1" min="9679" max="9679"/>
    <col width="18.375" customWidth="1" min="9680" max="9680"/>
    <col width="20.625" customWidth="1" min="9681" max="9681"/>
    <col width="17.375" customWidth="1" min="9682" max="9682"/>
    <col width="12.125" customWidth="1" min="9683" max="9683"/>
    <col width="10.625" customWidth="1" min="9684" max="9684"/>
    <col width="14.375" customWidth="1" min="9685" max="9685"/>
    <col width="10.625" customWidth="1" min="9686" max="9686"/>
    <col width="13" customWidth="1" min="9687" max="9687"/>
    <col width="13.125" customWidth="1" min="9688" max="9688"/>
    <col width="10.625" customWidth="1" min="9689" max="9690"/>
    <col width="13" customWidth="1" min="9691" max="9691"/>
    <col width="10.625" customWidth="1" min="9692" max="9692"/>
    <col width="12.375" customWidth="1" min="9693" max="9693"/>
    <col width="10.625" customWidth="1" min="9694" max="9694"/>
    <col width="15" customWidth="1" min="9695" max="9695"/>
    <col width="20.375" customWidth="1" min="9696" max="9696"/>
    <col width="10.625" customWidth="1" min="9697" max="9697"/>
    <col width="11.375" customWidth="1" min="9698" max="9698"/>
    <col width="10.625" customWidth="1" min="9699" max="9699"/>
    <col width="16.125" customWidth="1" min="9700" max="9700"/>
    <col width="12.625" customWidth="1" min="9701" max="9701"/>
    <col width="17" customWidth="1" min="9702" max="9702"/>
    <col width="16.375" customWidth="1" min="9703" max="9703"/>
    <col width="20.125" customWidth="1" min="9704" max="9704"/>
    <col width="17.625" customWidth="1" min="9705" max="9705"/>
    <col width="12" customWidth="1" min="9706" max="9706"/>
    <col width="16" customWidth="1" min="9707" max="9707"/>
    <col width="5.125" customWidth="1" min="9930" max="9930"/>
    <col width="13.375" customWidth="1" min="9931" max="9931"/>
    <col width="45.75" customWidth="1" min="9932" max="9932"/>
    <col width="10.625" customWidth="1" min="9933" max="9934"/>
    <col width="13.75" customWidth="1" min="9935" max="9935"/>
    <col width="18.375" customWidth="1" min="9936" max="9936"/>
    <col width="20.625" customWidth="1" min="9937" max="9937"/>
    <col width="17.375" customWidth="1" min="9938" max="9938"/>
    <col width="12.125" customWidth="1" min="9939" max="9939"/>
    <col width="10.625" customWidth="1" min="9940" max="9940"/>
    <col width="14.375" customWidth="1" min="9941" max="9941"/>
    <col width="10.625" customWidth="1" min="9942" max="9942"/>
    <col width="13" customWidth="1" min="9943" max="9943"/>
    <col width="13.125" customWidth="1" min="9944" max="9944"/>
    <col width="10.625" customWidth="1" min="9945" max="9946"/>
    <col width="13" customWidth="1" min="9947" max="9947"/>
    <col width="10.625" customWidth="1" min="9948" max="9948"/>
    <col width="12.375" customWidth="1" min="9949" max="9949"/>
    <col width="10.625" customWidth="1" min="9950" max="9950"/>
    <col width="15" customWidth="1" min="9951" max="9951"/>
    <col width="20.375" customWidth="1" min="9952" max="9952"/>
    <col width="10.625" customWidth="1" min="9953" max="9953"/>
    <col width="11.375" customWidth="1" min="9954" max="9954"/>
    <col width="10.625" customWidth="1" min="9955" max="9955"/>
    <col width="16.125" customWidth="1" min="9956" max="9956"/>
    <col width="12.625" customWidth="1" min="9957" max="9957"/>
    <col width="17" customWidth="1" min="9958" max="9958"/>
    <col width="16.375" customWidth="1" min="9959" max="9959"/>
    <col width="20.125" customWidth="1" min="9960" max="9960"/>
    <col width="17.625" customWidth="1" min="9961" max="9961"/>
    <col width="12" customWidth="1" min="9962" max="9962"/>
    <col width="16" customWidth="1" min="9963" max="9963"/>
    <col width="5.125" customWidth="1" min="10186" max="10186"/>
    <col width="13.375" customWidth="1" min="10187" max="10187"/>
    <col width="45.75" customWidth="1" min="10188" max="10188"/>
    <col width="10.625" customWidth="1" min="10189" max="10190"/>
    <col width="13.75" customWidth="1" min="10191" max="10191"/>
    <col width="18.375" customWidth="1" min="10192" max="10192"/>
    <col width="20.625" customWidth="1" min="10193" max="10193"/>
    <col width="17.375" customWidth="1" min="10194" max="10194"/>
    <col width="12.125" customWidth="1" min="10195" max="10195"/>
    <col width="10.625" customWidth="1" min="10196" max="10196"/>
    <col width="14.375" customWidth="1" min="10197" max="10197"/>
    <col width="10.625" customWidth="1" min="10198" max="10198"/>
    <col width="13" customWidth="1" min="10199" max="10199"/>
    <col width="13.125" customWidth="1" min="10200" max="10200"/>
    <col width="10.625" customWidth="1" min="10201" max="10202"/>
    <col width="13" customWidth="1" min="10203" max="10203"/>
    <col width="10.625" customWidth="1" min="10204" max="10204"/>
    <col width="12.375" customWidth="1" min="10205" max="10205"/>
    <col width="10.625" customWidth="1" min="10206" max="10206"/>
    <col width="15" customWidth="1" min="10207" max="10207"/>
    <col width="20.375" customWidth="1" min="10208" max="10208"/>
    <col width="10.625" customWidth="1" min="10209" max="10209"/>
    <col width="11.375" customWidth="1" min="10210" max="10210"/>
    <col width="10.625" customWidth="1" min="10211" max="10211"/>
    <col width="16.125" customWidth="1" min="10212" max="10212"/>
    <col width="12.625" customWidth="1" min="10213" max="10213"/>
    <col width="17" customWidth="1" min="10214" max="10214"/>
    <col width="16.375" customWidth="1" min="10215" max="10215"/>
    <col width="20.125" customWidth="1" min="10216" max="10216"/>
    <col width="17.625" customWidth="1" min="10217" max="10217"/>
    <col width="12" customWidth="1" min="10218" max="10218"/>
    <col width="16" customWidth="1" min="10219" max="10219"/>
    <col width="5.125" customWidth="1" min="10442" max="10442"/>
    <col width="13.375" customWidth="1" min="10443" max="10443"/>
    <col width="45.75" customWidth="1" min="10444" max="10444"/>
    <col width="10.625" customWidth="1" min="10445" max="10446"/>
    <col width="13.75" customWidth="1" min="10447" max="10447"/>
    <col width="18.375" customWidth="1" min="10448" max="10448"/>
    <col width="20.625" customWidth="1" min="10449" max="10449"/>
    <col width="17.375" customWidth="1" min="10450" max="10450"/>
    <col width="12.125" customWidth="1" min="10451" max="10451"/>
    <col width="10.625" customWidth="1" min="10452" max="10452"/>
    <col width="14.375" customWidth="1" min="10453" max="10453"/>
    <col width="10.625" customWidth="1" min="10454" max="10454"/>
    <col width="13" customWidth="1" min="10455" max="10455"/>
    <col width="13.125" customWidth="1" min="10456" max="10456"/>
    <col width="10.625" customWidth="1" min="10457" max="10458"/>
    <col width="13" customWidth="1" min="10459" max="10459"/>
    <col width="10.625" customWidth="1" min="10460" max="10460"/>
    <col width="12.375" customWidth="1" min="10461" max="10461"/>
    <col width="10.625" customWidth="1" min="10462" max="10462"/>
    <col width="15" customWidth="1" min="10463" max="10463"/>
    <col width="20.375" customWidth="1" min="10464" max="10464"/>
    <col width="10.625" customWidth="1" min="10465" max="10465"/>
    <col width="11.375" customWidth="1" min="10466" max="10466"/>
    <col width="10.625" customWidth="1" min="10467" max="10467"/>
    <col width="16.125" customWidth="1" min="10468" max="10468"/>
    <col width="12.625" customWidth="1" min="10469" max="10469"/>
    <col width="17" customWidth="1" min="10470" max="10470"/>
    <col width="16.375" customWidth="1" min="10471" max="10471"/>
    <col width="20.125" customWidth="1" min="10472" max="10472"/>
    <col width="17.625" customWidth="1" min="10473" max="10473"/>
    <col width="12" customWidth="1" min="10474" max="10474"/>
    <col width="16" customWidth="1" min="10475" max="10475"/>
    <col width="5.125" customWidth="1" min="10698" max="10698"/>
    <col width="13.375" customWidth="1" min="10699" max="10699"/>
    <col width="45.75" customWidth="1" min="10700" max="10700"/>
    <col width="10.625" customWidth="1" min="10701" max="10702"/>
    <col width="13.75" customWidth="1" min="10703" max="10703"/>
    <col width="18.375" customWidth="1" min="10704" max="10704"/>
    <col width="20.625" customWidth="1" min="10705" max="10705"/>
    <col width="17.375" customWidth="1" min="10706" max="10706"/>
    <col width="12.125" customWidth="1" min="10707" max="10707"/>
    <col width="10.625" customWidth="1" min="10708" max="10708"/>
    <col width="14.375" customWidth="1" min="10709" max="10709"/>
    <col width="10.625" customWidth="1" min="10710" max="10710"/>
    <col width="13" customWidth="1" min="10711" max="10711"/>
    <col width="13.125" customWidth="1" min="10712" max="10712"/>
    <col width="10.625" customWidth="1" min="10713" max="10714"/>
    <col width="13" customWidth="1" min="10715" max="10715"/>
    <col width="10.625" customWidth="1" min="10716" max="10716"/>
    <col width="12.375" customWidth="1" min="10717" max="10717"/>
    <col width="10.625" customWidth="1" min="10718" max="10718"/>
    <col width="15" customWidth="1" min="10719" max="10719"/>
    <col width="20.375" customWidth="1" min="10720" max="10720"/>
    <col width="10.625" customWidth="1" min="10721" max="10721"/>
    <col width="11.375" customWidth="1" min="10722" max="10722"/>
    <col width="10.625" customWidth="1" min="10723" max="10723"/>
    <col width="16.125" customWidth="1" min="10724" max="10724"/>
    <col width="12.625" customWidth="1" min="10725" max="10725"/>
    <col width="17" customWidth="1" min="10726" max="10726"/>
    <col width="16.375" customWidth="1" min="10727" max="10727"/>
    <col width="20.125" customWidth="1" min="10728" max="10728"/>
    <col width="17.625" customWidth="1" min="10729" max="10729"/>
    <col width="12" customWidth="1" min="10730" max="10730"/>
    <col width="16" customWidth="1" min="10731" max="10731"/>
    <col width="5.125" customWidth="1" min="10954" max="10954"/>
    <col width="13.375" customWidth="1" min="10955" max="10955"/>
    <col width="45.75" customWidth="1" min="10956" max="10956"/>
    <col width="10.625" customWidth="1" min="10957" max="10958"/>
    <col width="13.75" customWidth="1" min="10959" max="10959"/>
    <col width="18.375" customWidth="1" min="10960" max="10960"/>
    <col width="20.625" customWidth="1" min="10961" max="10961"/>
    <col width="17.375" customWidth="1" min="10962" max="10962"/>
    <col width="12.125" customWidth="1" min="10963" max="10963"/>
    <col width="10.625" customWidth="1" min="10964" max="10964"/>
    <col width="14.375" customWidth="1" min="10965" max="10965"/>
    <col width="10.625" customWidth="1" min="10966" max="10966"/>
    <col width="13" customWidth="1" min="10967" max="10967"/>
    <col width="13.125" customWidth="1" min="10968" max="10968"/>
    <col width="10.625" customWidth="1" min="10969" max="10970"/>
    <col width="13" customWidth="1" min="10971" max="10971"/>
    <col width="10.625" customWidth="1" min="10972" max="10972"/>
    <col width="12.375" customWidth="1" min="10973" max="10973"/>
    <col width="10.625" customWidth="1" min="10974" max="10974"/>
    <col width="15" customWidth="1" min="10975" max="10975"/>
    <col width="20.375" customWidth="1" min="10976" max="10976"/>
    <col width="10.625" customWidth="1" min="10977" max="10977"/>
    <col width="11.375" customWidth="1" min="10978" max="10978"/>
    <col width="10.625" customWidth="1" min="10979" max="10979"/>
    <col width="16.125" customWidth="1" min="10980" max="10980"/>
    <col width="12.625" customWidth="1" min="10981" max="10981"/>
    <col width="17" customWidth="1" min="10982" max="10982"/>
    <col width="16.375" customWidth="1" min="10983" max="10983"/>
    <col width="20.125" customWidth="1" min="10984" max="10984"/>
    <col width="17.625" customWidth="1" min="10985" max="10985"/>
    <col width="12" customWidth="1" min="10986" max="10986"/>
    <col width="16" customWidth="1" min="10987" max="10987"/>
    <col width="5.125" customWidth="1" min="11210" max="11210"/>
    <col width="13.375" customWidth="1" min="11211" max="11211"/>
    <col width="45.75" customWidth="1" min="11212" max="11212"/>
    <col width="10.625" customWidth="1" min="11213" max="11214"/>
    <col width="13.75" customWidth="1" min="11215" max="11215"/>
    <col width="18.375" customWidth="1" min="11216" max="11216"/>
    <col width="20.625" customWidth="1" min="11217" max="11217"/>
    <col width="17.375" customWidth="1" min="11218" max="11218"/>
    <col width="12.125" customWidth="1" min="11219" max="11219"/>
    <col width="10.625" customWidth="1" min="11220" max="11220"/>
    <col width="14.375" customWidth="1" min="11221" max="11221"/>
    <col width="10.625" customWidth="1" min="11222" max="11222"/>
    <col width="13" customWidth="1" min="11223" max="11223"/>
    <col width="13.125" customWidth="1" min="11224" max="11224"/>
    <col width="10.625" customWidth="1" min="11225" max="11226"/>
    <col width="13" customWidth="1" min="11227" max="11227"/>
    <col width="10.625" customWidth="1" min="11228" max="11228"/>
    <col width="12.375" customWidth="1" min="11229" max="11229"/>
    <col width="10.625" customWidth="1" min="11230" max="11230"/>
    <col width="15" customWidth="1" min="11231" max="11231"/>
    <col width="20.375" customWidth="1" min="11232" max="11232"/>
    <col width="10.625" customWidth="1" min="11233" max="11233"/>
    <col width="11.375" customWidth="1" min="11234" max="11234"/>
    <col width="10.625" customWidth="1" min="11235" max="11235"/>
    <col width="16.125" customWidth="1" min="11236" max="11236"/>
    <col width="12.625" customWidth="1" min="11237" max="11237"/>
    <col width="17" customWidth="1" min="11238" max="11238"/>
    <col width="16.375" customWidth="1" min="11239" max="11239"/>
    <col width="20.125" customWidth="1" min="11240" max="11240"/>
    <col width="17.625" customWidth="1" min="11241" max="11241"/>
    <col width="12" customWidth="1" min="11242" max="11242"/>
    <col width="16" customWidth="1" min="11243" max="11243"/>
    <col width="5.125" customWidth="1" min="11466" max="11466"/>
    <col width="13.375" customWidth="1" min="11467" max="11467"/>
    <col width="45.75" customWidth="1" min="11468" max="11468"/>
    <col width="10.625" customWidth="1" min="11469" max="11470"/>
    <col width="13.75" customWidth="1" min="11471" max="11471"/>
    <col width="18.375" customWidth="1" min="11472" max="11472"/>
    <col width="20.625" customWidth="1" min="11473" max="11473"/>
    <col width="17.375" customWidth="1" min="11474" max="11474"/>
    <col width="12.125" customWidth="1" min="11475" max="11475"/>
    <col width="10.625" customWidth="1" min="11476" max="11476"/>
    <col width="14.375" customWidth="1" min="11477" max="11477"/>
    <col width="10.625" customWidth="1" min="11478" max="11478"/>
    <col width="13" customWidth="1" min="11479" max="11479"/>
    <col width="13.125" customWidth="1" min="11480" max="11480"/>
    <col width="10.625" customWidth="1" min="11481" max="11482"/>
    <col width="13" customWidth="1" min="11483" max="11483"/>
    <col width="10.625" customWidth="1" min="11484" max="11484"/>
    <col width="12.375" customWidth="1" min="11485" max="11485"/>
    <col width="10.625" customWidth="1" min="11486" max="11486"/>
    <col width="15" customWidth="1" min="11487" max="11487"/>
    <col width="20.375" customWidth="1" min="11488" max="11488"/>
    <col width="10.625" customWidth="1" min="11489" max="11489"/>
    <col width="11.375" customWidth="1" min="11490" max="11490"/>
    <col width="10.625" customWidth="1" min="11491" max="11491"/>
    <col width="16.125" customWidth="1" min="11492" max="11492"/>
    <col width="12.625" customWidth="1" min="11493" max="11493"/>
    <col width="17" customWidth="1" min="11494" max="11494"/>
    <col width="16.375" customWidth="1" min="11495" max="11495"/>
    <col width="20.125" customWidth="1" min="11496" max="11496"/>
    <col width="17.625" customWidth="1" min="11497" max="11497"/>
    <col width="12" customWidth="1" min="11498" max="11498"/>
    <col width="16" customWidth="1" min="11499" max="11499"/>
    <col width="5.125" customWidth="1" min="11722" max="11722"/>
    <col width="13.375" customWidth="1" min="11723" max="11723"/>
    <col width="45.75" customWidth="1" min="11724" max="11724"/>
    <col width="10.625" customWidth="1" min="11725" max="11726"/>
    <col width="13.75" customWidth="1" min="11727" max="11727"/>
    <col width="18.375" customWidth="1" min="11728" max="11728"/>
    <col width="20.625" customWidth="1" min="11729" max="11729"/>
    <col width="17.375" customWidth="1" min="11730" max="11730"/>
    <col width="12.125" customWidth="1" min="11731" max="11731"/>
    <col width="10.625" customWidth="1" min="11732" max="11732"/>
    <col width="14.375" customWidth="1" min="11733" max="11733"/>
    <col width="10.625" customWidth="1" min="11734" max="11734"/>
    <col width="13" customWidth="1" min="11735" max="11735"/>
    <col width="13.125" customWidth="1" min="11736" max="11736"/>
    <col width="10.625" customWidth="1" min="11737" max="11738"/>
    <col width="13" customWidth="1" min="11739" max="11739"/>
    <col width="10.625" customWidth="1" min="11740" max="11740"/>
    <col width="12.375" customWidth="1" min="11741" max="11741"/>
    <col width="10.625" customWidth="1" min="11742" max="11742"/>
    <col width="15" customWidth="1" min="11743" max="11743"/>
    <col width="20.375" customWidth="1" min="11744" max="11744"/>
    <col width="10.625" customWidth="1" min="11745" max="11745"/>
    <col width="11.375" customWidth="1" min="11746" max="11746"/>
    <col width="10.625" customWidth="1" min="11747" max="11747"/>
    <col width="16.125" customWidth="1" min="11748" max="11748"/>
    <col width="12.625" customWidth="1" min="11749" max="11749"/>
    <col width="17" customWidth="1" min="11750" max="11750"/>
    <col width="16.375" customWidth="1" min="11751" max="11751"/>
    <col width="20.125" customWidth="1" min="11752" max="11752"/>
    <col width="17.625" customWidth="1" min="11753" max="11753"/>
    <col width="12" customWidth="1" min="11754" max="11754"/>
    <col width="16" customWidth="1" min="11755" max="11755"/>
    <col width="5.125" customWidth="1" min="11978" max="11978"/>
    <col width="13.375" customWidth="1" min="11979" max="11979"/>
    <col width="45.75" customWidth="1" min="11980" max="11980"/>
    <col width="10.625" customWidth="1" min="11981" max="11982"/>
    <col width="13.75" customWidth="1" min="11983" max="11983"/>
    <col width="18.375" customWidth="1" min="11984" max="11984"/>
    <col width="20.625" customWidth="1" min="11985" max="11985"/>
    <col width="17.375" customWidth="1" min="11986" max="11986"/>
    <col width="12.125" customWidth="1" min="11987" max="11987"/>
    <col width="10.625" customWidth="1" min="11988" max="11988"/>
    <col width="14.375" customWidth="1" min="11989" max="11989"/>
    <col width="10.625" customWidth="1" min="11990" max="11990"/>
    <col width="13" customWidth="1" min="11991" max="11991"/>
    <col width="13.125" customWidth="1" min="11992" max="11992"/>
    <col width="10.625" customWidth="1" min="11993" max="11994"/>
    <col width="13" customWidth="1" min="11995" max="11995"/>
    <col width="10.625" customWidth="1" min="11996" max="11996"/>
    <col width="12.375" customWidth="1" min="11997" max="11997"/>
    <col width="10.625" customWidth="1" min="11998" max="11998"/>
    <col width="15" customWidth="1" min="11999" max="11999"/>
    <col width="20.375" customWidth="1" min="12000" max="12000"/>
    <col width="10.625" customWidth="1" min="12001" max="12001"/>
    <col width="11.375" customWidth="1" min="12002" max="12002"/>
    <col width="10.625" customWidth="1" min="12003" max="12003"/>
    <col width="16.125" customWidth="1" min="12004" max="12004"/>
    <col width="12.625" customWidth="1" min="12005" max="12005"/>
    <col width="17" customWidth="1" min="12006" max="12006"/>
    <col width="16.375" customWidth="1" min="12007" max="12007"/>
    <col width="20.125" customWidth="1" min="12008" max="12008"/>
    <col width="17.625" customWidth="1" min="12009" max="12009"/>
    <col width="12" customWidth="1" min="12010" max="12010"/>
    <col width="16" customWidth="1" min="12011" max="12011"/>
    <col width="5.125" customWidth="1" min="12234" max="12234"/>
    <col width="13.375" customWidth="1" min="12235" max="12235"/>
    <col width="45.75" customWidth="1" min="12236" max="12236"/>
    <col width="10.625" customWidth="1" min="12237" max="12238"/>
    <col width="13.75" customWidth="1" min="12239" max="12239"/>
    <col width="18.375" customWidth="1" min="12240" max="12240"/>
    <col width="20.625" customWidth="1" min="12241" max="12241"/>
    <col width="17.375" customWidth="1" min="12242" max="12242"/>
    <col width="12.125" customWidth="1" min="12243" max="12243"/>
    <col width="10.625" customWidth="1" min="12244" max="12244"/>
    <col width="14.375" customWidth="1" min="12245" max="12245"/>
    <col width="10.625" customWidth="1" min="12246" max="12246"/>
    <col width="13" customWidth="1" min="12247" max="12247"/>
    <col width="13.125" customWidth="1" min="12248" max="12248"/>
    <col width="10.625" customWidth="1" min="12249" max="12250"/>
    <col width="13" customWidth="1" min="12251" max="12251"/>
    <col width="10.625" customWidth="1" min="12252" max="12252"/>
    <col width="12.375" customWidth="1" min="12253" max="12253"/>
    <col width="10.625" customWidth="1" min="12254" max="12254"/>
    <col width="15" customWidth="1" min="12255" max="12255"/>
    <col width="20.375" customWidth="1" min="12256" max="12256"/>
    <col width="10.625" customWidth="1" min="12257" max="12257"/>
    <col width="11.375" customWidth="1" min="12258" max="12258"/>
    <col width="10.625" customWidth="1" min="12259" max="12259"/>
    <col width="16.125" customWidth="1" min="12260" max="12260"/>
    <col width="12.625" customWidth="1" min="12261" max="12261"/>
    <col width="17" customWidth="1" min="12262" max="12262"/>
    <col width="16.375" customWidth="1" min="12263" max="12263"/>
    <col width="20.125" customWidth="1" min="12264" max="12264"/>
    <col width="17.625" customWidth="1" min="12265" max="12265"/>
    <col width="12" customWidth="1" min="12266" max="12266"/>
    <col width="16" customWidth="1" min="12267" max="12267"/>
    <col width="5.125" customWidth="1" min="12490" max="12490"/>
    <col width="13.375" customWidth="1" min="12491" max="12491"/>
    <col width="45.75" customWidth="1" min="12492" max="12492"/>
    <col width="10.625" customWidth="1" min="12493" max="12494"/>
    <col width="13.75" customWidth="1" min="12495" max="12495"/>
    <col width="18.375" customWidth="1" min="12496" max="12496"/>
    <col width="20.625" customWidth="1" min="12497" max="12497"/>
    <col width="17.375" customWidth="1" min="12498" max="12498"/>
    <col width="12.125" customWidth="1" min="12499" max="12499"/>
    <col width="10.625" customWidth="1" min="12500" max="12500"/>
    <col width="14.375" customWidth="1" min="12501" max="12501"/>
    <col width="10.625" customWidth="1" min="12502" max="12502"/>
    <col width="13" customWidth="1" min="12503" max="12503"/>
    <col width="13.125" customWidth="1" min="12504" max="12504"/>
    <col width="10.625" customWidth="1" min="12505" max="12506"/>
    <col width="13" customWidth="1" min="12507" max="12507"/>
    <col width="10.625" customWidth="1" min="12508" max="12508"/>
    <col width="12.375" customWidth="1" min="12509" max="12509"/>
    <col width="10.625" customWidth="1" min="12510" max="12510"/>
    <col width="15" customWidth="1" min="12511" max="12511"/>
    <col width="20.375" customWidth="1" min="12512" max="12512"/>
    <col width="10.625" customWidth="1" min="12513" max="12513"/>
    <col width="11.375" customWidth="1" min="12514" max="12514"/>
    <col width="10.625" customWidth="1" min="12515" max="12515"/>
    <col width="16.125" customWidth="1" min="12516" max="12516"/>
    <col width="12.625" customWidth="1" min="12517" max="12517"/>
    <col width="17" customWidth="1" min="12518" max="12518"/>
    <col width="16.375" customWidth="1" min="12519" max="12519"/>
    <col width="20.125" customWidth="1" min="12520" max="12520"/>
    <col width="17.625" customWidth="1" min="12521" max="12521"/>
    <col width="12" customWidth="1" min="12522" max="12522"/>
    <col width="16" customWidth="1" min="12523" max="12523"/>
    <col width="5.125" customWidth="1" min="12746" max="12746"/>
    <col width="13.375" customWidth="1" min="12747" max="12747"/>
    <col width="45.75" customWidth="1" min="12748" max="12748"/>
    <col width="10.625" customWidth="1" min="12749" max="12750"/>
    <col width="13.75" customWidth="1" min="12751" max="12751"/>
    <col width="18.375" customWidth="1" min="12752" max="12752"/>
    <col width="20.625" customWidth="1" min="12753" max="12753"/>
    <col width="17.375" customWidth="1" min="12754" max="12754"/>
    <col width="12.125" customWidth="1" min="12755" max="12755"/>
    <col width="10.625" customWidth="1" min="12756" max="12756"/>
    <col width="14.375" customWidth="1" min="12757" max="12757"/>
    <col width="10.625" customWidth="1" min="12758" max="12758"/>
    <col width="13" customWidth="1" min="12759" max="12759"/>
    <col width="13.125" customWidth="1" min="12760" max="12760"/>
    <col width="10.625" customWidth="1" min="12761" max="12762"/>
    <col width="13" customWidth="1" min="12763" max="12763"/>
    <col width="10.625" customWidth="1" min="12764" max="12764"/>
    <col width="12.375" customWidth="1" min="12765" max="12765"/>
    <col width="10.625" customWidth="1" min="12766" max="12766"/>
    <col width="15" customWidth="1" min="12767" max="12767"/>
    <col width="20.375" customWidth="1" min="12768" max="12768"/>
    <col width="10.625" customWidth="1" min="12769" max="12769"/>
    <col width="11.375" customWidth="1" min="12770" max="12770"/>
    <col width="10.625" customWidth="1" min="12771" max="12771"/>
    <col width="16.125" customWidth="1" min="12772" max="12772"/>
    <col width="12.625" customWidth="1" min="12773" max="12773"/>
    <col width="17" customWidth="1" min="12774" max="12774"/>
    <col width="16.375" customWidth="1" min="12775" max="12775"/>
    <col width="20.125" customWidth="1" min="12776" max="12776"/>
    <col width="17.625" customWidth="1" min="12777" max="12777"/>
    <col width="12" customWidth="1" min="12778" max="12778"/>
    <col width="16" customWidth="1" min="12779" max="12779"/>
    <col width="5.125" customWidth="1" min="13002" max="13002"/>
    <col width="13.375" customWidth="1" min="13003" max="13003"/>
    <col width="45.75" customWidth="1" min="13004" max="13004"/>
    <col width="10.625" customWidth="1" min="13005" max="13006"/>
    <col width="13.75" customWidth="1" min="13007" max="13007"/>
    <col width="18.375" customWidth="1" min="13008" max="13008"/>
    <col width="20.625" customWidth="1" min="13009" max="13009"/>
    <col width="17.375" customWidth="1" min="13010" max="13010"/>
    <col width="12.125" customWidth="1" min="13011" max="13011"/>
    <col width="10.625" customWidth="1" min="13012" max="13012"/>
    <col width="14.375" customWidth="1" min="13013" max="13013"/>
    <col width="10.625" customWidth="1" min="13014" max="13014"/>
    <col width="13" customWidth="1" min="13015" max="13015"/>
    <col width="13.125" customWidth="1" min="13016" max="13016"/>
    <col width="10.625" customWidth="1" min="13017" max="13018"/>
    <col width="13" customWidth="1" min="13019" max="13019"/>
    <col width="10.625" customWidth="1" min="13020" max="13020"/>
    <col width="12.375" customWidth="1" min="13021" max="13021"/>
    <col width="10.625" customWidth="1" min="13022" max="13022"/>
    <col width="15" customWidth="1" min="13023" max="13023"/>
    <col width="20.375" customWidth="1" min="13024" max="13024"/>
    <col width="10.625" customWidth="1" min="13025" max="13025"/>
    <col width="11.375" customWidth="1" min="13026" max="13026"/>
    <col width="10.625" customWidth="1" min="13027" max="13027"/>
    <col width="16.125" customWidth="1" min="13028" max="13028"/>
    <col width="12.625" customWidth="1" min="13029" max="13029"/>
    <col width="17" customWidth="1" min="13030" max="13030"/>
    <col width="16.375" customWidth="1" min="13031" max="13031"/>
    <col width="20.125" customWidth="1" min="13032" max="13032"/>
    <col width="17.625" customWidth="1" min="13033" max="13033"/>
    <col width="12" customWidth="1" min="13034" max="13034"/>
    <col width="16" customWidth="1" min="13035" max="13035"/>
    <col width="5.125" customWidth="1" min="13258" max="13258"/>
    <col width="13.375" customWidth="1" min="13259" max="13259"/>
    <col width="45.75" customWidth="1" min="13260" max="13260"/>
    <col width="10.625" customWidth="1" min="13261" max="13262"/>
    <col width="13.75" customWidth="1" min="13263" max="13263"/>
    <col width="18.375" customWidth="1" min="13264" max="13264"/>
    <col width="20.625" customWidth="1" min="13265" max="13265"/>
    <col width="17.375" customWidth="1" min="13266" max="13266"/>
    <col width="12.125" customWidth="1" min="13267" max="13267"/>
    <col width="10.625" customWidth="1" min="13268" max="13268"/>
    <col width="14.375" customWidth="1" min="13269" max="13269"/>
    <col width="10.625" customWidth="1" min="13270" max="13270"/>
    <col width="13" customWidth="1" min="13271" max="13271"/>
    <col width="13.125" customWidth="1" min="13272" max="13272"/>
    <col width="10.625" customWidth="1" min="13273" max="13274"/>
    <col width="13" customWidth="1" min="13275" max="13275"/>
    <col width="10.625" customWidth="1" min="13276" max="13276"/>
    <col width="12.375" customWidth="1" min="13277" max="13277"/>
    <col width="10.625" customWidth="1" min="13278" max="13278"/>
    <col width="15" customWidth="1" min="13279" max="13279"/>
    <col width="20.375" customWidth="1" min="13280" max="13280"/>
    <col width="10.625" customWidth="1" min="13281" max="13281"/>
    <col width="11.375" customWidth="1" min="13282" max="13282"/>
    <col width="10.625" customWidth="1" min="13283" max="13283"/>
    <col width="16.125" customWidth="1" min="13284" max="13284"/>
    <col width="12.625" customWidth="1" min="13285" max="13285"/>
    <col width="17" customWidth="1" min="13286" max="13286"/>
    <col width="16.375" customWidth="1" min="13287" max="13287"/>
    <col width="20.125" customWidth="1" min="13288" max="13288"/>
    <col width="17.625" customWidth="1" min="13289" max="13289"/>
    <col width="12" customWidth="1" min="13290" max="13290"/>
    <col width="16" customWidth="1" min="13291" max="13291"/>
    <col width="5.125" customWidth="1" min="13514" max="13514"/>
    <col width="13.375" customWidth="1" min="13515" max="13515"/>
    <col width="45.75" customWidth="1" min="13516" max="13516"/>
    <col width="10.625" customWidth="1" min="13517" max="13518"/>
    <col width="13.75" customWidth="1" min="13519" max="13519"/>
    <col width="18.375" customWidth="1" min="13520" max="13520"/>
    <col width="20.625" customWidth="1" min="13521" max="13521"/>
    <col width="17.375" customWidth="1" min="13522" max="13522"/>
    <col width="12.125" customWidth="1" min="13523" max="13523"/>
    <col width="10.625" customWidth="1" min="13524" max="13524"/>
    <col width="14.375" customWidth="1" min="13525" max="13525"/>
    <col width="10.625" customWidth="1" min="13526" max="13526"/>
    <col width="13" customWidth="1" min="13527" max="13527"/>
    <col width="13.125" customWidth="1" min="13528" max="13528"/>
    <col width="10.625" customWidth="1" min="13529" max="13530"/>
    <col width="13" customWidth="1" min="13531" max="13531"/>
    <col width="10.625" customWidth="1" min="13532" max="13532"/>
    <col width="12.375" customWidth="1" min="13533" max="13533"/>
    <col width="10.625" customWidth="1" min="13534" max="13534"/>
    <col width="15" customWidth="1" min="13535" max="13535"/>
    <col width="20.375" customWidth="1" min="13536" max="13536"/>
    <col width="10.625" customWidth="1" min="13537" max="13537"/>
    <col width="11.375" customWidth="1" min="13538" max="13538"/>
    <col width="10.625" customWidth="1" min="13539" max="13539"/>
    <col width="16.125" customWidth="1" min="13540" max="13540"/>
    <col width="12.625" customWidth="1" min="13541" max="13541"/>
    <col width="17" customWidth="1" min="13542" max="13542"/>
    <col width="16.375" customWidth="1" min="13543" max="13543"/>
    <col width="20.125" customWidth="1" min="13544" max="13544"/>
    <col width="17.625" customWidth="1" min="13545" max="13545"/>
    <col width="12" customWidth="1" min="13546" max="13546"/>
    <col width="16" customWidth="1" min="13547" max="13547"/>
    <col width="5.125" customWidth="1" min="13770" max="13770"/>
    <col width="13.375" customWidth="1" min="13771" max="13771"/>
    <col width="45.75" customWidth="1" min="13772" max="13772"/>
    <col width="10.625" customWidth="1" min="13773" max="13774"/>
    <col width="13.75" customWidth="1" min="13775" max="13775"/>
    <col width="18.375" customWidth="1" min="13776" max="13776"/>
    <col width="20.625" customWidth="1" min="13777" max="13777"/>
    <col width="17.375" customWidth="1" min="13778" max="13778"/>
    <col width="12.125" customWidth="1" min="13779" max="13779"/>
    <col width="10.625" customWidth="1" min="13780" max="13780"/>
    <col width="14.375" customWidth="1" min="13781" max="13781"/>
    <col width="10.625" customWidth="1" min="13782" max="13782"/>
    <col width="13" customWidth="1" min="13783" max="13783"/>
    <col width="13.125" customWidth="1" min="13784" max="13784"/>
    <col width="10.625" customWidth="1" min="13785" max="13786"/>
    <col width="13" customWidth="1" min="13787" max="13787"/>
    <col width="10.625" customWidth="1" min="13788" max="13788"/>
    <col width="12.375" customWidth="1" min="13789" max="13789"/>
    <col width="10.625" customWidth="1" min="13790" max="13790"/>
    <col width="15" customWidth="1" min="13791" max="13791"/>
    <col width="20.375" customWidth="1" min="13792" max="13792"/>
    <col width="10.625" customWidth="1" min="13793" max="13793"/>
    <col width="11.375" customWidth="1" min="13794" max="13794"/>
    <col width="10.625" customWidth="1" min="13795" max="13795"/>
    <col width="16.125" customWidth="1" min="13796" max="13796"/>
    <col width="12.625" customWidth="1" min="13797" max="13797"/>
    <col width="17" customWidth="1" min="13798" max="13798"/>
    <col width="16.375" customWidth="1" min="13799" max="13799"/>
    <col width="20.125" customWidth="1" min="13800" max="13800"/>
    <col width="17.625" customWidth="1" min="13801" max="13801"/>
    <col width="12" customWidth="1" min="13802" max="13802"/>
    <col width="16" customWidth="1" min="13803" max="13803"/>
    <col width="5.125" customWidth="1" min="14026" max="14026"/>
    <col width="13.375" customWidth="1" min="14027" max="14027"/>
    <col width="45.75" customWidth="1" min="14028" max="14028"/>
    <col width="10.625" customWidth="1" min="14029" max="14030"/>
    <col width="13.75" customWidth="1" min="14031" max="14031"/>
    <col width="18.375" customWidth="1" min="14032" max="14032"/>
    <col width="20.625" customWidth="1" min="14033" max="14033"/>
    <col width="17.375" customWidth="1" min="14034" max="14034"/>
    <col width="12.125" customWidth="1" min="14035" max="14035"/>
    <col width="10.625" customWidth="1" min="14036" max="14036"/>
    <col width="14.375" customWidth="1" min="14037" max="14037"/>
    <col width="10.625" customWidth="1" min="14038" max="14038"/>
    <col width="13" customWidth="1" min="14039" max="14039"/>
    <col width="13.125" customWidth="1" min="14040" max="14040"/>
    <col width="10.625" customWidth="1" min="14041" max="14042"/>
    <col width="13" customWidth="1" min="14043" max="14043"/>
    <col width="10.625" customWidth="1" min="14044" max="14044"/>
    <col width="12.375" customWidth="1" min="14045" max="14045"/>
    <col width="10.625" customWidth="1" min="14046" max="14046"/>
    <col width="15" customWidth="1" min="14047" max="14047"/>
    <col width="20.375" customWidth="1" min="14048" max="14048"/>
    <col width="10.625" customWidth="1" min="14049" max="14049"/>
    <col width="11.375" customWidth="1" min="14050" max="14050"/>
    <col width="10.625" customWidth="1" min="14051" max="14051"/>
    <col width="16.125" customWidth="1" min="14052" max="14052"/>
    <col width="12.625" customWidth="1" min="14053" max="14053"/>
    <col width="17" customWidth="1" min="14054" max="14054"/>
    <col width="16.375" customWidth="1" min="14055" max="14055"/>
    <col width="20.125" customWidth="1" min="14056" max="14056"/>
    <col width="17.625" customWidth="1" min="14057" max="14057"/>
    <col width="12" customWidth="1" min="14058" max="14058"/>
    <col width="16" customWidth="1" min="14059" max="14059"/>
    <col width="5.125" customWidth="1" min="14282" max="14282"/>
    <col width="13.375" customWidth="1" min="14283" max="14283"/>
    <col width="45.75" customWidth="1" min="14284" max="14284"/>
    <col width="10.625" customWidth="1" min="14285" max="14286"/>
    <col width="13.75" customWidth="1" min="14287" max="14287"/>
    <col width="18.375" customWidth="1" min="14288" max="14288"/>
    <col width="20.625" customWidth="1" min="14289" max="14289"/>
    <col width="17.375" customWidth="1" min="14290" max="14290"/>
    <col width="12.125" customWidth="1" min="14291" max="14291"/>
    <col width="10.625" customWidth="1" min="14292" max="14292"/>
    <col width="14.375" customWidth="1" min="14293" max="14293"/>
    <col width="10.625" customWidth="1" min="14294" max="14294"/>
    <col width="13" customWidth="1" min="14295" max="14295"/>
    <col width="13.125" customWidth="1" min="14296" max="14296"/>
    <col width="10.625" customWidth="1" min="14297" max="14298"/>
    <col width="13" customWidth="1" min="14299" max="14299"/>
    <col width="10.625" customWidth="1" min="14300" max="14300"/>
    <col width="12.375" customWidth="1" min="14301" max="14301"/>
    <col width="10.625" customWidth="1" min="14302" max="14302"/>
    <col width="15" customWidth="1" min="14303" max="14303"/>
    <col width="20.375" customWidth="1" min="14304" max="14304"/>
    <col width="10.625" customWidth="1" min="14305" max="14305"/>
    <col width="11.375" customWidth="1" min="14306" max="14306"/>
    <col width="10.625" customWidth="1" min="14307" max="14307"/>
    <col width="16.125" customWidth="1" min="14308" max="14308"/>
    <col width="12.625" customWidth="1" min="14309" max="14309"/>
    <col width="17" customWidth="1" min="14310" max="14310"/>
    <col width="16.375" customWidth="1" min="14311" max="14311"/>
    <col width="20.125" customWidth="1" min="14312" max="14312"/>
    <col width="17.625" customWidth="1" min="14313" max="14313"/>
    <col width="12" customWidth="1" min="14314" max="14314"/>
    <col width="16" customWidth="1" min="14315" max="14315"/>
    <col width="5.125" customWidth="1" min="14538" max="14538"/>
    <col width="13.375" customWidth="1" min="14539" max="14539"/>
    <col width="45.75" customWidth="1" min="14540" max="14540"/>
    <col width="10.625" customWidth="1" min="14541" max="14542"/>
    <col width="13.75" customWidth="1" min="14543" max="14543"/>
    <col width="18.375" customWidth="1" min="14544" max="14544"/>
    <col width="20.625" customWidth="1" min="14545" max="14545"/>
    <col width="17.375" customWidth="1" min="14546" max="14546"/>
    <col width="12.125" customWidth="1" min="14547" max="14547"/>
    <col width="10.625" customWidth="1" min="14548" max="14548"/>
    <col width="14.375" customWidth="1" min="14549" max="14549"/>
    <col width="10.625" customWidth="1" min="14550" max="14550"/>
    <col width="13" customWidth="1" min="14551" max="14551"/>
    <col width="13.125" customWidth="1" min="14552" max="14552"/>
    <col width="10.625" customWidth="1" min="14553" max="14554"/>
    <col width="13" customWidth="1" min="14555" max="14555"/>
    <col width="10.625" customWidth="1" min="14556" max="14556"/>
    <col width="12.375" customWidth="1" min="14557" max="14557"/>
    <col width="10.625" customWidth="1" min="14558" max="14558"/>
    <col width="15" customWidth="1" min="14559" max="14559"/>
    <col width="20.375" customWidth="1" min="14560" max="14560"/>
    <col width="10.625" customWidth="1" min="14561" max="14561"/>
    <col width="11.375" customWidth="1" min="14562" max="14562"/>
    <col width="10.625" customWidth="1" min="14563" max="14563"/>
    <col width="16.125" customWidth="1" min="14564" max="14564"/>
    <col width="12.625" customWidth="1" min="14565" max="14565"/>
    <col width="17" customWidth="1" min="14566" max="14566"/>
    <col width="16.375" customWidth="1" min="14567" max="14567"/>
    <col width="20.125" customWidth="1" min="14568" max="14568"/>
    <col width="17.625" customWidth="1" min="14569" max="14569"/>
    <col width="12" customWidth="1" min="14570" max="14570"/>
    <col width="16" customWidth="1" min="14571" max="14571"/>
    <col width="5.125" customWidth="1" min="14794" max="14794"/>
    <col width="13.375" customWidth="1" min="14795" max="14795"/>
    <col width="45.75" customWidth="1" min="14796" max="14796"/>
    <col width="10.625" customWidth="1" min="14797" max="14798"/>
    <col width="13.75" customWidth="1" min="14799" max="14799"/>
    <col width="18.375" customWidth="1" min="14800" max="14800"/>
    <col width="20.625" customWidth="1" min="14801" max="14801"/>
    <col width="17.375" customWidth="1" min="14802" max="14802"/>
    <col width="12.125" customWidth="1" min="14803" max="14803"/>
    <col width="10.625" customWidth="1" min="14804" max="14804"/>
    <col width="14.375" customWidth="1" min="14805" max="14805"/>
    <col width="10.625" customWidth="1" min="14806" max="14806"/>
    <col width="13" customWidth="1" min="14807" max="14807"/>
    <col width="13.125" customWidth="1" min="14808" max="14808"/>
    <col width="10.625" customWidth="1" min="14809" max="14810"/>
    <col width="13" customWidth="1" min="14811" max="14811"/>
    <col width="10.625" customWidth="1" min="14812" max="14812"/>
    <col width="12.375" customWidth="1" min="14813" max="14813"/>
    <col width="10.625" customWidth="1" min="14814" max="14814"/>
    <col width="15" customWidth="1" min="14815" max="14815"/>
    <col width="20.375" customWidth="1" min="14816" max="14816"/>
    <col width="10.625" customWidth="1" min="14817" max="14817"/>
    <col width="11.375" customWidth="1" min="14818" max="14818"/>
    <col width="10.625" customWidth="1" min="14819" max="14819"/>
    <col width="16.125" customWidth="1" min="14820" max="14820"/>
    <col width="12.625" customWidth="1" min="14821" max="14821"/>
    <col width="17" customWidth="1" min="14822" max="14822"/>
    <col width="16.375" customWidth="1" min="14823" max="14823"/>
    <col width="20.125" customWidth="1" min="14824" max="14824"/>
    <col width="17.625" customWidth="1" min="14825" max="14825"/>
    <col width="12" customWidth="1" min="14826" max="14826"/>
    <col width="16" customWidth="1" min="14827" max="14827"/>
    <col width="5.125" customWidth="1" min="15050" max="15050"/>
    <col width="13.375" customWidth="1" min="15051" max="15051"/>
    <col width="45.75" customWidth="1" min="15052" max="15052"/>
    <col width="10.625" customWidth="1" min="15053" max="15054"/>
    <col width="13.75" customWidth="1" min="15055" max="15055"/>
    <col width="18.375" customWidth="1" min="15056" max="15056"/>
    <col width="20.625" customWidth="1" min="15057" max="15057"/>
    <col width="17.375" customWidth="1" min="15058" max="15058"/>
    <col width="12.125" customWidth="1" min="15059" max="15059"/>
    <col width="10.625" customWidth="1" min="15060" max="15060"/>
    <col width="14.375" customWidth="1" min="15061" max="15061"/>
    <col width="10.625" customWidth="1" min="15062" max="15062"/>
    <col width="13" customWidth="1" min="15063" max="15063"/>
    <col width="13.125" customWidth="1" min="15064" max="15064"/>
    <col width="10.625" customWidth="1" min="15065" max="15066"/>
    <col width="13" customWidth="1" min="15067" max="15067"/>
    <col width="10.625" customWidth="1" min="15068" max="15068"/>
    <col width="12.375" customWidth="1" min="15069" max="15069"/>
    <col width="10.625" customWidth="1" min="15070" max="15070"/>
    <col width="15" customWidth="1" min="15071" max="15071"/>
    <col width="20.375" customWidth="1" min="15072" max="15072"/>
    <col width="10.625" customWidth="1" min="15073" max="15073"/>
    <col width="11.375" customWidth="1" min="15074" max="15074"/>
    <col width="10.625" customWidth="1" min="15075" max="15075"/>
    <col width="16.125" customWidth="1" min="15076" max="15076"/>
    <col width="12.625" customWidth="1" min="15077" max="15077"/>
    <col width="17" customWidth="1" min="15078" max="15078"/>
    <col width="16.375" customWidth="1" min="15079" max="15079"/>
    <col width="20.125" customWidth="1" min="15080" max="15080"/>
    <col width="17.625" customWidth="1" min="15081" max="15081"/>
    <col width="12" customWidth="1" min="15082" max="15082"/>
    <col width="16" customWidth="1" min="15083" max="15083"/>
    <col width="5.125" customWidth="1" min="15306" max="15306"/>
    <col width="13.375" customWidth="1" min="15307" max="15307"/>
    <col width="45.75" customWidth="1" min="15308" max="15308"/>
    <col width="10.625" customWidth="1" min="15309" max="15310"/>
    <col width="13.75" customWidth="1" min="15311" max="15311"/>
    <col width="18.375" customWidth="1" min="15312" max="15312"/>
    <col width="20.625" customWidth="1" min="15313" max="15313"/>
    <col width="17.375" customWidth="1" min="15314" max="15314"/>
    <col width="12.125" customWidth="1" min="15315" max="15315"/>
    <col width="10.625" customWidth="1" min="15316" max="15316"/>
    <col width="14.375" customWidth="1" min="15317" max="15317"/>
    <col width="10.625" customWidth="1" min="15318" max="15318"/>
    <col width="13" customWidth="1" min="15319" max="15319"/>
    <col width="13.125" customWidth="1" min="15320" max="15320"/>
    <col width="10.625" customWidth="1" min="15321" max="15322"/>
    <col width="13" customWidth="1" min="15323" max="15323"/>
    <col width="10.625" customWidth="1" min="15324" max="15324"/>
    <col width="12.375" customWidth="1" min="15325" max="15325"/>
    <col width="10.625" customWidth="1" min="15326" max="15326"/>
    <col width="15" customWidth="1" min="15327" max="15327"/>
    <col width="20.375" customWidth="1" min="15328" max="15328"/>
    <col width="10.625" customWidth="1" min="15329" max="15329"/>
    <col width="11.375" customWidth="1" min="15330" max="15330"/>
    <col width="10.625" customWidth="1" min="15331" max="15331"/>
    <col width="16.125" customWidth="1" min="15332" max="15332"/>
    <col width="12.625" customWidth="1" min="15333" max="15333"/>
    <col width="17" customWidth="1" min="15334" max="15334"/>
    <col width="16.375" customWidth="1" min="15335" max="15335"/>
    <col width="20.125" customWidth="1" min="15336" max="15336"/>
    <col width="17.625" customWidth="1" min="15337" max="15337"/>
    <col width="12" customWidth="1" min="15338" max="15338"/>
    <col width="16" customWidth="1" min="15339" max="15339"/>
    <col width="5.125" customWidth="1" min="15562" max="15562"/>
    <col width="13.375" customWidth="1" min="15563" max="15563"/>
    <col width="45.75" customWidth="1" min="15564" max="15564"/>
    <col width="10.625" customWidth="1" min="15565" max="15566"/>
    <col width="13.75" customWidth="1" min="15567" max="15567"/>
    <col width="18.375" customWidth="1" min="15568" max="15568"/>
    <col width="20.625" customWidth="1" min="15569" max="15569"/>
    <col width="17.375" customWidth="1" min="15570" max="15570"/>
    <col width="12.125" customWidth="1" min="15571" max="15571"/>
    <col width="10.625" customWidth="1" min="15572" max="15572"/>
    <col width="14.375" customWidth="1" min="15573" max="15573"/>
    <col width="10.625" customWidth="1" min="15574" max="15574"/>
    <col width="13" customWidth="1" min="15575" max="15575"/>
    <col width="13.125" customWidth="1" min="15576" max="15576"/>
    <col width="10.625" customWidth="1" min="15577" max="15578"/>
    <col width="13" customWidth="1" min="15579" max="15579"/>
    <col width="10.625" customWidth="1" min="15580" max="15580"/>
    <col width="12.375" customWidth="1" min="15581" max="15581"/>
    <col width="10.625" customWidth="1" min="15582" max="15582"/>
    <col width="15" customWidth="1" min="15583" max="15583"/>
    <col width="20.375" customWidth="1" min="15584" max="15584"/>
    <col width="10.625" customWidth="1" min="15585" max="15585"/>
    <col width="11.375" customWidth="1" min="15586" max="15586"/>
    <col width="10.625" customWidth="1" min="15587" max="15587"/>
    <col width="16.125" customWidth="1" min="15588" max="15588"/>
    <col width="12.625" customWidth="1" min="15589" max="15589"/>
    <col width="17" customWidth="1" min="15590" max="15590"/>
    <col width="16.375" customWidth="1" min="15591" max="15591"/>
    <col width="20.125" customWidth="1" min="15592" max="15592"/>
    <col width="17.625" customWidth="1" min="15593" max="15593"/>
    <col width="12" customWidth="1" min="15594" max="15594"/>
    <col width="16" customWidth="1" min="15595" max="15595"/>
    <col width="5.125" customWidth="1" min="15818" max="15818"/>
    <col width="13.375" customWidth="1" min="15819" max="15819"/>
    <col width="45.75" customWidth="1" min="15820" max="15820"/>
    <col width="10.625" customWidth="1" min="15821" max="15822"/>
    <col width="13.75" customWidth="1" min="15823" max="15823"/>
    <col width="18.375" customWidth="1" min="15824" max="15824"/>
    <col width="20.625" customWidth="1" min="15825" max="15825"/>
    <col width="17.375" customWidth="1" min="15826" max="15826"/>
    <col width="12.125" customWidth="1" min="15827" max="15827"/>
    <col width="10.625" customWidth="1" min="15828" max="15828"/>
    <col width="14.375" customWidth="1" min="15829" max="15829"/>
    <col width="10.625" customWidth="1" min="15830" max="15830"/>
    <col width="13" customWidth="1" min="15831" max="15831"/>
    <col width="13.125" customWidth="1" min="15832" max="15832"/>
    <col width="10.625" customWidth="1" min="15833" max="15834"/>
    <col width="13" customWidth="1" min="15835" max="15835"/>
    <col width="10.625" customWidth="1" min="15836" max="15836"/>
    <col width="12.375" customWidth="1" min="15837" max="15837"/>
    <col width="10.625" customWidth="1" min="15838" max="15838"/>
    <col width="15" customWidth="1" min="15839" max="15839"/>
    <col width="20.375" customWidth="1" min="15840" max="15840"/>
    <col width="10.625" customWidth="1" min="15841" max="15841"/>
    <col width="11.375" customWidth="1" min="15842" max="15842"/>
    <col width="10.625" customWidth="1" min="15843" max="15843"/>
    <col width="16.125" customWidth="1" min="15844" max="15844"/>
    <col width="12.625" customWidth="1" min="15845" max="15845"/>
    <col width="17" customWidth="1" min="15846" max="15846"/>
    <col width="16.375" customWidth="1" min="15847" max="15847"/>
    <col width="20.125" customWidth="1" min="15848" max="15848"/>
    <col width="17.625" customWidth="1" min="15849" max="15849"/>
    <col width="12" customWidth="1" min="15850" max="15850"/>
    <col width="16" customWidth="1" min="15851" max="15851"/>
    <col width="5.125" customWidth="1" min="16074" max="16074"/>
    <col width="13.375" customWidth="1" min="16075" max="16075"/>
    <col width="45.75" customWidth="1" min="16076" max="16076"/>
    <col width="10.625" customWidth="1" min="16077" max="16078"/>
    <col width="13.75" customWidth="1" min="16079" max="16079"/>
    <col width="18.375" customWidth="1" min="16080" max="16080"/>
    <col width="20.625" customWidth="1" min="16081" max="16081"/>
    <col width="17.375" customWidth="1" min="16082" max="16082"/>
    <col width="12.125" customWidth="1" min="16083" max="16083"/>
    <col width="10.625" customWidth="1" min="16084" max="16084"/>
    <col width="14.375" customWidth="1" min="16085" max="16085"/>
    <col width="10.625" customWidth="1" min="16086" max="16086"/>
    <col width="13" customWidth="1" min="16087" max="16087"/>
    <col width="13.125" customWidth="1" min="16088" max="16088"/>
    <col width="10.625" customWidth="1" min="16089" max="16090"/>
    <col width="13" customWidth="1" min="16091" max="16091"/>
    <col width="10.625" customWidth="1" min="16092" max="16092"/>
    <col width="12.375" customWidth="1" min="16093" max="16093"/>
    <col width="10.625" customWidth="1" min="16094" max="16094"/>
    <col width="15" customWidth="1" min="16095" max="16095"/>
    <col width="20.375" customWidth="1" min="16096" max="16096"/>
    <col width="10.625" customWidth="1" min="16097" max="16097"/>
    <col width="11.375" customWidth="1" min="16098" max="16098"/>
    <col width="10.625" customWidth="1" min="16099" max="16099"/>
    <col width="16.125" customWidth="1" min="16100" max="16100"/>
    <col width="12.625" customWidth="1" min="16101" max="16101"/>
    <col width="17" customWidth="1" min="16102" max="16102"/>
    <col width="16.375" customWidth="1" min="16103" max="16103"/>
    <col width="20.125" customWidth="1" min="16104" max="16104"/>
    <col width="17.625" customWidth="1" min="16105" max="16105"/>
    <col width="12" customWidth="1" min="16106" max="16106"/>
    <col width="16" customWidth="1" min="16107" max="16107"/>
  </cols>
  <sheetData>
    <row r="1" ht="43.5" customHeight="1">
      <c r="A1" s="406" t="inlineStr">
        <is>
          <t>S/No</t>
        </is>
      </c>
      <c r="B1" s="406" t="inlineStr">
        <is>
          <t>Nationality</t>
        </is>
      </c>
      <c r="C1" s="406" t="inlineStr">
        <is>
          <t xml:space="preserve"> Categories </t>
        </is>
      </c>
      <c r="D1" s="407" t="inlineStr">
        <is>
          <t xml:space="preserve">Facility Management Services </t>
        </is>
      </c>
      <c r="E1" s="408" t="inlineStr">
        <is>
          <t>Expat Qty</t>
        </is>
      </c>
      <c r="F1" s="408" t="inlineStr">
        <is>
          <t>Saudi Qty.</t>
        </is>
      </c>
      <c r="G1" s="406" t="inlineStr">
        <is>
          <t xml:space="preserve">Total </t>
        </is>
      </c>
    </row>
    <row r="2" ht="18.75" customFormat="1" customHeight="1" s="120">
      <c r="A2" s="409" t="inlineStr">
        <is>
          <t xml:space="preserve">MEDICAL FACILITIES </t>
        </is>
      </c>
      <c r="B2" s="410" t="n"/>
      <c r="C2" s="411" t="n"/>
      <c r="D2" s="412" t="n"/>
      <c r="E2" s="357" t="n">
        <v>2</v>
      </c>
      <c r="F2" s="358">
        <f>+SUM(F3:F9)</f>
        <v/>
      </c>
      <c r="G2" s="358">
        <f>SUM(F2:F2)</f>
        <v/>
      </c>
    </row>
    <row r="3" ht="21" customHeight="1">
      <c r="A3" s="216" t="n">
        <v>1</v>
      </c>
      <c r="B3" s="216" t="inlineStr">
        <is>
          <t>S.EXPATS</t>
        </is>
      </c>
      <c r="C3" s="217" t="inlineStr">
        <is>
          <t>A</t>
        </is>
      </c>
      <c r="D3" s="218" t="inlineStr">
        <is>
          <t>MANAGERS</t>
        </is>
      </c>
      <c r="E3" s="360" t="n">
        <v>0</v>
      </c>
      <c r="F3" s="360" t="n">
        <v>0</v>
      </c>
      <c r="G3" s="360" t="n">
        <v>0</v>
      </c>
    </row>
    <row r="4" ht="21" customHeight="1">
      <c r="A4" s="216" t="n">
        <v>1</v>
      </c>
      <c r="B4" s="216" t="inlineStr">
        <is>
          <t>S.EXPATS</t>
        </is>
      </c>
      <c r="C4" s="217" t="inlineStr">
        <is>
          <t>A</t>
        </is>
      </c>
      <c r="D4" s="218" t="inlineStr">
        <is>
          <t>ADMINISTRATORS</t>
        </is>
      </c>
      <c r="E4" s="360" t="n">
        <v>0</v>
      </c>
      <c r="F4" s="360" t="n">
        <v>0</v>
      </c>
      <c r="G4" s="360" t="n">
        <v>0</v>
      </c>
    </row>
    <row r="5" ht="21" customHeight="1">
      <c r="A5" s="216">
        <f>+A4+1</f>
        <v/>
      </c>
      <c r="B5" s="216" t="inlineStr">
        <is>
          <t>S.EXPATS</t>
        </is>
      </c>
      <c r="C5" s="217" t="inlineStr">
        <is>
          <t>A</t>
        </is>
      </c>
      <c r="D5" s="218" t="inlineStr">
        <is>
          <t>SUPERVISORS</t>
        </is>
      </c>
      <c r="E5" s="360" t="n">
        <v>0</v>
      </c>
      <c r="F5" s="360" t="n">
        <v>0</v>
      </c>
      <c r="G5" s="360" t="n">
        <v>0</v>
      </c>
    </row>
    <row r="6" ht="21" customHeight="1">
      <c r="A6" s="216">
        <f>+A5+1</f>
        <v/>
      </c>
      <c r="B6" s="216" t="inlineStr">
        <is>
          <t>S.EXPATS</t>
        </is>
      </c>
      <c r="C6" s="217" t="inlineStr">
        <is>
          <t>B</t>
        </is>
      </c>
      <c r="D6" s="218" t="inlineStr">
        <is>
          <t>TEAM LEADERS</t>
        </is>
      </c>
      <c r="E6" s="360" t="n">
        <v>0</v>
      </c>
      <c r="F6" s="360" t="n">
        <v>0</v>
      </c>
      <c r="G6" s="360" t="n">
        <v>0</v>
      </c>
    </row>
    <row r="7" ht="21" customHeight="1">
      <c r="A7" s="216">
        <f>+A6+1</f>
        <v/>
      </c>
      <c r="B7" s="216" t="inlineStr">
        <is>
          <t>EXPAT'S</t>
        </is>
      </c>
      <c r="C7" s="217" t="inlineStr">
        <is>
          <t>D</t>
        </is>
      </c>
      <c r="D7" s="218" t="inlineStr">
        <is>
          <t>CLEANING STAFF</t>
        </is>
      </c>
      <c r="E7" s="360" t="n">
        <v>2</v>
      </c>
      <c r="F7" s="360" t="n">
        <v>2</v>
      </c>
      <c r="G7" s="360" t="n">
        <v>2</v>
      </c>
    </row>
    <row r="8" ht="21" customHeight="1">
      <c r="A8" s="216">
        <f>+A7+1</f>
        <v/>
      </c>
      <c r="B8" s="216" t="inlineStr">
        <is>
          <t>EXPAT'S</t>
        </is>
      </c>
      <c r="C8" s="217" t="inlineStr">
        <is>
          <t>C</t>
        </is>
      </c>
      <c r="D8" s="218" t="inlineStr">
        <is>
          <t>AMBULANCE DRIVERS</t>
        </is>
      </c>
      <c r="E8" s="360" t="n">
        <v>0</v>
      </c>
      <c r="F8" s="360" t="n">
        <v>0</v>
      </c>
      <c r="G8" s="360" t="n">
        <v>0</v>
      </c>
    </row>
    <row r="9" ht="21" customHeight="1">
      <c r="A9" s="216">
        <f>+A8+1</f>
        <v/>
      </c>
      <c r="B9" s="216" t="inlineStr">
        <is>
          <t>EXPAT'S</t>
        </is>
      </c>
      <c r="C9" s="217" t="inlineStr">
        <is>
          <t>C</t>
        </is>
      </c>
      <c r="D9" s="218" t="inlineStr">
        <is>
          <t>EQUIPMENT TECHNICIANS</t>
        </is>
      </c>
      <c r="E9" s="360" t="n">
        <v>0</v>
      </c>
      <c r="F9" s="360" t="n">
        <v>0</v>
      </c>
      <c r="G9" s="360" t="n">
        <v>0</v>
      </c>
    </row>
    <row r="10" ht="18" customFormat="1" customHeight="1" s="120">
      <c r="A10" s="409" t="inlineStr">
        <is>
          <t>ENVIRONMENT, HEALTH AND SAFETY</t>
        </is>
      </c>
      <c r="B10" s="410" t="n"/>
      <c r="C10" s="411" t="n"/>
      <c r="D10" s="412" t="n"/>
      <c r="E10" s="358" t="n">
        <v>7</v>
      </c>
      <c r="F10" s="358">
        <f>+SUM(F11:F14)</f>
        <v/>
      </c>
      <c r="G10" s="358">
        <f>SUM(F10:F10)</f>
        <v/>
      </c>
    </row>
    <row r="11" ht="21" customHeight="1">
      <c r="A11" s="216" t="n">
        <v>1</v>
      </c>
      <c r="B11" s="216" t="inlineStr">
        <is>
          <t>SAUDI'S</t>
        </is>
      </c>
      <c r="C11" s="217" t="inlineStr">
        <is>
          <t>A</t>
        </is>
      </c>
      <c r="D11" s="220" t="inlineStr">
        <is>
          <t xml:space="preserve">QHSE MANAGER </t>
        </is>
      </c>
      <c r="E11" s="360" t="n">
        <v>1</v>
      </c>
      <c r="F11" s="360" t="n">
        <v>1</v>
      </c>
      <c r="G11" s="360" t="n">
        <v>1</v>
      </c>
    </row>
    <row r="12" ht="21" customHeight="1">
      <c r="A12" s="216">
        <f>+A11+1</f>
        <v/>
      </c>
      <c r="B12" s="216" t="inlineStr">
        <is>
          <t>SAUDI'S</t>
        </is>
      </c>
      <c r="C12" s="217" t="inlineStr">
        <is>
          <t>B</t>
        </is>
      </c>
      <c r="D12" s="220" t="inlineStr">
        <is>
          <t xml:space="preserve">ENVIRONMENTAL INSPECTOR </t>
        </is>
      </c>
      <c r="E12" s="360" t="n">
        <v>2</v>
      </c>
      <c r="F12" s="360" t="n">
        <v>0</v>
      </c>
      <c r="G12" s="360" t="n">
        <v>3</v>
      </c>
    </row>
    <row r="13" ht="21" customHeight="1">
      <c r="A13" s="216">
        <f>+A12+1</f>
        <v/>
      </c>
      <c r="B13" s="216" t="inlineStr">
        <is>
          <t>EXPAT'S</t>
        </is>
      </c>
      <c r="C13" s="217" t="inlineStr">
        <is>
          <t>B</t>
        </is>
      </c>
      <c r="D13" s="220" t="inlineStr">
        <is>
          <t>QSHE  OFFICER</t>
        </is>
      </c>
      <c r="E13" s="360" t="n">
        <v>2</v>
      </c>
      <c r="F13" s="360" t="n">
        <v>2</v>
      </c>
      <c r="G13" s="360" t="n">
        <v>2</v>
      </c>
    </row>
    <row r="14" ht="21" customHeight="1">
      <c r="A14" s="216">
        <f>+A13+1</f>
        <v/>
      </c>
      <c r="B14" s="216" t="inlineStr">
        <is>
          <t>EXPAT'S</t>
        </is>
      </c>
      <c r="C14" s="217" t="inlineStr">
        <is>
          <t>B</t>
        </is>
      </c>
      <c r="D14" s="220" t="inlineStr">
        <is>
          <t>SAFETY OFFICER</t>
        </is>
      </c>
      <c r="E14" s="360" t="n">
        <v>2</v>
      </c>
      <c r="F14" s="360" t="n">
        <v>2</v>
      </c>
      <c r="G14" s="360" t="n">
        <v>2</v>
      </c>
    </row>
    <row r="15" ht="18" customFormat="1" customHeight="1" s="120">
      <c r="A15" s="409" t="inlineStr">
        <is>
          <t>PEST CONTROL SERVICES</t>
        </is>
      </c>
      <c r="B15" s="410" t="n"/>
      <c r="C15" s="411" t="n"/>
      <c r="D15" s="412" t="n"/>
      <c r="E15" s="358" t="n">
        <v>8</v>
      </c>
      <c r="F15" s="358">
        <f>+SUM(F16:F17)</f>
        <v/>
      </c>
      <c r="G15" s="358">
        <f>SUM(F15:F15)</f>
        <v/>
      </c>
    </row>
    <row r="16" ht="21" customHeight="1">
      <c r="A16" s="216" t="n">
        <v>1</v>
      </c>
      <c r="B16" s="216" t="inlineStr">
        <is>
          <t>EXPAT'S</t>
        </is>
      </c>
      <c r="C16" s="217" t="inlineStr">
        <is>
          <t>C</t>
        </is>
      </c>
      <c r="D16" s="220" t="inlineStr">
        <is>
          <t>P.C SUPERVISOR</t>
        </is>
      </c>
      <c r="E16" s="360" t="n">
        <v>2</v>
      </c>
      <c r="F16" s="360" t="n">
        <v>1</v>
      </c>
      <c r="G16" s="360" t="n">
        <v>1</v>
      </c>
    </row>
    <row r="17" ht="21" customHeight="1">
      <c r="A17" s="216">
        <f>+A16+1</f>
        <v/>
      </c>
      <c r="B17" s="216" t="inlineStr">
        <is>
          <t>EXPAT'S</t>
        </is>
      </c>
      <c r="C17" s="217" t="inlineStr">
        <is>
          <t>C</t>
        </is>
      </c>
      <c r="D17" s="220" t="inlineStr">
        <is>
          <t>P.C TECHNICIAN</t>
        </is>
      </c>
      <c r="E17" s="360" t="n">
        <v>6</v>
      </c>
      <c r="F17" s="360" t="n">
        <v>2</v>
      </c>
      <c r="G17" s="360" t="n">
        <v>17</v>
      </c>
    </row>
    <row r="18" ht="18" customFormat="1" customHeight="1" s="120">
      <c r="A18" s="409" t="inlineStr">
        <is>
          <t>WASTE MANAGEMENT</t>
        </is>
      </c>
      <c r="B18" s="410" t="n"/>
      <c r="C18" s="411" t="n"/>
      <c r="D18" s="412" t="n"/>
      <c r="E18" s="358" t="n">
        <v>18</v>
      </c>
      <c r="F18" s="358">
        <f>+SUM(F19:F21)</f>
        <v/>
      </c>
      <c r="G18" s="358">
        <f>SUM(F18:F18)</f>
        <v/>
      </c>
    </row>
    <row r="19" ht="21" customHeight="1">
      <c r="A19" s="216" t="n">
        <v>1</v>
      </c>
      <c r="B19" s="216" t="inlineStr">
        <is>
          <t>EXPAT'S</t>
        </is>
      </c>
      <c r="C19" s="217" t="inlineStr">
        <is>
          <t>A</t>
        </is>
      </c>
      <c r="D19" s="220" t="inlineStr">
        <is>
          <t xml:space="preserve">WASTE SERVICES SUPERVISOR </t>
        </is>
      </c>
      <c r="E19" s="360" t="n">
        <v>2</v>
      </c>
      <c r="F19" s="360" t="n">
        <v>0</v>
      </c>
      <c r="G19" s="360" t="n">
        <v>1</v>
      </c>
    </row>
    <row r="20" ht="21" customHeight="1">
      <c r="A20" s="216">
        <f>+A19+1</f>
        <v/>
      </c>
      <c r="B20" s="216" t="inlineStr">
        <is>
          <t>EXPAT'S</t>
        </is>
      </c>
      <c r="C20" s="217" t="inlineStr">
        <is>
          <t>D</t>
        </is>
      </c>
      <c r="D20" s="220" t="inlineStr">
        <is>
          <t>WASTE SEGREGATOR</t>
        </is>
      </c>
      <c r="E20" s="360" t="n">
        <v>12</v>
      </c>
      <c r="F20" s="360" t="n">
        <v>4</v>
      </c>
      <c r="G20" s="360" t="n">
        <v>4</v>
      </c>
    </row>
    <row r="21" ht="21" customHeight="1">
      <c r="A21" s="216">
        <f>+A20+1</f>
        <v/>
      </c>
      <c r="B21" s="216" t="inlineStr">
        <is>
          <t>EXPAT'S</t>
        </is>
      </c>
      <c r="C21" s="217" t="inlineStr">
        <is>
          <t>D</t>
        </is>
      </c>
      <c r="D21" s="220" t="inlineStr">
        <is>
          <t xml:space="preserve">WASTE COLLECTOR </t>
        </is>
      </c>
      <c r="E21" s="360" t="n">
        <v>4</v>
      </c>
      <c r="F21" s="360" t="n">
        <v>2</v>
      </c>
      <c r="G21" s="360" t="n">
        <v>2</v>
      </c>
    </row>
    <row r="22" ht="18" customFormat="1" customHeight="1" s="120">
      <c r="A22" s="409" t="inlineStr">
        <is>
          <t>HAZARDOUS WASTE STORAGE AND HANDLING</t>
        </is>
      </c>
      <c r="B22" s="410" t="n"/>
      <c r="C22" s="411" t="n"/>
      <c r="D22" s="412" t="n"/>
      <c r="E22" s="358" t="n">
        <v>2</v>
      </c>
      <c r="F22" s="358">
        <f>+SUM(F23)</f>
        <v/>
      </c>
      <c r="G22" s="358">
        <f>SUM(F22:F22)</f>
        <v/>
      </c>
    </row>
    <row r="23" ht="21" customHeight="1">
      <c r="A23" s="216" t="n">
        <v>1</v>
      </c>
      <c r="B23" s="216" t="inlineStr">
        <is>
          <t>EXPAT'S</t>
        </is>
      </c>
      <c r="C23" s="217" t="inlineStr">
        <is>
          <t>D</t>
        </is>
      </c>
      <c r="D23" s="220" t="inlineStr">
        <is>
          <t xml:space="preserve">WASTE COLLECTOR </t>
        </is>
      </c>
      <c r="E23" s="360" t="n">
        <v>2</v>
      </c>
      <c r="F23" s="360" t="n">
        <v>0</v>
      </c>
      <c r="G23" s="360" t="n">
        <v>0</v>
      </c>
    </row>
    <row r="24" ht="18" customFormat="1" customHeight="1" s="120">
      <c r="A24" s="409" t="inlineStr">
        <is>
          <t>SEWAGE TREATMENT PLANT</t>
        </is>
      </c>
      <c r="B24" s="410" t="n"/>
      <c r="C24" s="411" t="n"/>
      <c r="D24" s="412" t="n"/>
      <c r="E24" s="358" t="n">
        <v>8</v>
      </c>
      <c r="F24" s="358">
        <f>+SUM(F25:F27)</f>
        <v/>
      </c>
      <c r="G24" s="358">
        <f>SUM(F24:F24)</f>
        <v/>
      </c>
    </row>
    <row r="25" ht="21" customHeight="1">
      <c r="A25" s="216" t="n">
        <v>1</v>
      </c>
      <c r="B25" s="216" t="inlineStr">
        <is>
          <t>EXPAT'S</t>
        </is>
      </c>
      <c r="C25" s="217" t="inlineStr">
        <is>
          <t>A</t>
        </is>
      </c>
      <c r="D25" s="220" t="inlineStr">
        <is>
          <t xml:space="preserve">STP SUPERVISOR </t>
        </is>
      </c>
      <c r="E25" s="360" t="n">
        <v>2</v>
      </c>
      <c r="F25" s="360" t="n">
        <v>2</v>
      </c>
      <c r="G25" s="360" t="n">
        <v>2</v>
      </c>
    </row>
    <row r="26" ht="21" customHeight="1">
      <c r="A26" s="216">
        <f>+A25+1</f>
        <v/>
      </c>
      <c r="B26" s="216" t="inlineStr">
        <is>
          <t>EXPAT'S</t>
        </is>
      </c>
      <c r="C26" s="217" t="inlineStr">
        <is>
          <t>C</t>
        </is>
      </c>
      <c r="D26" s="220" t="inlineStr">
        <is>
          <t xml:space="preserve">STP OPERATOR </t>
        </is>
      </c>
      <c r="E26" s="360" t="n">
        <v>4</v>
      </c>
      <c r="F26" s="360" t="n">
        <v>4</v>
      </c>
      <c r="G26" s="360" t="n">
        <v>5</v>
      </c>
    </row>
    <row r="27" ht="21" customHeight="1">
      <c r="A27" s="216">
        <f>+A26+1</f>
        <v/>
      </c>
      <c r="B27" s="216" t="inlineStr">
        <is>
          <t>EXPAT'S</t>
        </is>
      </c>
      <c r="C27" s="217" t="inlineStr">
        <is>
          <t>C</t>
        </is>
      </c>
      <c r="D27" s="220" t="inlineStr">
        <is>
          <t>MULTI-SKILLED TECHNICIANS</t>
        </is>
      </c>
      <c r="E27" s="360" t="n">
        <v>2</v>
      </c>
      <c r="F27" s="360" t="n">
        <v>0</v>
      </c>
      <c r="G27" s="360" t="n">
        <v>0</v>
      </c>
    </row>
    <row r="28" ht="18" customFormat="1" customHeight="1" s="120">
      <c r="A28" s="409" t="inlineStr">
        <is>
          <t>MEP MAINTENANCE &amp; SERVICES</t>
        </is>
      </c>
      <c r="B28" s="410" t="n"/>
      <c r="C28" s="411" t="n"/>
      <c r="D28" s="412" t="n"/>
      <c r="E28" s="358" t="n">
        <v>97</v>
      </c>
      <c r="F28" s="358">
        <f>+SUM(F29:F45)</f>
        <v/>
      </c>
      <c r="G28" s="358">
        <f>SUM(F28:F28)</f>
        <v/>
      </c>
    </row>
    <row r="29" ht="21" customHeight="1">
      <c r="A29" s="216" t="n">
        <v>1</v>
      </c>
      <c r="B29" s="216" t="inlineStr">
        <is>
          <t>S.EXPATS</t>
        </is>
      </c>
      <c r="C29" s="217" t="inlineStr">
        <is>
          <t>A</t>
        </is>
      </c>
      <c r="D29" s="220" t="inlineStr">
        <is>
          <t>FACILITIES ENGINEER</t>
        </is>
      </c>
      <c r="E29" s="360" t="n">
        <v>2</v>
      </c>
      <c r="F29" s="360" t="n">
        <v>2</v>
      </c>
      <c r="G29" s="360" t="n">
        <v>3</v>
      </c>
    </row>
    <row r="30" ht="21" customHeight="1">
      <c r="A30" s="216">
        <f>+A29+1</f>
        <v/>
      </c>
      <c r="B30" s="216" t="inlineStr">
        <is>
          <t>EXPAT'S</t>
        </is>
      </c>
      <c r="C30" s="217" t="inlineStr">
        <is>
          <t>A</t>
        </is>
      </c>
      <c r="D30" s="220" t="inlineStr">
        <is>
          <t>SUPERVISORS MEP</t>
        </is>
      </c>
      <c r="E30" s="360" t="n">
        <v>4</v>
      </c>
      <c r="F30" s="360" t="n">
        <v>4</v>
      </c>
      <c r="G30" s="360" t="n">
        <v>4</v>
      </c>
    </row>
    <row r="31" ht="21" customHeight="1">
      <c r="A31" s="216">
        <f>+A30+1</f>
        <v/>
      </c>
      <c r="B31" s="216" t="inlineStr">
        <is>
          <t>EXPAT'S</t>
        </is>
      </c>
      <c r="C31" s="217" t="inlineStr">
        <is>
          <t>C</t>
        </is>
      </c>
      <c r="D31" s="220" t="inlineStr">
        <is>
          <t>UTILITY/GEN</t>
        </is>
      </c>
      <c r="E31" s="360" t="n">
        <v>4</v>
      </c>
      <c r="F31" s="360" t="n">
        <v>3</v>
      </c>
      <c r="G31" s="360" t="n">
        <v>4</v>
      </c>
    </row>
    <row r="32" ht="21" customHeight="1">
      <c r="A32" s="216">
        <f>+A31+1</f>
        <v/>
      </c>
      <c r="B32" s="216" t="inlineStr">
        <is>
          <t>EXPAT'S</t>
        </is>
      </c>
      <c r="C32" s="217" t="inlineStr">
        <is>
          <t>C</t>
        </is>
      </c>
      <c r="D32" s="220" t="inlineStr">
        <is>
          <t>MULTI SKILLED TECH.</t>
        </is>
      </c>
      <c r="E32" s="360" t="n">
        <v>4</v>
      </c>
      <c r="F32" s="360" t="n">
        <v>1</v>
      </c>
      <c r="G32" s="360" t="n">
        <v>4</v>
      </c>
    </row>
    <row r="33" ht="21" customHeight="1">
      <c r="A33" s="216">
        <f>+A32+1</f>
        <v/>
      </c>
      <c r="B33" s="216" t="inlineStr">
        <is>
          <t>EXPAT'S</t>
        </is>
      </c>
      <c r="C33" s="217" t="inlineStr">
        <is>
          <t>C</t>
        </is>
      </c>
      <c r="D33" s="220" t="inlineStr">
        <is>
          <t>MECHANICAL  TECH</t>
        </is>
      </c>
      <c r="E33" s="360" t="n">
        <v>4</v>
      </c>
      <c r="F33" s="360" t="n">
        <v>4</v>
      </c>
      <c r="G33" s="360" t="n">
        <v>7</v>
      </c>
    </row>
    <row r="34" ht="21" customHeight="1">
      <c r="A34" s="216">
        <f>+A33+1</f>
        <v/>
      </c>
      <c r="B34" s="216" t="inlineStr">
        <is>
          <t>EXPAT'S</t>
        </is>
      </c>
      <c r="C34" s="217" t="inlineStr">
        <is>
          <t>C</t>
        </is>
      </c>
      <c r="D34" s="220" t="inlineStr">
        <is>
          <t xml:space="preserve">AC TECHNICIAN  </t>
        </is>
      </c>
      <c r="E34" s="360" t="n">
        <v>16</v>
      </c>
      <c r="F34" s="360" t="n">
        <v>14</v>
      </c>
      <c r="G34" s="360" t="n">
        <v>14</v>
      </c>
    </row>
    <row r="35" ht="21" customHeight="1">
      <c r="A35" s="216">
        <f>+A34+1</f>
        <v/>
      </c>
      <c r="B35" s="216" t="inlineStr">
        <is>
          <t>EXPAT'S</t>
        </is>
      </c>
      <c r="C35" s="217" t="inlineStr">
        <is>
          <t>C</t>
        </is>
      </c>
      <c r="D35" s="220" t="inlineStr">
        <is>
          <t xml:space="preserve">ASSTANT AC TECHNICIAN </t>
        </is>
      </c>
      <c r="E35" s="360" t="n">
        <v>6</v>
      </c>
      <c r="F35" s="360" t="n">
        <v>1</v>
      </c>
      <c r="G35" s="360" t="n">
        <v>1</v>
      </c>
    </row>
    <row r="36" ht="21" customHeight="1">
      <c r="A36" s="216">
        <f>+A35+1</f>
        <v/>
      </c>
      <c r="B36" s="216" t="inlineStr">
        <is>
          <t>EXPAT'S</t>
        </is>
      </c>
      <c r="C36" s="217" t="inlineStr">
        <is>
          <t>C</t>
        </is>
      </c>
      <c r="D36" s="220" t="inlineStr">
        <is>
          <t>PLUMBER</t>
        </is>
      </c>
      <c r="E36" s="360" t="n">
        <v>14</v>
      </c>
      <c r="F36" s="360" t="n">
        <v>13</v>
      </c>
      <c r="G36" s="360" t="n">
        <v>13</v>
      </c>
    </row>
    <row r="37" ht="21" customHeight="1">
      <c r="A37" s="216">
        <f>+A36+1</f>
        <v/>
      </c>
      <c r="B37" s="216" t="inlineStr">
        <is>
          <t>EXPAT'S</t>
        </is>
      </c>
      <c r="C37" s="217" t="inlineStr">
        <is>
          <t>C</t>
        </is>
      </c>
      <c r="D37" s="220" t="inlineStr">
        <is>
          <t xml:space="preserve">TRADE HELPER </t>
        </is>
      </c>
      <c r="E37" s="360" t="n">
        <v>14</v>
      </c>
      <c r="F37" s="360" t="n">
        <v>0</v>
      </c>
      <c r="G37" s="360" t="n">
        <v>0</v>
      </c>
    </row>
    <row r="38" ht="21" customHeight="1">
      <c r="A38" s="216">
        <f>+A37+1</f>
        <v/>
      </c>
      <c r="B38" s="216" t="inlineStr">
        <is>
          <t>EXPAT'S</t>
        </is>
      </c>
      <c r="C38" s="217" t="inlineStr">
        <is>
          <t>A</t>
        </is>
      </c>
      <c r="D38" s="220" t="inlineStr">
        <is>
          <t>SUPERVISOR ELECTRICAL</t>
        </is>
      </c>
      <c r="E38" s="360" t="n">
        <v>2</v>
      </c>
      <c r="F38" s="360" t="n">
        <v>1</v>
      </c>
      <c r="G38" s="360" t="n">
        <v>1</v>
      </c>
    </row>
    <row r="39" ht="21" customHeight="1">
      <c r="A39" s="216">
        <f>+A38+1</f>
        <v/>
      </c>
      <c r="B39" s="216" t="inlineStr">
        <is>
          <t>EXPAT'S</t>
        </is>
      </c>
      <c r="C39" s="217" t="inlineStr">
        <is>
          <t>B</t>
        </is>
      </c>
      <c r="D39" s="220" t="inlineStr">
        <is>
          <t xml:space="preserve">TEAM LEADER ELECTRICAL </t>
        </is>
      </c>
      <c r="E39" s="360" t="n">
        <v>2</v>
      </c>
      <c r="F39" s="360" t="n">
        <v>2</v>
      </c>
      <c r="G39" s="360" t="n">
        <v>2</v>
      </c>
    </row>
    <row r="40" ht="21" customHeight="1">
      <c r="A40" s="216">
        <f>+A39+1</f>
        <v/>
      </c>
      <c r="B40" s="216" t="inlineStr">
        <is>
          <t>EXPAT'S</t>
        </is>
      </c>
      <c r="C40" s="217" t="inlineStr">
        <is>
          <t>C</t>
        </is>
      </c>
      <c r="D40" s="220" t="inlineStr">
        <is>
          <t>ELECTRICIAN</t>
        </is>
      </c>
      <c r="E40" s="360" t="n">
        <v>18</v>
      </c>
      <c r="F40" s="360" t="n">
        <v>18</v>
      </c>
      <c r="G40" s="360" t="n">
        <v>27</v>
      </c>
    </row>
    <row r="41" ht="21" customHeight="1">
      <c r="A41" s="216">
        <f>+A40+1</f>
        <v/>
      </c>
      <c r="B41" s="216" t="inlineStr">
        <is>
          <t>EXPAT'S</t>
        </is>
      </c>
      <c r="C41" s="217" t="inlineStr">
        <is>
          <t>C</t>
        </is>
      </c>
      <c r="D41" s="220" t="inlineStr">
        <is>
          <t xml:space="preserve">APPLIANCE TECHNICIAN </t>
        </is>
      </c>
      <c r="E41" s="360" t="n">
        <v>2</v>
      </c>
      <c r="F41" s="360" t="n">
        <v>0</v>
      </c>
      <c r="G41" s="360" t="n">
        <v>0</v>
      </c>
    </row>
    <row r="42" ht="21" customHeight="1">
      <c r="A42" s="216">
        <f>+A41+1</f>
        <v/>
      </c>
      <c r="B42" s="216" t="inlineStr">
        <is>
          <t>EXPAT'S</t>
        </is>
      </c>
      <c r="C42" s="217" t="inlineStr">
        <is>
          <t>D</t>
        </is>
      </c>
      <c r="D42" s="220" t="inlineStr">
        <is>
          <t>WARE HOUSE HELPER</t>
        </is>
      </c>
      <c r="E42" s="360" t="n">
        <v>2</v>
      </c>
      <c r="F42" s="360" t="n">
        <v>1</v>
      </c>
      <c r="G42" s="360" t="n">
        <v>1</v>
      </c>
    </row>
    <row r="43" ht="21" customHeight="1">
      <c r="A43" s="216">
        <f>+A42+1</f>
        <v/>
      </c>
      <c r="B43" s="216" t="inlineStr">
        <is>
          <t>EXPAT'S</t>
        </is>
      </c>
      <c r="C43" s="217" t="inlineStr">
        <is>
          <t>C</t>
        </is>
      </c>
      <c r="D43" s="220" t="inlineStr">
        <is>
          <t>MEWP CERTIFIED OPERATORS</t>
        </is>
      </c>
      <c r="E43" s="360" t="n">
        <v>0</v>
      </c>
      <c r="F43" s="360" t="n">
        <v>0</v>
      </c>
      <c r="G43" s="360" t="n">
        <v>0</v>
      </c>
    </row>
    <row r="44" ht="21" customHeight="1">
      <c r="A44" s="216">
        <f>+A43+1</f>
        <v/>
      </c>
      <c r="B44" s="216" t="inlineStr">
        <is>
          <t>SAUDI'S</t>
        </is>
      </c>
      <c r="C44" s="217" t="inlineStr">
        <is>
          <t>B</t>
        </is>
      </c>
      <c r="D44" s="220" t="inlineStr">
        <is>
          <t>IT ENGINEER</t>
        </is>
      </c>
      <c r="E44" s="360" t="n">
        <v>1</v>
      </c>
      <c r="F44" s="360" t="n">
        <v>1</v>
      </c>
      <c r="G44" s="360" t="n">
        <v>1</v>
      </c>
    </row>
    <row r="45" ht="21" customHeight="1">
      <c r="A45" s="216">
        <f>+A44+1</f>
        <v/>
      </c>
      <c r="B45" s="216" t="inlineStr">
        <is>
          <t>EXPAT'S</t>
        </is>
      </c>
      <c r="C45" s="217" t="inlineStr">
        <is>
          <t>C</t>
        </is>
      </c>
      <c r="D45" s="220" t="inlineStr">
        <is>
          <t>LV TECHNICIAN (CCTV/IT )</t>
        </is>
      </c>
      <c r="E45" s="360" t="n">
        <v>2</v>
      </c>
      <c r="F45" s="360" t="n">
        <v>2</v>
      </c>
      <c r="G45" s="360" t="n">
        <v>3</v>
      </c>
    </row>
    <row r="46" ht="18" customFormat="1" customHeight="1" s="120">
      <c r="A46" s="409" t="inlineStr">
        <is>
          <t>CIVIL MAINTENANCE &amp; SERVICES</t>
        </is>
      </c>
      <c r="B46" s="410" t="n"/>
      <c r="C46" s="411" t="n"/>
      <c r="D46" s="412" t="n"/>
      <c r="E46" s="358" t="n">
        <v>4</v>
      </c>
      <c r="F46" s="358">
        <f>+SUM(F47:F48)</f>
        <v/>
      </c>
      <c r="G46" s="358">
        <f>SUM(F46:F46)</f>
        <v/>
      </c>
    </row>
    <row r="47" ht="21" customHeight="1">
      <c r="A47" s="216" t="n">
        <v>1</v>
      </c>
      <c r="B47" s="216" t="inlineStr">
        <is>
          <t>EXPAT'S</t>
        </is>
      </c>
      <c r="C47" s="217" t="inlineStr">
        <is>
          <t>A</t>
        </is>
      </c>
      <c r="D47" s="220" t="inlineStr">
        <is>
          <t>CIVIL SUPERVISOR</t>
        </is>
      </c>
      <c r="E47" s="360" t="n">
        <v>2</v>
      </c>
      <c r="F47" s="360" t="n">
        <v>2</v>
      </c>
      <c r="G47" s="360" t="n">
        <v>2</v>
      </c>
    </row>
    <row r="48" ht="21" customHeight="1">
      <c r="A48" s="216">
        <f>+A47+1</f>
        <v/>
      </c>
      <c r="B48" s="216" t="inlineStr">
        <is>
          <t>EXPAT'S</t>
        </is>
      </c>
      <c r="C48" s="217" t="inlineStr">
        <is>
          <t>C</t>
        </is>
      </c>
      <c r="D48" s="220" t="inlineStr">
        <is>
          <t>MASON</t>
        </is>
      </c>
      <c r="E48" s="360" t="n">
        <v>2</v>
      </c>
      <c r="F48" s="360" t="n">
        <v>2</v>
      </c>
      <c r="G48" s="360" t="n">
        <v>3</v>
      </c>
    </row>
    <row r="49" ht="18" customFormat="1" customHeight="1" s="120">
      <c r="A49" s="409" t="inlineStr">
        <is>
          <t>CARPENTRY SERVICES</t>
        </is>
      </c>
      <c r="B49" s="410" t="n"/>
      <c r="C49" s="411" t="n"/>
      <c r="D49" s="412" t="n"/>
      <c r="E49" s="358" t="n">
        <v>12</v>
      </c>
      <c r="F49" s="358">
        <f>+SUM(F50:F51)</f>
        <v/>
      </c>
      <c r="G49" s="358">
        <f>SUM(F49:F49)</f>
        <v/>
      </c>
    </row>
    <row r="50" ht="21" customHeight="1">
      <c r="A50" s="216" t="n">
        <v>1</v>
      </c>
      <c r="B50" s="216" t="inlineStr">
        <is>
          <t>EXPAT'S</t>
        </is>
      </c>
      <c r="C50" s="217" t="inlineStr">
        <is>
          <t>C</t>
        </is>
      </c>
      <c r="D50" s="220" t="inlineStr">
        <is>
          <t>CARPENTER</t>
        </is>
      </c>
      <c r="E50" s="360" t="n">
        <v>8</v>
      </c>
      <c r="F50" s="360" t="n">
        <v>2</v>
      </c>
      <c r="G50" s="360" t="n">
        <v>2</v>
      </c>
    </row>
    <row r="51" ht="21" customHeight="1">
      <c r="A51" s="216">
        <f>+A50+1</f>
        <v/>
      </c>
      <c r="B51" s="216" t="inlineStr">
        <is>
          <t>EXPAT'S</t>
        </is>
      </c>
      <c r="C51" s="217" t="inlineStr">
        <is>
          <t>C</t>
        </is>
      </c>
      <c r="D51" s="220" t="inlineStr">
        <is>
          <t>PAINTER/HANDYMAN (CIVIL)</t>
        </is>
      </c>
      <c r="E51" s="360" t="n">
        <v>4</v>
      </c>
      <c r="F51" s="360" t="n">
        <v>4</v>
      </c>
      <c r="G51" s="360" t="n">
        <v>4</v>
      </c>
    </row>
    <row r="52" ht="18" customFormat="1" customHeight="1" s="120">
      <c r="A52" s="409" t="inlineStr">
        <is>
          <t>LANDSCAPE  SERVICES</t>
        </is>
      </c>
      <c r="B52" s="410" t="n"/>
      <c r="C52" s="411" t="n"/>
      <c r="D52" s="412" t="n"/>
      <c r="E52" s="358" t="n">
        <v>22</v>
      </c>
      <c r="F52" s="358">
        <f>+SUM(F53:F54)</f>
        <v/>
      </c>
      <c r="G52" s="358">
        <f>SUM(F52:F52)</f>
        <v/>
      </c>
    </row>
    <row r="53" ht="21" customHeight="1">
      <c r="A53" s="216" t="n">
        <v>1</v>
      </c>
      <c r="B53" s="216" t="inlineStr">
        <is>
          <t>EXPAT'S</t>
        </is>
      </c>
      <c r="C53" s="217" t="inlineStr">
        <is>
          <t>A</t>
        </is>
      </c>
      <c r="D53" s="220" t="inlineStr">
        <is>
          <t>LANDSCAPE SUPERVISOR</t>
        </is>
      </c>
      <c r="E53" s="362" t="n">
        <v>2</v>
      </c>
      <c r="F53" s="360" t="n">
        <v>1</v>
      </c>
      <c r="G53" s="360" t="n">
        <v>1</v>
      </c>
    </row>
    <row r="54" ht="21" customHeight="1">
      <c r="A54" s="216">
        <f>+A53+1</f>
        <v/>
      </c>
      <c r="B54" s="216" t="inlineStr">
        <is>
          <t>EXPAT'S</t>
        </is>
      </c>
      <c r="C54" s="217" t="inlineStr">
        <is>
          <t>D</t>
        </is>
      </c>
      <c r="D54" s="220" t="inlineStr">
        <is>
          <t>GARDENER</t>
        </is>
      </c>
      <c r="E54" s="360" t="n">
        <v>20</v>
      </c>
      <c r="F54" s="360" t="n">
        <v>20</v>
      </c>
      <c r="G54" s="360" t="n">
        <v>50</v>
      </c>
    </row>
    <row r="55" ht="18" customFormat="1" customHeight="1" s="120">
      <c r="A55" s="409" t="inlineStr">
        <is>
          <t>IRRIGATION SYSTEMS</t>
        </is>
      </c>
      <c r="B55" s="410" t="n"/>
      <c r="C55" s="411" t="n"/>
      <c r="D55" s="412" t="n"/>
      <c r="E55" s="358" t="n">
        <v>2</v>
      </c>
      <c r="F55" s="358">
        <f>+SUM(F56)</f>
        <v/>
      </c>
      <c r="G55" s="358">
        <f>SUM(F55:F55)</f>
        <v/>
      </c>
    </row>
    <row r="56" ht="21" customHeight="1">
      <c r="A56" s="216" t="n">
        <v>1</v>
      </c>
      <c r="B56" s="216" t="inlineStr">
        <is>
          <t>EXPAT'S</t>
        </is>
      </c>
      <c r="C56" s="217" t="inlineStr">
        <is>
          <t>C</t>
        </is>
      </c>
      <c r="D56" s="220" t="inlineStr">
        <is>
          <t>IRRIGATION TECHNICIAN</t>
        </is>
      </c>
      <c r="E56" s="360" t="n">
        <v>2</v>
      </c>
      <c r="F56" s="360" t="n">
        <v>1</v>
      </c>
      <c r="G56" s="360" t="n">
        <v>4</v>
      </c>
    </row>
    <row r="57" ht="18" customFormat="1" customHeight="1" s="120">
      <c r="A57" s="409" t="inlineStr">
        <is>
          <t>FIRE PROTECTION AND SAFETY SERVICES</t>
        </is>
      </c>
      <c r="B57" s="410" t="n"/>
      <c r="C57" s="411" t="n"/>
      <c r="D57" s="412" t="n"/>
      <c r="E57" s="358" t="n">
        <v>10</v>
      </c>
      <c r="F57" s="358">
        <f>+SUM(F58:F61)</f>
        <v/>
      </c>
      <c r="G57" s="358">
        <f>SUM(F57:F57)</f>
        <v/>
      </c>
    </row>
    <row r="58" ht="21" customHeight="1">
      <c r="A58" s="216" t="n">
        <v>1</v>
      </c>
      <c r="B58" s="216" t="inlineStr">
        <is>
          <t>EXPAT'S</t>
        </is>
      </c>
      <c r="C58" s="217" t="inlineStr">
        <is>
          <t>B</t>
        </is>
      </c>
      <c r="D58" s="220" t="inlineStr">
        <is>
          <t>FIRE PROTECTION ENGINEER</t>
        </is>
      </c>
      <c r="E58" s="360" t="n">
        <v>2</v>
      </c>
      <c r="F58" s="360" t="n">
        <v>0</v>
      </c>
      <c r="G58" s="360" t="n">
        <v>2</v>
      </c>
    </row>
    <row r="59" ht="21" customHeight="1">
      <c r="A59" s="216">
        <f>+A58+1</f>
        <v/>
      </c>
      <c r="B59" s="216" t="inlineStr">
        <is>
          <t>EXPAT'S</t>
        </is>
      </c>
      <c r="C59" s="217" t="inlineStr">
        <is>
          <t>C</t>
        </is>
      </c>
      <c r="D59" s="220" t="inlineStr">
        <is>
          <t>SUPERVISOR FIRE ALARM</t>
        </is>
      </c>
      <c r="E59" s="360" t="n">
        <v>0</v>
      </c>
      <c r="F59" s="360" t="n">
        <v>0</v>
      </c>
      <c r="G59" s="360" t="n">
        <v>0</v>
      </c>
    </row>
    <row r="60" ht="21" customHeight="1">
      <c r="A60" s="216">
        <f>+A59+1</f>
        <v/>
      </c>
      <c r="B60" s="216" t="inlineStr">
        <is>
          <t>EXPAT'S</t>
        </is>
      </c>
      <c r="C60" s="217" t="inlineStr">
        <is>
          <t>C</t>
        </is>
      </c>
      <c r="D60" s="220" t="inlineStr">
        <is>
          <t>FIRE FIGHTING TEAM LEADER</t>
        </is>
      </c>
      <c r="E60" s="360" t="n">
        <v>2</v>
      </c>
      <c r="F60" s="360" t="n">
        <v>1</v>
      </c>
      <c r="G60" s="360" t="n">
        <v>1</v>
      </c>
    </row>
    <row r="61" ht="21" customHeight="1">
      <c r="A61" s="216">
        <f>+A60+1</f>
        <v/>
      </c>
      <c r="B61" s="216" t="inlineStr">
        <is>
          <t>EXPAT'S</t>
        </is>
      </c>
      <c r="C61" s="217" t="inlineStr">
        <is>
          <t>C</t>
        </is>
      </c>
      <c r="D61" s="220" t="inlineStr">
        <is>
          <t>FIRE ALARM TECH</t>
        </is>
      </c>
      <c r="E61" s="360" t="n">
        <v>6</v>
      </c>
      <c r="F61" s="360" t="n">
        <v>5</v>
      </c>
      <c r="G61" s="360" t="n">
        <v>6</v>
      </c>
    </row>
    <row r="62" ht="18" customFormat="1" customHeight="1" s="120">
      <c r="A62" s="409" t="inlineStr">
        <is>
          <t>SECURITY SERVICES</t>
        </is>
      </c>
      <c r="B62" s="410" t="n"/>
      <c r="C62" s="411" t="n"/>
      <c r="D62" s="412" t="n"/>
      <c r="E62" s="358" t="n">
        <v>0</v>
      </c>
      <c r="F62" s="358">
        <f>+SUM(F63:F67)</f>
        <v/>
      </c>
      <c r="G62" s="358">
        <f>SUM(F62:F62)</f>
        <v/>
      </c>
    </row>
    <row r="63" ht="21" customHeight="1">
      <c r="A63" s="216" t="n">
        <v>1</v>
      </c>
      <c r="B63" s="216" t="inlineStr">
        <is>
          <t>SAUDI'S</t>
        </is>
      </c>
      <c r="C63" s="217" t="inlineStr">
        <is>
          <t>A</t>
        </is>
      </c>
      <c r="D63" s="220" t="inlineStr">
        <is>
          <t>SECURITY MANAGER</t>
        </is>
      </c>
      <c r="E63" s="362" t="inlineStr">
        <is>
          <t>-</t>
        </is>
      </c>
      <c r="F63" s="360" t="n">
        <v>1</v>
      </c>
      <c r="G63" s="360" t="n">
        <v>1</v>
      </c>
    </row>
    <row r="64" ht="21" customHeight="1">
      <c r="A64" s="216">
        <f>+A63+1</f>
        <v/>
      </c>
      <c r="B64" s="216" t="inlineStr">
        <is>
          <t>SAUDI'S</t>
        </is>
      </c>
      <c r="C64" s="217" t="inlineStr">
        <is>
          <t>A</t>
        </is>
      </c>
      <c r="D64" s="220" t="inlineStr">
        <is>
          <t>SECURITY SUPERVISOR</t>
        </is>
      </c>
      <c r="E64" s="362" t="inlineStr">
        <is>
          <t>-</t>
        </is>
      </c>
      <c r="F64" s="360" t="n">
        <v>2</v>
      </c>
      <c r="G64" s="360" t="n">
        <v>2</v>
      </c>
    </row>
    <row r="65" ht="21" customHeight="1">
      <c r="A65" s="216">
        <f>+A64+1</f>
        <v/>
      </c>
      <c r="B65" s="216" t="inlineStr">
        <is>
          <t>SAUDI'S</t>
        </is>
      </c>
      <c r="C65" s="217" t="inlineStr">
        <is>
          <t>C</t>
        </is>
      </c>
      <c r="D65" s="220" t="inlineStr">
        <is>
          <t xml:space="preserve">SECURITY ADMIN </t>
        </is>
      </c>
      <c r="E65" s="360" t="inlineStr">
        <is>
          <t>-</t>
        </is>
      </c>
      <c r="F65" s="360" t="n">
        <v>2</v>
      </c>
      <c r="G65" s="360" t="n">
        <v>2</v>
      </c>
    </row>
    <row r="66" ht="21" customHeight="1">
      <c r="A66" s="216">
        <f>+A65+1</f>
        <v/>
      </c>
      <c r="B66" s="216" t="inlineStr">
        <is>
          <t>SAUDI'S</t>
        </is>
      </c>
      <c r="C66" s="217" t="inlineStr">
        <is>
          <t>C</t>
        </is>
      </c>
      <c r="D66" s="220" t="inlineStr">
        <is>
          <t>MANNED SECURITY WATCHMAN/GUARDS</t>
        </is>
      </c>
      <c r="E66" s="360" t="inlineStr">
        <is>
          <t>-</t>
        </is>
      </c>
      <c r="F66" s="360" t="n">
        <v>33</v>
      </c>
      <c r="G66" s="360" t="n">
        <v>33</v>
      </c>
    </row>
    <row r="67" ht="21" customHeight="1">
      <c r="A67" s="216">
        <f>+A66+1</f>
        <v/>
      </c>
      <c r="B67" s="216" t="inlineStr">
        <is>
          <t>SAUDI'S</t>
        </is>
      </c>
      <c r="C67" s="217" t="inlineStr">
        <is>
          <t>D</t>
        </is>
      </c>
      <c r="D67" s="220" t="inlineStr">
        <is>
          <t>MANNED SECURITY PATROLS</t>
        </is>
      </c>
      <c r="E67" s="360" t="inlineStr">
        <is>
          <t>-</t>
        </is>
      </c>
      <c r="F67" s="360" t="n">
        <v>0</v>
      </c>
      <c r="G67" s="360" t="n">
        <v>0</v>
      </c>
    </row>
    <row r="68" ht="18" customFormat="1" customHeight="1" s="120">
      <c r="A68" s="409" t="inlineStr">
        <is>
          <t xml:space="preserve">RECREATION SERVICES  </t>
        </is>
      </c>
      <c r="B68" s="410" t="n"/>
      <c r="C68" s="411" t="n"/>
      <c r="D68" s="412" t="n"/>
      <c r="E68" s="358" t="n">
        <v>2</v>
      </c>
      <c r="F68" s="358">
        <f>+SUM(F69:F70)</f>
        <v/>
      </c>
      <c r="G68" s="358">
        <f>SUM(F68:F68)</f>
        <v/>
      </c>
    </row>
    <row r="69" ht="21" customHeight="1">
      <c r="A69" s="216" t="n">
        <v>1</v>
      </c>
      <c r="B69" s="216" t="inlineStr">
        <is>
          <t>EXPAT'S</t>
        </is>
      </c>
      <c r="C69" s="217" t="inlineStr">
        <is>
          <t>B</t>
        </is>
      </c>
      <c r="D69" s="220" t="inlineStr">
        <is>
          <t xml:space="preserve">RECREATION INCHARGE </t>
        </is>
      </c>
      <c r="E69" s="362" t="n">
        <v>1</v>
      </c>
      <c r="F69" s="360" t="n">
        <v>1</v>
      </c>
      <c r="G69" s="360" t="n">
        <v>1</v>
      </c>
    </row>
    <row r="70" ht="21" customHeight="1">
      <c r="A70" s="216">
        <f>+A69+1</f>
        <v/>
      </c>
      <c r="B70" s="216" t="inlineStr">
        <is>
          <t>EXPAT'S</t>
        </is>
      </c>
      <c r="C70" s="217" t="inlineStr">
        <is>
          <t>C</t>
        </is>
      </c>
      <c r="D70" s="220" t="inlineStr">
        <is>
          <t xml:space="preserve">RECREATION COORDINATOR </t>
        </is>
      </c>
      <c r="E70" s="362" t="n">
        <v>1</v>
      </c>
      <c r="F70" s="360" t="n">
        <v>1</v>
      </c>
      <c r="G70" s="360" t="n">
        <v>1</v>
      </c>
    </row>
    <row r="71" ht="18" customFormat="1" customHeight="1" s="120">
      <c r="A71" s="409" t="inlineStr">
        <is>
          <t>CAMP MANAGEMENT</t>
        </is>
      </c>
      <c r="B71" s="410" t="n"/>
      <c r="C71" s="411" t="n"/>
      <c r="D71" s="412" t="n"/>
      <c r="E71" s="358" t="n">
        <v>25</v>
      </c>
      <c r="F71" s="358">
        <f>+SUM(F72:F87)</f>
        <v/>
      </c>
      <c r="G71" s="358">
        <f>SUM(F71:F71)</f>
        <v/>
      </c>
    </row>
    <row r="72" ht="21" customHeight="1">
      <c r="A72" s="216" t="n">
        <v>1</v>
      </c>
      <c r="B72" s="216" t="inlineStr">
        <is>
          <t>S.EXPATS</t>
        </is>
      </c>
      <c r="C72" s="217" t="inlineStr">
        <is>
          <t>A</t>
        </is>
      </c>
      <c r="D72" s="218" t="inlineStr">
        <is>
          <t>FACILITY MANAGER</t>
        </is>
      </c>
      <c r="E72" s="360" t="n">
        <v>1</v>
      </c>
      <c r="F72" s="360" t="n">
        <v>1</v>
      </c>
      <c r="G72" s="360" t="n">
        <v>1</v>
      </c>
    </row>
    <row r="73" ht="21" customHeight="1">
      <c r="A73" s="216">
        <f>+A72+1</f>
        <v/>
      </c>
      <c r="B73" s="216" t="inlineStr">
        <is>
          <t>S.EXPATS</t>
        </is>
      </c>
      <c r="C73" s="217" t="inlineStr">
        <is>
          <t>A</t>
        </is>
      </c>
      <c r="D73" s="218" t="inlineStr">
        <is>
          <t>HARD SERVICES MANAGERS</t>
        </is>
      </c>
      <c r="E73" s="360" t="n">
        <v>1</v>
      </c>
      <c r="F73" s="360" t="n">
        <v>1</v>
      </c>
      <c r="G73" s="360" t="n">
        <v>1</v>
      </c>
    </row>
    <row r="74" ht="21" customHeight="1">
      <c r="A74" s="216">
        <f>+A73+1</f>
        <v/>
      </c>
      <c r="B74" s="216" t="inlineStr">
        <is>
          <t>EXPAT'S</t>
        </is>
      </c>
      <c r="C74" s="217" t="inlineStr">
        <is>
          <t>A</t>
        </is>
      </c>
      <c r="D74" s="218" t="inlineStr">
        <is>
          <t>SOFT SERVICES MANAGERS</t>
        </is>
      </c>
      <c r="E74" s="360" t="n">
        <v>1</v>
      </c>
      <c r="F74" s="360" t="n">
        <v>1</v>
      </c>
      <c r="G74" s="360" t="n">
        <v>2</v>
      </c>
    </row>
    <row r="75" ht="21" customHeight="1">
      <c r="A75" s="216">
        <f>+A74+1</f>
        <v/>
      </c>
      <c r="B75" s="216" t="inlineStr">
        <is>
          <t>S.EXPATS</t>
        </is>
      </c>
      <c r="C75" s="217" t="inlineStr">
        <is>
          <t>A</t>
        </is>
      </c>
      <c r="D75" s="218" t="inlineStr">
        <is>
          <t xml:space="preserve">OFFICE MANAGER/HR MANAGER </t>
        </is>
      </c>
      <c r="E75" s="360" t="n">
        <v>1</v>
      </c>
      <c r="F75" s="360" t="n">
        <v>0</v>
      </c>
      <c r="G75" s="360" t="n">
        <v>0</v>
      </c>
    </row>
    <row r="76" ht="21" customHeight="1">
      <c r="A76" s="216">
        <f>+A75+1</f>
        <v/>
      </c>
      <c r="B76" s="216" t="inlineStr">
        <is>
          <t>EXPAT'S</t>
        </is>
      </c>
      <c r="C76" s="217" t="inlineStr">
        <is>
          <t>C</t>
        </is>
      </c>
      <c r="D76" s="218" t="inlineStr">
        <is>
          <t>HARD SERVICE COORDINATORS</t>
        </is>
      </c>
      <c r="E76" s="360" t="n">
        <v>1</v>
      </c>
      <c r="F76" s="360" t="n">
        <v>0</v>
      </c>
      <c r="G76" s="360" t="n">
        <v>0</v>
      </c>
    </row>
    <row r="77" ht="21" customHeight="1">
      <c r="A77" s="216">
        <f>+A76+1</f>
        <v/>
      </c>
      <c r="B77" s="216" t="inlineStr">
        <is>
          <t>EXPAT'S</t>
        </is>
      </c>
      <c r="C77" s="217" t="inlineStr">
        <is>
          <t>D</t>
        </is>
      </c>
      <c r="D77" s="218" t="inlineStr">
        <is>
          <t>SOFT SERVICE COORDINATORS</t>
        </is>
      </c>
      <c r="E77" s="360" t="n">
        <v>1</v>
      </c>
      <c r="F77" s="360" t="n">
        <v>1</v>
      </c>
      <c r="G77" s="360" t="n">
        <v>1</v>
      </c>
    </row>
    <row r="78" ht="21" customHeight="1">
      <c r="A78" s="216">
        <f>+A77+1</f>
        <v/>
      </c>
      <c r="B78" s="216" t="inlineStr">
        <is>
          <t>EXPAT'S</t>
        </is>
      </c>
      <c r="C78" s="217" t="inlineStr">
        <is>
          <t>A</t>
        </is>
      </c>
      <c r="D78" s="218" t="inlineStr">
        <is>
          <t>ADMINISTRATORS</t>
        </is>
      </c>
      <c r="E78" s="360" t="n">
        <v>2</v>
      </c>
      <c r="F78" s="360" t="n">
        <v>2</v>
      </c>
      <c r="G78" s="360" t="n">
        <v>2</v>
      </c>
    </row>
    <row r="79" ht="21" customHeight="1">
      <c r="A79" s="216">
        <f>+A78+1</f>
        <v/>
      </c>
      <c r="B79" s="216" t="inlineStr">
        <is>
          <t>SAUDI'S</t>
        </is>
      </c>
      <c r="C79" s="217" t="inlineStr">
        <is>
          <t>A</t>
        </is>
      </c>
      <c r="D79" s="218" t="inlineStr">
        <is>
          <t xml:space="preserve">IMAM FOR MOSQUE </t>
        </is>
      </c>
      <c r="E79" s="360" t="n">
        <v>1</v>
      </c>
      <c r="F79" s="360" t="n">
        <v>2</v>
      </c>
      <c r="G79" s="360" t="n">
        <v>2</v>
      </c>
    </row>
    <row r="80" ht="21" customHeight="1">
      <c r="A80" s="216">
        <f>+A79+1</f>
        <v/>
      </c>
      <c r="B80" s="216" t="inlineStr">
        <is>
          <t>EXPAT'S</t>
        </is>
      </c>
      <c r="C80" s="217" t="inlineStr">
        <is>
          <t>C</t>
        </is>
      </c>
      <c r="D80" s="218" t="inlineStr">
        <is>
          <t>WARE HOUSE INCHARGE</t>
        </is>
      </c>
      <c r="E80" s="360" t="n">
        <v>1</v>
      </c>
      <c r="F80" s="360" t="n">
        <v>1</v>
      </c>
      <c r="G80" s="360" t="n">
        <v>1</v>
      </c>
    </row>
    <row r="81" ht="21" customHeight="1">
      <c r="A81" s="216">
        <f>+A80+1</f>
        <v/>
      </c>
      <c r="B81" s="216" t="inlineStr">
        <is>
          <t>EXPAT'S</t>
        </is>
      </c>
      <c r="C81" s="217" t="inlineStr">
        <is>
          <t>C</t>
        </is>
      </c>
      <c r="D81" s="218" t="inlineStr">
        <is>
          <t>CAFM/HELP DESK OPERATOR</t>
        </is>
      </c>
      <c r="E81" s="360" t="n">
        <v>3</v>
      </c>
      <c r="F81" s="360" t="n">
        <v>3</v>
      </c>
      <c r="G81" s="360" t="n">
        <v>4</v>
      </c>
    </row>
    <row r="82" ht="21" customHeight="1">
      <c r="A82" s="216">
        <f>+A81+1</f>
        <v/>
      </c>
      <c r="B82" s="216" t="inlineStr">
        <is>
          <t>EXPAT'S</t>
        </is>
      </c>
      <c r="C82" s="217" t="inlineStr">
        <is>
          <t>B</t>
        </is>
      </c>
      <c r="D82" s="218" t="inlineStr">
        <is>
          <t>ACCOMODATION INCHARGE</t>
        </is>
      </c>
      <c r="E82" s="360" t="n">
        <v>1</v>
      </c>
      <c r="F82" s="360" t="n">
        <v>1</v>
      </c>
      <c r="G82" s="360" t="n">
        <v>1</v>
      </c>
    </row>
    <row r="83" ht="21" customHeight="1">
      <c r="A83" s="216">
        <f>+A82+1</f>
        <v/>
      </c>
      <c r="B83" s="216" t="inlineStr">
        <is>
          <t>EXPAT'S</t>
        </is>
      </c>
      <c r="C83" s="217" t="inlineStr">
        <is>
          <t>B</t>
        </is>
      </c>
      <c r="D83" s="218" t="inlineStr">
        <is>
          <t xml:space="preserve">ID ISSUING INCHARGE </t>
        </is>
      </c>
      <c r="E83" s="360" t="n">
        <v>2</v>
      </c>
      <c r="F83" s="360" t="n">
        <v>0</v>
      </c>
      <c r="G83" s="360" t="n">
        <v>1</v>
      </c>
    </row>
    <row r="84" ht="21" customHeight="1">
      <c r="A84" s="216">
        <f>+A83+1</f>
        <v/>
      </c>
      <c r="B84" s="216" t="inlineStr">
        <is>
          <t>EXPAT'S</t>
        </is>
      </c>
      <c r="C84" s="217" t="inlineStr">
        <is>
          <t>B</t>
        </is>
      </c>
      <c r="D84" s="218" t="inlineStr">
        <is>
          <t xml:space="preserve">ACCOMODATION ADMIN </t>
        </is>
      </c>
      <c r="E84" s="360" t="n">
        <v>4</v>
      </c>
      <c r="F84" s="360" t="n">
        <v>3</v>
      </c>
      <c r="G84" s="360" t="n">
        <v>3</v>
      </c>
    </row>
    <row r="85" ht="21" customHeight="1">
      <c r="A85" s="216">
        <f>+A84+1</f>
        <v/>
      </c>
      <c r="B85" s="216" t="inlineStr">
        <is>
          <t>EXPAT'S</t>
        </is>
      </c>
      <c r="C85" s="217" t="inlineStr">
        <is>
          <t>C</t>
        </is>
      </c>
      <c r="D85" s="218" t="inlineStr">
        <is>
          <t xml:space="preserve">KEY CUSTODIAN </t>
        </is>
      </c>
      <c r="E85" s="360" t="n">
        <v>2</v>
      </c>
      <c r="F85" s="360" t="n">
        <v>1</v>
      </c>
      <c r="G85" s="360" t="n">
        <v>1</v>
      </c>
    </row>
    <row r="86" ht="21" customHeight="1">
      <c r="A86" s="216">
        <f>+A85+1</f>
        <v/>
      </c>
      <c r="B86" s="216" t="inlineStr">
        <is>
          <t>EXPAT'S</t>
        </is>
      </c>
      <c r="C86" s="217" t="inlineStr">
        <is>
          <t>C</t>
        </is>
      </c>
      <c r="D86" s="218" t="inlineStr">
        <is>
          <t>DOCUMENT CONTROLLER</t>
        </is>
      </c>
      <c r="E86" s="360" t="n">
        <v>2</v>
      </c>
      <c r="F86" s="360" t="n">
        <v>2</v>
      </c>
      <c r="G86" s="360" t="n">
        <v>2</v>
      </c>
    </row>
    <row r="87" ht="21" customHeight="1">
      <c r="A87" s="216">
        <f>+A86+1</f>
        <v/>
      </c>
      <c r="B87" s="216" t="inlineStr">
        <is>
          <t>EXPAT'S</t>
        </is>
      </c>
      <c r="C87" s="217" t="inlineStr">
        <is>
          <t>B</t>
        </is>
      </c>
      <c r="D87" s="218" t="inlineStr">
        <is>
          <t>PROCUREMENT OFFICER</t>
        </is>
      </c>
      <c r="E87" s="360" t="n">
        <v>1</v>
      </c>
      <c r="F87" s="360" t="n">
        <v>0</v>
      </c>
      <c r="G87" s="360" t="n">
        <v>0</v>
      </c>
    </row>
    <row r="88" ht="18" customFormat="1" customHeight="1" s="120">
      <c r="A88" s="409" t="inlineStr">
        <is>
          <t>GOVERNMENT LIAISON SERVICES</t>
        </is>
      </c>
      <c r="B88" s="410" t="n"/>
      <c r="C88" s="411" t="n"/>
      <c r="D88" s="412" t="n"/>
      <c r="E88" s="358" t="n">
        <v>0</v>
      </c>
      <c r="F88" s="358">
        <f>+SUM(F89)</f>
        <v/>
      </c>
      <c r="G88" s="358">
        <f>SUM(F88:F88)</f>
        <v/>
      </c>
    </row>
    <row r="89" ht="21" customHeight="1">
      <c r="A89" s="216" t="n">
        <v>1</v>
      </c>
      <c r="B89" s="216" t="inlineStr">
        <is>
          <t>SAUDI'S</t>
        </is>
      </c>
      <c r="C89" s="217" t="inlineStr">
        <is>
          <t>B</t>
        </is>
      </c>
      <c r="D89" s="218" t="inlineStr">
        <is>
          <t>RELATIONSHIP OFFICER</t>
        </is>
      </c>
      <c r="E89" s="360" t="inlineStr">
        <is>
          <t>-</t>
        </is>
      </c>
      <c r="F89" s="360" t="n">
        <v>0</v>
      </c>
      <c r="G89" s="360" t="n">
        <v>0</v>
      </c>
    </row>
    <row r="90" ht="18" customFormat="1" customHeight="1" s="120">
      <c r="A90" s="409" t="inlineStr">
        <is>
          <t>HOUSEKEEPING &amp; JANITORIAL SERVICES</t>
        </is>
      </c>
      <c r="B90" s="410" t="n"/>
      <c r="C90" s="411" t="n"/>
      <c r="D90" s="412" t="n"/>
      <c r="E90" s="358" t="n">
        <v>141</v>
      </c>
      <c r="F90" s="358">
        <f>+SUM(F91:F99)</f>
        <v/>
      </c>
      <c r="G90" s="358">
        <f>SUM(F90:F90)</f>
        <v/>
      </c>
    </row>
    <row r="91" ht="21" customHeight="1">
      <c r="A91" s="216" t="n">
        <v>1</v>
      </c>
      <c r="B91" s="216" t="inlineStr">
        <is>
          <t>EXPAT'S</t>
        </is>
      </c>
      <c r="C91" s="217" t="inlineStr">
        <is>
          <t>C</t>
        </is>
      </c>
      <c r="D91" s="220" t="inlineStr">
        <is>
          <t>CLEANING SUPERVISOR</t>
        </is>
      </c>
      <c r="E91" s="360" t="n">
        <v>12</v>
      </c>
      <c r="F91" s="360" t="n">
        <v>12</v>
      </c>
      <c r="G91" s="360" t="n">
        <v>12</v>
      </c>
    </row>
    <row r="92" ht="21" customHeight="1">
      <c r="A92" s="216">
        <f>+A91+1</f>
        <v/>
      </c>
      <c r="B92" s="216" t="inlineStr">
        <is>
          <t>EXPAT'S</t>
        </is>
      </c>
      <c r="C92" s="217" t="inlineStr">
        <is>
          <t>C</t>
        </is>
      </c>
      <c r="D92" s="220" t="inlineStr">
        <is>
          <t xml:space="preserve">HOUSEKEEPRS -MALE </t>
        </is>
      </c>
      <c r="E92" s="360" t="n">
        <v>92</v>
      </c>
      <c r="F92" s="360" t="n">
        <v>90</v>
      </c>
      <c r="G92" s="360" t="n">
        <v>90</v>
      </c>
    </row>
    <row r="93" ht="21" customHeight="1">
      <c r="A93" s="216">
        <f>+A92+1</f>
        <v/>
      </c>
      <c r="B93" s="216" t="inlineStr">
        <is>
          <t>EXPAT'S</t>
        </is>
      </c>
      <c r="C93" s="217" t="inlineStr">
        <is>
          <t>C</t>
        </is>
      </c>
      <c r="D93" s="220" t="inlineStr">
        <is>
          <t xml:space="preserve">CLEANERS-MALE </t>
        </is>
      </c>
      <c r="E93" s="360" t="n">
        <v>16</v>
      </c>
      <c r="F93" s="360" t="n">
        <v>16</v>
      </c>
      <c r="G93" s="360" t="n">
        <v>17</v>
      </c>
    </row>
    <row r="94" ht="21" customHeight="1">
      <c r="A94" s="216">
        <f>+A93+1</f>
        <v/>
      </c>
      <c r="B94" s="216" t="inlineStr">
        <is>
          <t>EXPAT'S</t>
        </is>
      </c>
      <c r="C94" s="217" t="inlineStr">
        <is>
          <t>C</t>
        </is>
      </c>
      <c r="D94" s="220" t="inlineStr">
        <is>
          <t>TEA BOY FM OPERATION OFFICE</t>
        </is>
      </c>
      <c r="E94" s="360" t="n">
        <v>2</v>
      </c>
      <c r="F94" s="360" t="n">
        <v>1</v>
      </c>
      <c r="G94" s="360" t="n">
        <v>1</v>
      </c>
    </row>
    <row r="95" ht="21" customHeight="1">
      <c r="A95" s="216">
        <f>+A94+1</f>
        <v/>
      </c>
      <c r="B95" s="216" t="inlineStr">
        <is>
          <t>EXPAT'S</t>
        </is>
      </c>
      <c r="C95" s="217" t="inlineStr">
        <is>
          <t>C</t>
        </is>
      </c>
      <c r="D95" s="220" t="inlineStr">
        <is>
          <t xml:space="preserve">TEAM LEADER MESS HALL </t>
        </is>
      </c>
      <c r="E95" s="360" t="n">
        <v>2</v>
      </c>
      <c r="F95" s="360" t="n">
        <v>0</v>
      </c>
      <c r="G95" s="360" t="n">
        <v>0</v>
      </c>
    </row>
    <row r="96" ht="21" customHeight="1">
      <c r="A96" s="216">
        <f>+A95+1</f>
        <v/>
      </c>
      <c r="B96" s="216" t="inlineStr">
        <is>
          <t>EXPAT'S</t>
        </is>
      </c>
      <c r="C96" s="217" t="inlineStr">
        <is>
          <t>C</t>
        </is>
      </c>
      <c r="D96" s="220" t="inlineStr">
        <is>
          <t>LITTER PICKER SUPERVISOR</t>
        </is>
      </c>
      <c r="E96" s="360" t="n">
        <v>2</v>
      </c>
      <c r="F96" s="360" t="n">
        <v>0</v>
      </c>
      <c r="G96" s="360" t="n">
        <v>2</v>
      </c>
    </row>
    <row r="97" ht="21" customHeight="1">
      <c r="A97" s="216">
        <f>+A96+1</f>
        <v/>
      </c>
      <c r="B97" s="216" t="inlineStr">
        <is>
          <t>EXPAT'S</t>
        </is>
      </c>
      <c r="C97" s="217" t="inlineStr">
        <is>
          <t>C</t>
        </is>
      </c>
      <c r="D97" s="220" t="inlineStr">
        <is>
          <t xml:space="preserve">LITTER PICKER </t>
        </is>
      </c>
      <c r="E97" s="360" t="n">
        <v>10</v>
      </c>
      <c r="F97" s="360" t="n">
        <v>10</v>
      </c>
      <c r="G97" s="360" t="n">
        <v>10</v>
      </c>
    </row>
    <row r="98" ht="21" customHeight="1">
      <c r="A98" s="216">
        <f>+A97+1</f>
        <v/>
      </c>
      <c r="B98" s="216" t="inlineStr">
        <is>
          <t>EXPAT'S</t>
        </is>
      </c>
      <c r="C98" s="217" t="inlineStr">
        <is>
          <t>C</t>
        </is>
      </c>
      <c r="D98" s="220" t="inlineStr">
        <is>
          <t>ROAD SWEEPER DRIVER</t>
        </is>
      </c>
      <c r="E98" s="360" t="n">
        <v>1</v>
      </c>
      <c r="F98" s="360" t="n">
        <v>1</v>
      </c>
      <c r="G98" s="360" t="n">
        <v>1</v>
      </c>
    </row>
    <row r="99" ht="21" customHeight="1">
      <c r="A99" s="216">
        <f>+A98+1</f>
        <v/>
      </c>
      <c r="B99" s="216" t="inlineStr">
        <is>
          <t>EXPAT'S</t>
        </is>
      </c>
      <c r="C99" s="217" t="inlineStr">
        <is>
          <t>C</t>
        </is>
      </c>
      <c r="D99" s="220" t="inlineStr">
        <is>
          <t>BARBER</t>
        </is>
      </c>
      <c r="E99" s="360" t="n">
        <v>4</v>
      </c>
      <c r="F99" s="360" t="n">
        <v>3</v>
      </c>
      <c r="G99" s="360" t="n">
        <v>3</v>
      </c>
    </row>
    <row r="100" ht="18" customFormat="1" customHeight="1" s="120">
      <c r="A100" s="409" t="inlineStr">
        <is>
          <t>LAUNDRY SERVICES</t>
        </is>
      </c>
      <c r="B100" s="410" t="n"/>
      <c r="C100" s="411" t="n"/>
      <c r="D100" s="412" t="n"/>
      <c r="E100" s="358" t="n">
        <v>42</v>
      </c>
      <c r="F100" s="358">
        <f>+SUM(F101:F104)</f>
        <v/>
      </c>
      <c r="G100" s="358">
        <f>SUM(F100:F100)</f>
        <v/>
      </c>
    </row>
    <row r="101" ht="21" customHeight="1">
      <c r="A101" s="216" t="n">
        <v>1</v>
      </c>
      <c r="B101" s="216" t="inlineStr">
        <is>
          <t>EXPAT'S</t>
        </is>
      </c>
      <c r="C101" s="217" t="inlineStr">
        <is>
          <t>A</t>
        </is>
      </c>
      <c r="D101" s="220" t="inlineStr">
        <is>
          <t>LAUNDRY SUPERVISOR</t>
        </is>
      </c>
      <c r="E101" s="360" t="n">
        <v>2</v>
      </c>
      <c r="F101" s="360" t="n">
        <v>2</v>
      </c>
      <c r="G101" s="360" t="n">
        <v>2</v>
      </c>
    </row>
    <row r="102" ht="21" customHeight="1">
      <c r="A102" s="216">
        <f>+A101+1</f>
        <v/>
      </c>
      <c r="B102" s="216" t="inlineStr">
        <is>
          <t>EXPAT'S</t>
        </is>
      </c>
      <c r="C102" s="217" t="inlineStr">
        <is>
          <t>C</t>
        </is>
      </c>
      <c r="D102" s="220" t="inlineStr">
        <is>
          <t>LAUNDRY TEAM LEADER</t>
        </is>
      </c>
      <c r="E102" s="360" t="n">
        <v>2</v>
      </c>
      <c r="F102" s="360" t="n">
        <v>2</v>
      </c>
      <c r="G102" s="360" t="n">
        <v>2</v>
      </c>
    </row>
    <row r="103" ht="21" customHeight="1">
      <c r="A103" s="216">
        <f>+A102+1</f>
        <v/>
      </c>
      <c r="B103" s="216" t="inlineStr">
        <is>
          <t>EXPAT'S</t>
        </is>
      </c>
      <c r="C103" s="217" t="inlineStr">
        <is>
          <t>C</t>
        </is>
      </c>
      <c r="D103" s="220" t="inlineStr">
        <is>
          <t>LAUNDRY OPERATIVES</t>
        </is>
      </c>
      <c r="E103" s="360" t="n">
        <v>36</v>
      </c>
      <c r="F103" s="360" t="n">
        <v>36</v>
      </c>
      <c r="G103" s="360" t="n">
        <v>37</v>
      </c>
    </row>
    <row r="104" ht="21" customHeight="1">
      <c r="A104" s="216">
        <f>+A103+1</f>
        <v/>
      </c>
      <c r="B104" s="216" t="inlineStr">
        <is>
          <t>EXPAT'S</t>
        </is>
      </c>
      <c r="C104" s="217" t="inlineStr">
        <is>
          <t>C</t>
        </is>
      </c>
      <c r="D104" s="220" t="inlineStr">
        <is>
          <t xml:space="preserve">LAUNDRY VEHCILE DRIVER </t>
        </is>
      </c>
      <c r="E104" s="360" t="n">
        <v>2</v>
      </c>
      <c r="F104" s="360" t="n">
        <v>0</v>
      </c>
      <c r="G104" s="360" t="n">
        <v>0</v>
      </c>
    </row>
    <row r="105" ht="17.25" customHeight="1">
      <c r="A105" s="219" t="n"/>
      <c r="B105" s="221" t="n"/>
      <c r="C105" s="221" t="n"/>
      <c r="D105" s="222" t="n"/>
      <c r="E105" s="364" t="n">
        <v>402</v>
      </c>
      <c r="F105" s="364" t="n">
        <v>90</v>
      </c>
      <c r="G105" s="364">
        <f>SUM(G100,G90,G88,G71,G68,G62,G57,G55,G52,G49,G46,G28,G24,G22,G18,G15,G10,G2)</f>
        <v/>
      </c>
    </row>
    <row r="109" ht="15" customHeight="1">
      <c r="G109" s="513" t="n"/>
    </row>
    <row r="110" ht="15" customFormat="1" customHeight="1" s="348">
      <c r="B110" s="117" t="n"/>
      <c r="C110" s="365" t="n"/>
      <c r="D110" s="215" t="n"/>
      <c r="G110" s="513" t="n"/>
    </row>
    <row r="111" ht="15" customFormat="1" customHeight="1" s="348">
      <c r="B111" s="117" t="n"/>
      <c r="C111" s="365" t="n"/>
      <c r="D111" s="215" t="n"/>
    </row>
    <row r="112" ht="15" customFormat="1" customHeight="1" s="348">
      <c r="B112" s="117" t="n"/>
      <c r="C112" s="365" t="n"/>
      <c r="D112" s="215" t="n"/>
    </row>
    <row r="113" ht="15" customFormat="1" customHeight="1" s="348">
      <c r="B113" s="117" t="n"/>
      <c r="C113" s="365" t="n"/>
      <c r="D113" s="215" t="n"/>
    </row>
    <row r="114" ht="15" customFormat="1" customHeight="1" s="348">
      <c r="B114" s="117" t="n"/>
      <c r="C114" s="365" t="n"/>
      <c r="D114" s="215" t="n"/>
    </row>
    <row r="115" ht="15" customFormat="1" customHeight="1" s="348">
      <c r="B115" s="117" t="n"/>
      <c r="C115" s="365" t="n"/>
      <c r="D115" s="215" t="n"/>
    </row>
    <row r="118" ht="15" customFormat="1" customHeight="1" s="348">
      <c r="B118" s="117" t="n"/>
      <c r="C118" s="365" t="n"/>
      <c r="D118" s="215" t="n"/>
    </row>
    <row r="119" ht="15" customFormat="1" customHeight="1" s="348">
      <c r="B119" s="117" t="n"/>
      <c r="C119" s="365" t="n"/>
      <c r="D119" s="215" t="n"/>
    </row>
    <row r="120" ht="15" customFormat="1" customHeight="1" s="348">
      <c r="B120" s="117" t="n"/>
      <c r="C120" s="365" t="n"/>
      <c r="D120" s="215" t="n"/>
    </row>
    <row r="121" ht="15" customFormat="1" customHeight="1" s="348">
      <c r="B121" s="117" t="n"/>
      <c r="C121" s="365" t="n"/>
      <c r="D121" s="215" t="n"/>
    </row>
    <row r="122" ht="15" customFormat="1" customHeight="1" s="348">
      <c r="B122" s="117" t="n"/>
      <c r="C122" s="365" t="n"/>
      <c r="D122" s="215" t="n"/>
    </row>
    <row r="123" ht="15" customFormat="1" customHeight="1" s="348">
      <c r="B123" s="117" t="n"/>
      <c r="C123" s="365" t="n"/>
      <c r="D123" s="215" t="n"/>
    </row>
    <row r="124" ht="15" customFormat="1" customHeight="1" s="348">
      <c r="B124" s="117" t="n"/>
      <c r="C124" s="365" t="n"/>
      <c r="D124" s="215" t="n"/>
    </row>
    <row r="125" ht="15" customFormat="1" customHeight="1" s="348">
      <c r="B125" s="117" t="n"/>
      <c r="C125" s="365" t="n"/>
      <c r="D125" s="215" t="n"/>
    </row>
    <row r="126" ht="15" customFormat="1" customHeight="1" s="348">
      <c r="B126" s="117" t="n"/>
      <c r="C126" s="365" t="n"/>
      <c r="D126" s="215" t="n"/>
    </row>
    <row r="127" ht="15" customFormat="1" customHeight="1" s="348">
      <c r="B127" s="117" t="n"/>
      <c r="C127" s="365" t="n"/>
      <c r="D127" s="215" t="n"/>
    </row>
    <row r="128" ht="15" customFormat="1" customHeight="1" s="348">
      <c r="B128" s="117" t="n"/>
      <c r="C128" s="365" t="n"/>
      <c r="D128" s="215" t="n"/>
    </row>
    <row r="130" ht="15" customFormat="1" customHeight="1" s="348">
      <c r="B130" s="117" t="n"/>
      <c r="C130" s="365" t="n"/>
      <c r="D130" s="215" t="n"/>
    </row>
    <row r="131" ht="15" customFormat="1" customHeight="1" s="348">
      <c r="B131" s="117" t="n"/>
      <c r="C131" s="365" t="n"/>
      <c r="D131" s="215" t="n"/>
    </row>
    <row r="132" ht="15" customFormat="1" customHeight="1" s="348">
      <c r="B132" s="117" t="n"/>
      <c r="C132" s="365" t="n"/>
      <c r="D132" s="215" t="n"/>
    </row>
    <row r="133" ht="15" customFormat="1" customHeight="1" s="348">
      <c r="B133" s="117" t="n"/>
      <c r="C133" s="365" t="n"/>
      <c r="D133" s="215" t="n"/>
    </row>
    <row r="134" ht="15" customFormat="1" customHeight="1" s="348">
      <c r="B134" s="117" t="n"/>
      <c r="C134" s="365" t="n"/>
      <c r="D134" s="215" t="n"/>
    </row>
    <row r="135" ht="15" customFormat="1" customHeight="1" s="348">
      <c r="B135" s="117" t="n"/>
      <c r="C135" s="365" t="n"/>
      <c r="D135" s="215" t="n"/>
    </row>
    <row r="136" ht="15" customFormat="1" customHeight="1" s="348">
      <c r="B136" s="117" t="n"/>
      <c r="C136" s="365" t="n"/>
      <c r="D136" s="215" t="n"/>
    </row>
    <row r="137" ht="15" customFormat="1" customHeight="1" s="348">
      <c r="B137" s="117" t="n"/>
      <c r="C137" s="365" t="n"/>
      <c r="D137" s="215" t="n"/>
    </row>
    <row r="138" ht="15" customFormat="1" customHeight="1" s="348">
      <c r="B138" s="117" t="n"/>
      <c r="C138" s="365" t="n"/>
      <c r="D138" s="215" t="n"/>
    </row>
    <row r="139" ht="15" customFormat="1" customHeight="1" s="348">
      <c r="B139" s="117" t="n"/>
      <c r="C139" s="365" t="n"/>
      <c r="D139" s="215" t="n"/>
    </row>
    <row r="140" ht="15" customFormat="1" customHeight="1" s="348">
      <c r="B140" s="117" t="n"/>
      <c r="C140" s="365" t="n"/>
      <c r="D140" s="215" t="n"/>
    </row>
    <row r="141" ht="15" customFormat="1" customHeight="1" s="348">
      <c r="B141" s="117" t="n"/>
      <c r="C141" s="365" t="n"/>
      <c r="D141" s="215" t="n"/>
    </row>
    <row r="143" ht="15" customFormat="1" customHeight="1" s="348">
      <c r="B143" s="117" t="n"/>
      <c r="C143" s="365" t="n"/>
      <c r="D143" s="215" t="n"/>
    </row>
    <row r="144" ht="15" customFormat="1" customHeight="1" s="348">
      <c r="B144" s="117" t="n"/>
      <c r="C144" s="365" t="n"/>
      <c r="D144" s="215" t="n"/>
    </row>
    <row r="145" ht="15" customFormat="1" customHeight="1" s="348">
      <c r="B145" s="117" t="n"/>
      <c r="C145" s="365" t="n"/>
      <c r="D145" s="215" t="n"/>
    </row>
    <row r="146" ht="15" customFormat="1" customHeight="1" s="348">
      <c r="B146" s="117" t="n"/>
      <c r="C146" s="365" t="n"/>
      <c r="D146" s="215" t="n"/>
    </row>
    <row r="147" ht="15" customFormat="1" customHeight="1" s="348">
      <c r="B147" s="117" t="n"/>
      <c r="C147" s="365" t="n"/>
      <c r="D147" s="215" t="n"/>
    </row>
    <row r="148" ht="15" customFormat="1" customHeight="1" s="348">
      <c r="B148" s="117" t="n"/>
      <c r="C148" s="365" t="n"/>
      <c r="D148" s="215" t="n"/>
    </row>
    <row r="149" ht="15" customFormat="1" customHeight="1" s="348">
      <c r="B149" s="117" t="n"/>
      <c r="C149" s="365" t="n"/>
      <c r="D149" s="215" t="n"/>
    </row>
    <row r="150" ht="15" customFormat="1" customHeight="1" s="348">
      <c r="B150" s="117" t="n"/>
      <c r="C150" s="365" t="n"/>
      <c r="D150" s="215" t="n"/>
    </row>
    <row r="151" ht="15" customFormat="1" customHeight="1" s="348">
      <c r="B151" s="117" t="n"/>
      <c r="C151" s="365" t="n"/>
      <c r="D151" s="215" t="n"/>
    </row>
    <row r="152" ht="15" customFormat="1" customHeight="1" s="348">
      <c r="B152" s="117" t="n"/>
      <c r="C152" s="365" t="n"/>
      <c r="D152" s="215" t="n"/>
    </row>
    <row r="153" ht="15" customFormat="1" customHeight="1" s="348">
      <c r="B153" s="117" t="n"/>
      <c r="C153" s="365" t="n"/>
      <c r="D153" s="215" t="n"/>
    </row>
  </sheetData>
  <conditionalFormatting sqref="B2 B3:C9 B10 B11:C14 B15 B16:C17 B18 B19:C21 B22 B23:C23 B24 B25:C27 B28 B29:C45 B46 B47:C48 B49 B50:C51 B52 B53:C54 B55 B56:C56 B57 B58:C61 B62 B63:C67 B68 B69:C70 B71 B72:C87 B88 B89:C89 B90 B91:C99 B100 B101:C104">
    <cfRule type="containsText" priority="10" operator="containsText" dxfId="6" text="SAUDI'S">
      <formula>NOT(ISERROR(SEARCH("SAUDI'S",B2)))</formula>
    </cfRule>
  </conditionalFormatting>
  <conditionalFormatting sqref="D101:D104">
    <cfRule type="expression" priority="11" dxfId="3">
      <formula>IF(#REF!="CLOSED",1)</formula>
    </cfRule>
    <cfRule type="expression" priority="12" dxfId="2">
      <formula>IF(#REF!="OPEN",1)</formula>
    </cfRule>
    <cfRule type="expression" priority="13" dxfId="3">
      <formula>IF(#REF!="CLOSED",1)</formula>
    </cfRule>
    <cfRule type="expression" priority="14" dxfId="2">
      <formula>IF(#REF!="OPEN",1)</formula>
    </cfRule>
  </conditionalFormatting>
  <dataValidations count="1">
    <dataValidation sqref="B3:B23 B25:B27 B29:B45 B47:B48 B50:B89 B91:B99 B101:B104 GU3:GU23 GU25:GU27 GU29:GU45 GU47:GU48 GU50:GU89 GU91:GU99 GU101:GU104 HV108:HV111 QQ3:QQ23 QQ25:QQ27 QQ29:QQ45 QQ47:QQ48 QQ50:QQ89 QQ91:QQ99 QQ101:QQ104 RR108:RR111 AAM3:AAM23 AAM25:AAM27 AAM29:AAM45 AAM47:AAM48 AAM50:AAM89 AAM91:AAM99 AAM101:AAM104 ABN108:ABN111 AKI3:AKI23 AKI25:AKI27 AKI29:AKI45 AKI47:AKI48 AKI50:AKI89 AKI91:AKI99 AKI101:AKI104 ALJ108:ALJ111 AUE3:AUE23 AUE25:AUE27 AUE29:AUE45 AUE47:AUE48 AUE50:AUE89 AUE91:AUE99 AUE101:AUE104 AVF108:AVF111 BEA3:BEA23 BEA25:BEA27 BEA29:BEA45 BEA47:BEA48 BEA50:BEA89 BEA91:BEA99 BEA101:BEA104 BFB108:BFB111 BNW3:BNW23 BNW25:BNW27 BNW29:BNW45 BNW47:BNW48 BNW50:BNW89 BNW91:BNW99 BNW101:BNW104 BOX108:BOX111 BXS3:BXS23 BXS25:BXS27 BXS29:BXS45 BXS47:BXS48 BXS50:BXS89 BXS91:BXS99 BXS101:BXS104 BYT108:BYT111 CHO3:CHO23 CHO25:CHO27 CHO29:CHO45 CHO47:CHO48 CHO50:CHO89 CHO91:CHO99 CHO101:CHO104 CIP108:CIP111 CRK3:CRK23 CRK25:CRK27 CRK29:CRK45 CRK47:CRK48 CRK50:CRK89 CRK91:CRK99 CRK101:CRK104 CSL108:CSL111 DBG3:DBG23 DBG25:DBG27 DBG29:DBG45 DBG47:DBG48 DBG50:DBG89 DBG91:DBG99 DBG101:DBG104 DCH108:DCH111 DLC3:DLC23 DLC25:DLC27 DLC29:DLC45 DLC47:DLC48 DLC50:DLC89 DLC91:DLC99 DLC101:DLC104 DMD108:DMD111 DUY3:DUY23 DUY25:DUY27 DUY29:DUY45 DUY47:DUY48 DUY50:DUY89 DUY91:DUY99 DUY101:DUY104 DVZ108:DVZ111 EEU3:EEU23 EEU25:EEU27 EEU29:EEU45 EEU47:EEU48 EEU50:EEU89 EEU91:EEU99 EEU101:EEU104 EFV108:EFV111 EOQ3:EOQ23 EOQ25:EOQ27 EOQ29:EOQ45 EOQ47:EOQ48 EOQ50:EOQ89 EOQ91:EOQ99 EOQ101:EOQ104 EPR108:EPR111 EYM3:EYM23 EYM25:EYM27 EYM29:EYM45 EYM47:EYM48 EYM50:EYM89 EYM91:EYM99 EYM101:EYM104 EZN108:EZN111 FII3:FII23 FII25:FII27 FII29:FII45 FII47:FII48 FII50:FII89 FII91:FII99 FII101:FII104 FJJ108:FJJ111 FSE3:FSE23 FSE25:FSE27 FSE29:FSE45 FSE47:FSE48 FSE50:FSE89 FSE91:FSE99 FSE101:FSE104 FTF108:FTF111 GCA3:GCA23 GCA25:GCA27 GCA29:GCA45 GCA47:GCA48 GCA50:GCA89 GCA91:GCA99 GCA101:GCA104 GDB108:GDB111 GLW3:GLW23 GLW25:GLW27 GLW29:GLW45 GLW47:GLW48 GLW50:GLW89 GLW91:GLW99 GLW101:GLW104 GMX108:GMX111 GVS3:GVS23 GVS25:GVS27 GVS29:GVS45 GVS47:GVS48 GVS50:GVS89 GVS91:GVS99 GVS101:GVS104 GWT108:GWT111 HFO3:HFO23 HFO25:HFO27 HFO29:HFO45 HFO47:HFO48 HFO50:HFO89 HFO91:HFO99 HFO101:HFO104 HGP108:HGP111 HPK3:HPK23 HPK25:HPK27 HPK29:HPK45 HPK47:HPK48 HPK50:HPK89 HPK91:HPK99 HPK101:HPK104 HQL108:HQL111 HZG3:HZG23 HZG25:HZG27 HZG29:HZG45 HZG47:HZG48 HZG50:HZG89 HZG91:HZG99 HZG101:HZG104 IAH108:IAH111 IJC3:IJC23 IJC25:IJC27 IJC29:IJC45 IJC47:IJC48 IJC50:IJC89 IJC91:IJC99 IJC101:IJC104 IKD108:IKD111 ISY3:ISY23 ISY25:ISY27 ISY29:ISY45 ISY47:ISY48 ISY50:ISY89 ISY91:ISY99 ISY101:ISY104 ITZ108:ITZ111 JCU3:JCU23 JCU25:JCU27 JCU29:JCU45 JCU47:JCU48 JCU50:JCU89 JCU91:JCU99 JCU101:JCU104 JDV108:JDV111 JMQ3:JMQ23 JMQ25:JMQ27 JMQ29:JMQ45 JMQ47:JMQ48 JMQ50:JMQ89 JMQ91:JMQ99 JMQ101:JMQ104 JNR108:JNR111 JWM3:JWM23 JWM25:JWM27 JWM29:JWM45 JWM47:JWM48 JWM50:JWM89 JWM91:JWM99 JWM101:JWM104 JXN108:JXN111 KGI3:KGI23 KGI25:KGI27 KGI29:KGI45 KGI47:KGI48 KGI50:KGI89 KGI91:KGI99 KGI101:KGI104 KHJ108:KHJ111 KQE3:KQE23 KQE25:KQE27 KQE29:KQE45 KQE47:KQE48 KQE50:KQE89 KQE91:KQE99 KQE101:KQE104 KRF108:KRF111 LAA3:LAA23 LAA25:LAA27 LAA29:LAA45 LAA47:LAA48 LAA50:LAA89 LAA91:LAA99 LAA101:LAA104 LBB108:LBB111 LJW3:LJW23 LJW25:LJW27 LJW29:LJW45 LJW47:LJW48 LJW50:LJW89 LJW91:LJW99 LJW101:LJW104 LKX108:LKX111 LTS3:LTS23 LTS25:LTS27 LTS29:LTS45 LTS47:LTS48 LTS50:LTS89 LTS91:LTS99 LTS101:LTS104 LUT108:LUT111 MDO3:MDO23 MDO25:MDO27 MDO29:MDO45 MDO47:MDO48 MDO50:MDO89 MDO91:MDO99 MDO101:MDO104 MEP108:MEP111 MNK3:MNK23 MNK25:MNK27 MNK29:MNK45 MNK47:MNK48 MNK50:MNK89 MNK91:MNK99 MNK101:MNK104 MOL108:MOL111 MXG3:MXG23 MXG25:MXG27 MXG29:MXG45 MXG47:MXG48 MXG50:MXG89 MXG91:MXG99 MXG101:MXG104 MYH108:MYH111 NHC3:NHC23 NHC25:NHC27 NHC29:NHC45 NHC47:NHC48 NHC50:NHC89 NHC91:NHC99 NHC101:NHC104 NID108:NID111 NQY3:NQY23 NQY25:NQY27 NQY29:NQY45 NQY47:NQY48 NQY50:NQY89 NQY91:NQY99 NQY101:NQY104 NRZ108:NRZ111 OAU3:OAU23 OAU25:OAU27 OAU29:OAU45 OAU47:OAU48 OAU50:OAU89 OAU91:OAU99 OAU101:OAU104 OBV108:OBV111 OKQ3:OKQ23 OKQ25:OKQ27 OKQ29:OKQ45 OKQ47:OKQ48 OKQ50:OKQ89 OKQ91:OKQ99 OKQ101:OKQ104 OLR108:OLR111 OUM3:OUM23 OUM25:OUM27 OUM29:OUM45 OUM47:OUM48 OUM50:OUM89 OUM91:OUM99 OUM101:OUM104 OVN108:OVN111 PEI3:PEI23 PEI25:PEI27 PEI29:PEI45 PEI47:PEI48 PEI50:PEI89 PEI91:PEI99 PEI101:PEI104 PFJ108:PFJ111 POE3:POE23 POE25:POE27 POE29:POE45 POE47:POE48 POE50:POE89 POE91:POE99 POE101:POE104 PPF108:PPF111 PYA3:PYA23 PYA25:PYA27 PYA29:PYA45 PYA47:PYA48 PYA50:PYA89 PYA91:PYA99 PYA101:PYA104 PZB108:PZB111 QHW3:QHW23 QHW25:QHW27 QHW29:QHW45 QHW47:QHW48 QHW50:QHW89 QHW91:QHW99 QHW101:QHW104 QIX108:QIX111 QRS3:QRS23 QRS25:QRS27 QRS29:QRS45 QRS47:QRS48 QRS50:QRS89 QRS91:QRS99 QRS101:QRS104 QST108:QST111 RBO3:RBO23 RBO25:RBO27 RBO29:RBO45 RBO47:RBO48 RBO50:RBO89 RBO91:RBO99 RBO101:RBO104 RCP108:RCP111 RLK3:RLK23 RLK25:RLK27 RLK29:RLK45 RLK47:RLK48 RLK50:RLK89 RLK91:RLK99 RLK101:RLK104 RML108:RML111 RVG3:RVG23 RVG25:RVG27 RVG29:RVG45 RVG47:RVG48 RVG50:RVG89 RVG91:RVG99 RVG101:RVG104 RWH108:RWH111 SFC3:SFC23 SFC25:SFC27 SFC29:SFC45 SFC47:SFC48 SFC50:SFC89 SFC91:SFC99 SFC101:SFC104 SGD108:SGD111 SOY3:SOY23 SOY25:SOY27 SOY29:SOY45 SOY47:SOY48 SOY50:SOY89 SOY91:SOY99 SOY101:SOY104 SPZ108:SPZ111 SYU3:SYU23 SYU25:SYU27 SYU29:SYU45 SYU47:SYU48 SYU50:SYU89 SYU91:SYU99 SYU101:SYU104 SZV108:SZV111 TIQ3:TIQ23 TIQ25:TIQ27 TIQ29:TIQ45 TIQ47:TIQ48 TIQ50:TIQ89 TIQ91:TIQ99 TIQ101:TIQ104 TJR108:TJR111 TSM3:TSM23 TSM25:TSM27 TSM29:TSM45 TSM47:TSM48 TSM50:TSM89 TSM91:TSM99 TSM101:TSM104 TTN108:TTN111 UCI3:UCI23 UCI25:UCI27 UCI29:UCI45 UCI47:UCI48 UCI50:UCI89 UCI91:UCI99 UCI101:UCI104 UDJ108:UDJ111 UME3:UME23 UME25:UME27 UME29:UME45 UME47:UME48 UME50:UME89 UME91:UME99 UME101:UME104 UNF108:UNF111 UWA3:UWA23 UWA25:UWA27 UWA29:UWA45 UWA47:UWA48 UWA50:UWA89 UWA91:UWA99 UWA101:UWA104 UXB108:UXB111 VFW3:VFW23 VFW25:VFW27 VFW29:VFW45 VFW47:VFW48 VFW50:VFW89 VFW91:VFW99 VFW101:VFW104 VGX108:VGX111 VPS3:VPS23 VPS25:VPS27 VPS29:VPS45 VPS47:VPS48 VPS50:VPS89 VPS91:VPS99 VPS101:VPS104 VQT108:VQT111 VZO3:VZO23 VZO25:VZO27 VZO29:VZO45 VZO47:VZO48 VZO50:VZO89 VZO91:VZO99 VZO101:VZO104 WAP108:WAP111 WJK3:WJK23 WJK25:WJK27 WJK29:WJK45 WJK47:WJK48 WJK50:WJK89 WJK91:WJK99 WJK101:WJK104 WKL108:WKL111 WTG3:WTG23 WTG25:WTG27 WTG29:WTG45 WTG47:WTG48 WTG50:WTG89 WTG91:WTG99 WTG101:WTG104 WUH108:WUH111" showDropDown="0" showInputMessage="1" showErrorMessage="1" allowBlank="1" type="list">
      <formula1>#REF!</formula1>
      <formula2>0</formula2>
    </dataValidation>
  </dataValidations>
  <pageMargins left="0.7" right="0.7" top="0.75" bottom="0.75" header="0.511811023622047" footer="0.511811023622047"/>
  <pageSetup orientation="portrait" paperSize="9" fitToHeight="0" horizontalDpi="300" verticalDpi="300"/>
</worksheet>
</file>

<file path=xl/worksheets/sheet6.xml><?xml version="1.0" encoding="utf-8"?>
<worksheet xmlns="http://schemas.openxmlformats.org/spreadsheetml/2006/main">
  <sheetPr>
    <tabColor rgb="FFF6C6AD"/>
    <outlinePr summaryBelow="1" summaryRight="1"/>
    <pageSetUpPr fitToPage="1"/>
  </sheetPr>
  <dimension ref="A1:AJ565"/>
  <sheetViews>
    <sheetView zoomScale="80" zoomScaleNormal="80" workbookViewId="0">
      <pane ySplit="3" topLeftCell="A124" activePane="bottomLeft" state="frozen"/>
      <selection activeCell="E39" sqref="E39"/>
      <selection pane="bottomLeft" activeCell="D54" sqref="D54"/>
    </sheetView>
  </sheetViews>
  <sheetFormatPr baseColWidth="8" defaultColWidth="9.375" defaultRowHeight="12.75"/>
  <cols>
    <col width="32.625" bestFit="1" customWidth="1" style="1" min="1" max="1"/>
    <col width="22.375" bestFit="1" customWidth="1" style="2" min="2" max="2"/>
    <col width="18" bestFit="1" customWidth="1" style="2" min="3" max="3"/>
    <col width="14.75" customWidth="1" style="3" min="4" max="4"/>
    <col width="41" customWidth="1" style="4" min="5" max="5"/>
    <col width="25.875" customWidth="1" style="1" min="6" max="6"/>
    <col width="14.75" customWidth="1" style="1" min="7" max="8"/>
    <col width="14.75" customWidth="1" style="2" min="9" max="9"/>
    <col width="14.625" customWidth="1" style="492" min="10" max="10"/>
    <col width="29.625" customWidth="1" style="5" min="11" max="11"/>
    <col width="35.375" customWidth="1" style="6" min="12" max="12"/>
    <col width="1" customWidth="1" style="1" min="13" max="13"/>
    <col width="31.75" customWidth="1" style="7" min="14" max="14"/>
    <col width="10.75" customWidth="1" style="7" min="15" max="16"/>
    <col width="1.875" customWidth="1" style="7" min="17" max="17"/>
    <col width="9.375" customWidth="1" style="7" min="18" max="18"/>
    <col width="9.375" customWidth="1" style="7" min="19" max="16384"/>
  </cols>
  <sheetData>
    <row r="1" ht="74.25" customHeight="1">
      <c r="A1" s="426" t="inlineStr">
        <is>
          <t>ON-SITE WORKFORCE- LOWER PLATEU- QIDDIYA CITY</t>
        </is>
      </c>
      <c r="B1" s="427" t="n"/>
      <c r="C1" s="427" t="n"/>
      <c r="D1" s="427" t="n"/>
      <c r="E1" s="427" t="n"/>
      <c r="F1" s="427" t="n"/>
      <c r="G1" s="427" t="n"/>
      <c r="H1" s="427" t="n"/>
      <c r="I1" s="427" t="n"/>
      <c r="J1" s="427" t="n"/>
      <c r="K1" s="427" t="n"/>
      <c r="L1" s="427" t="n"/>
      <c r="N1" s="454" t="inlineStr">
        <is>
          <t xml:space="preserve">PROJECT WORKFORCE SUMMARY </t>
        </is>
      </c>
      <c r="O1" s="455" t="n"/>
      <c r="P1" s="444" t="n"/>
      <c r="Q1" s="1" t="n"/>
      <c r="R1" s="1" t="n"/>
      <c r="S1" s="1" t="n"/>
      <c r="T1" s="1" t="n"/>
      <c r="U1" s="1" t="n"/>
      <c r="V1" s="1" t="n"/>
      <c r="W1" s="1" t="n"/>
      <c r="X1" s="1" t="n"/>
      <c r="Y1" s="1" t="n"/>
      <c r="Z1" s="1" t="n"/>
      <c r="AA1" s="1" t="n"/>
      <c r="AB1" s="1" t="n"/>
      <c r="AC1" s="1" t="n"/>
      <c r="AD1" s="1" t="n"/>
      <c r="AE1" s="1" t="n"/>
      <c r="AF1" s="1" t="n"/>
      <c r="AG1" s="1" t="n"/>
      <c r="AH1" s="1" t="n"/>
      <c r="AI1" s="1" t="n"/>
      <c r="AJ1" s="1" t="n"/>
    </row>
    <row r="2" ht="0.75" customHeight="1">
      <c r="B2" s="1" t="n"/>
      <c r="C2" s="1" t="n"/>
      <c r="D2" s="1" t="n"/>
      <c r="I2" s="1" t="n"/>
      <c r="J2" s="493" t="n"/>
      <c r="K2" s="4" t="n"/>
      <c r="L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row>
    <row r="3" ht="33" customHeight="1">
      <c r="A3" s="8" t="inlineStr">
        <is>
          <t>Position</t>
        </is>
      </c>
      <c r="B3" s="9" t="inlineStr">
        <is>
          <t>Contractual Requirement</t>
        </is>
      </c>
      <c r="C3" s="9" t="inlineStr">
        <is>
          <t>On-Site Availability</t>
        </is>
      </c>
      <c r="D3" s="9" t="inlineStr">
        <is>
          <t>Vacant Position</t>
        </is>
      </c>
      <c r="E3" s="10" t="inlineStr">
        <is>
          <t>Emaployee Name</t>
        </is>
      </c>
      <c r="F3" s="11" t="inlineStr">
        <is>
          <t>Decipline</t>
        </is>
      </c>
      <c r="G3" s="12" t="inlineStr">
        <is>
          <t>ID</t>
        </is>
      </c>
      <c r="H3" s="11" t="inlineStr">
        <is>
          <t>Iqama</t>
        </is>
      </c>
      <c r="I3" s="12" t="inlineStr">
        <is>
          <t>Status</t>
        </is>
      </c>
      <c r="J3" s="494" t="inlineStr">
        <is>
          <t xml:space="preserve"> Deployement Date</t>
        </is>
      </c>
      <c r="K3" s="13" t="inlineStr">
        <is>
          <t>Sponsor</t>
        </is>
      </c>
      <c r="L3" s="13" t="inlineStr">
        <is>
          <t>Remarks/Notes</t>
        </is>
      </c>
      <c r="N3" s="14" t="inlineStr">
        <is>
          <t>Date</t>
        </is>
      </c>
      <c r="O3" s="495">
        <f>TODAY()</f>
        <v/>
      </c>
      <c r="P3" s="444" t="n"/>
      <c r="Q3" s="1" t="n"/>
      <c r="R3" s="1" t="n"/>
      <c r="S3" s="1" t="n"/>
      <c r="T3" s="1" t="n"/>
      <c r="U3" s="1" t="n"/>
      <c r="V3" s="1" t="n"/>
      <c r="W3" s="1" t="n"/>
      <c r="X3" s="1" t="n"/>
      <c r="Y3" s="1" t="n"/>
      <c r="Z3" s="1" t="n"/>
      <c r="AA3" s="1" t="n"/>
      <c r="AB3" s="1" t="n"/>
      <c r="AC3" s="1" t="n"/>
      <c r="AD3" s="1" t="n"/>
      <c r="AE3" s="1" t="n"/>
      <c r="AF3" s="1" t="n"/>
      <c r="AG3" s="1" t="n"/>
      <c r="AH3" s="1" t="n"/>
      <c r="AI3" s="1" t="n"/>
      <c r="AJ3" s="1" t="n"/>
    </row>
    <row r="4" ht="15" customHeight="1">
      <c r="A4" s="488" t="inlineStr">
        <is>
          <t>Project Manager</t>
        </is>
      </c>
      <c r="B4" s="486" t="n">
        <v>1</v>
      </c>
      <c r="C4" s="486" t="n">
        <v>0</v>
      </c>
      <c r="D4" s="486">
        <f>B4-C4</f>
        <v/>
      </c>
      <c r="E4" s="254" t="n"/>
      <c r="F4" s="425" t="inlineStr">
        <is>
          <t>Site Management</t>
        </is>
      </c>
      <c r="G4" s="254" t="n"/>
      <c r="H4" s="285" t="n"/>
      <c r="I4" s="425" t="inlineStr">
        <is>
          <t>Vacant</t>
        </is>
      </c>
      <c r="J4" s="529" t="n"/>
      <c r="K4" s="14" t="n"/>
      <c r="L4" s="14" t="n"/>
      <c r="N4" s="15" t="n"/>
      <c r="O4" s="497" t="n"/>
      <c r="P4" s="498" t="n"/>
      <c r="Q4" s="1" t="n"/>
      <c r="R4" s="1" t="n"/>
      <c r="S4" s="1" t="n"/>
      <c r="T4" s="1" t="n"/>
      <c r="U4" s="1" t="n"/>
      <c r="V4" s="1" t="n"/>
      <c r="W4" s="1" t="n"/>
      <c r="X4" s="1" t="n"/>
      <c r="Y4" s="1" t="n"/>
      <c r="Z4" s="1" t="n"/>
      <c r="AA4" s="1" t="n"/>
      <c r="AB4" s="1" t="n"/>
      <c r="AC4" s="1" t="n"/>
      <c r="AD4" s="1" t="n"/>
      <c r="AE4" s="1" t="n"/>
      <c r="AF4" s="1" t="n"/>
      <c r="AG4" s="1" t="n"/>
      <c r="AH4" s="1" t="n"/>
      <c r="AI4" s="1" t="n"/>
      <c r="AJ4" s="1" t="n"/>
    </row>
    <row r="5" ht="15" customHeight="1">
      <c r="A5" s="488" t="inlineStr">
        <is>
          <t>Accommodation Admin</t>
        </is>
      </c>
      <c r="B5" s="486" t="n">
        <v>1</v>
      </c>
      <c r="C5" s="486" t="n">
        <v>0</v>
      </c>
      <c r="D5" s="486">
        <f>B5-C5</f>
        <v/>
      </c>
      <c r="E5" s="254" t="n"/>
      <c r="F5" s="425" t="inlineStr">
        <is>
          <t>Site Management</t>
        </is>
      </c>
      <c r="G5" s="254" t="n"/>
      <c r="H5" s="256" t="n"/>
      <c r="I5" s="425" t="inlineStr">
        <is>
          <t>Vacant</t>
        </is>
      </c>
      <c r="J5" s="529" t="n"/>
      <c r="K5" s="14" t="n"/>
      <c r="L5" s="20" t="n"/>
      <c r="N5" s="21" t="inlineStr">
        <is>
          <t>Approved</t>
        </is>
      </c>
      <c r="O5" s="457">
        <f>COUNTIF(I4:I82,"approved")</f>
        <v/>
      </c>
      <c r="P5" s="444" t="n"/>
      <c r="Q5" s="1" t="n"/>
      <c r="R5" s="1" t="n"/>
      <c r="S5" s="1" t="n"/>
      <c r="T5" s="1" t="n"/>
      <c r="U5" s="1" t="n"/>
      <c r="V5" s="1" t="n"/>
      <c r="W5" s="1" t="n"/>
      <c r="X5" s="1" t="n"/>
      <c r="Y5" s="1" t="n"/>
      <c r="Z5" s="1" t="n"/>
      <c r="AA5" s="1" t="n"/>
      <c r="AB5" s="1" t="n"/>
      <c r="AC5" s="1" t="n"/>
      <c r="AD5" s="1" t="n"/>
      <c r="AE5" s="1" t="n"/>
      <c r="AF5" s="1" t="n"/>
      <c r="AG5" s="1" t="n"/>
      <c r="AH5" s="1" t="n"/>
      <c r="AI5" s="1" t="n"/>
      <c r="AJ5" s="1" t="n"/>
    </row>
    <row r="6" ht="15" customHeight="1">
      <c r="A6" s="488" t="inlineStr">
        <is>
          <t>Warehouse Incharge</t>
        </is>
      </c>
      <c r="B6" s="486" t="n">
        <v>1</v>
      </c>
      <c r="C6" s="486" t="n">
        <v>1</v>
      </c>
      <c r="D6" s="486">
        <f>B6-C6</f>
        <v/>
      </c>
      <c r="E6" s="254" t="inlineStr">
        <is>
          <t>MD JAVED KHAN</t>
        </is>
      </c>
      <c r="F6" s="425" t="inlineStr">
        <is>
          <t>Site Management</t>
        </is>
      </c>
      <c r="G6" s="254" t="n">
        <v>702875</v>
      </c>
      <c r="H6" s="254" t="n">
        <v>2563545702</v>
      </c>
      <c r="I6" s="425" t="inlineStr">
        <is>
          <t>Approved</t>
        </is>
      </c>
      <c r="J6" s="529" t="n">
        <v>45666</v>
      </c>
      <c r="K6" s="14" t="inlineStr">
        <is>
          <t>FMCO</t>
        </is>
      </c>
      <c r="L6" s="23" t="n"/>
      <c r="N6" s="24" t="inlineStr">
        <is>
          <t>Rejected</t>
        </is>
      </c>
      <c r="O6" s="468">
        <f>COUNTIF(I4:I82,"Rejected")</f>
        <v/>
      </c>
      <c r="P6" s="444" t="n"/>
      <c r="Q6" s="1" t="n"/>
      <c r="R6" s="1" t="n"/>
      <c r="S6" s="1" t="n"/>
      <c r="T6" s="1" t="n"/>
      <c r="U6" s="1" t="n"/>
      <c r="V6" s="1" t="n"/>
      <c r="W6" s="1" t="n"/>
      <c r="X6" s="1" t="n"/>
      <c r="Y6" s="1" t="n"/>
      <c r="Z6" s="1" t="n"/>
      <c r="AA6" s="1" t="n"/>
      <c r="AB6" s="1" t="n"/>
      <c r="AC6" s="1" t="n"/>
      <c r="AD6" s="1" t="n"/>
      <c r="AE6" s="1" t="n"/>
      <c r="AF6" s="1" t="n"/>
      <c r="AG6" s="1" t="n"/>
      <c r="AH6" s="1" t="n"/>
      <c r="AI6" s="1" t="n"/>
      <c r="AJ6" s="1" t="n"/>
    </row>
    <row r="7" ht="15" customHeight="1">
      <c r="A7" s="488" t="inlineStr">
        <is>
          <t>CAFM Operator/Admin</t>
        </is>
      </c>
      <c r="B7" s="486" t="n">
        <v>1</v>
      </c>
      <c r="C7" s="486" t="n">
        <v>1</v>
      </c>
      <c r="D7" s="486">
        <f>B7-C7</f>
        <v/>
      </c>
      <c r="E7" s="254" t="inlineStr">
        <is>
          <t>HAKKIM ANSAR ALI SHAHUL HAMEED</t>
        </is>
      </c>
      <c r="F7" s="425" t="inlineStr">
        <is>
          <t>Site Management</t>
        </is>
      </c>
      <c r="G7" s="254" t="n">
        <v>702901</v>
      </c>
      <c r="H7" s="254" t="n">
        <v>2563892617</v>
      </c>
      <c r="I7" s="425" t="inlineStr">
        <is>
          <t>Approved</t>
        </is>
      </c>
      <c r="J7" s="529" t="n">
        <v>46088</v>
      </c>
      <c r="K7" s="14" t="inlineStr">
        <is>
          <t>FMCO</t>
        </is>
      </c>
      <c r="L7" s="20" t="n"/>
      <c r="N7" s="25" t="inlineStr">
        <is>
          <t xml:space="preserve">Vacant Positions </t>
        </is>
      </c>
      <c r="O7" s="467">
        <f>COUNTIF(I4:I80,"Vacant")</f>
        <v/>
      </c>
      <c r="P7" s="444" t="n"/>
      <c r="Q7" s="1" t="n"/>
      <c r="R7" s="1" t="n"/>
      <c r="S7" s="1" t="n"/>
      <c r="T7" s="1" t="n"/>
      <c r="U7" s="1" t="n"/>
      <c r="V7" s="1" t="n"/>
      <c r="W7" s="1" t="n"/>
      <c r="X7" s="1" t="n"/>
      <c r="Y7" s="1" t="n"/>
      <c r="Z7" s="1" t="n"/>
      <c r="AA7" s="1" t="n"/>
      <c r="AB7" s="1" t="n"/>
      <c r="AC7" s="1" t="n"/>
      <c r="AD7" s="1" t="n"/>
      <c r="AE7" s="1" t="n"/>
      <c r="AF7" s="1" t="n"/>
      <c r="AG7" s="1" t="n"/>
      <c r="AH7" s="1" t="n"/>
      <c r="AI7" s="1" t="n"/>
      <c r="AJ7" s="1" t="n"/>
    </row>
    <row r="8" ht="15" customHeight="1">
      <c r="A8" s="488" t="inlineStr">
        <is>
          <t>Document Controller</t>
        </is>
      </c>
      <c r="B8" s="486" t="n">
        <v>1</v>
      </c>
      <c r="C8" s="486" t="n">
        <v>1</v>
      </c>
      <c r="D8" s="486">
        <f>B8-C8</f>
        <v/>
      </c>
      <c r="E8" s="254" t="inlineStr">
        <is>
          <t>MOHAMMAD EQUBAL ANSARI</t>
        </is>
      </c>
      <c r="F8" s="26" t="inlineStr">
        <is>
          <t>Site Management</t>
        </is>
      </c>
      <c r="G8" s="254" t="inlineStr">
        <is>
          <t>EM-0003024</t>
        </is>
      </c>
      <c r="H8" s="254" t="n">
        <v>2617045824</v>
      </c>
      <c r="I8" s="425" t="inlineStr">
        <is>
          <t>Approved</t>
        </is>
      </c>
      <c r="J8" s="529" t="n">
        <v>45954</v>
      </c>
      <c r="K8" s="28" t="inlineStr">
        <is>
          <t>AL FALAK</t>
        </is>
      </c>
      <c r="L8" s="23" t="n"/>
      <c r="N8" s="21" t="inlineStr">
        <is>
          <t>Total Workforce on Site</t>
        </is>
      </c>
      <c r="O8" s="457">
        <f>COUNTIF(I4:I80,"Approved")</f>
        <v/>
      </c>
      <c r="P8" s="444" t="n"/>
      <c r="Q8" s="1" t="n"/>
      <c r="R8" s="1" t="n"/>
      <c r="S8" s="1" t="n"/>
      <c r="T8" s="1" t="n"/>
      <c r="U8" s="1" t="n"/>
      <c r="V8" s="1" t="n"/>
      <c r="W8" s="1" t="n"/>
      <c r="X8" s="1" t="n"/>
      <c r="Y8" s="1" t="n"/>
      <c r="Z8" s="1" t="n"/>
      <c r="AA8" s="1" t="n"/>
      <c r="AB8" s="1" t="n"/>
      <c r="AC8" s="1" t="n"/>
      <c r="AD8" s="1" t="n"/>
      <c r="AE8" s="1" t="n"/>
      <c r="AF8" s="1" t="n"/>
      <c r="AG8" s="1" t="n"/>
      <c r="AH8" s="1" t="n"/>
      <c r="AI8" s="1" t="n"/>
      <c r="AJ8" s="1" t="n"/>
    </row>
    <row r="9" ht="15" customHeight="1">
      <c r="A9" s="36">
        <f>COUNTIF(E5:E8,"&lt;&gt;")</f>
        <v/>
      </c>
      <c r="B9" s="36">
        <f>SUM(B4:B8)</f>
        <v/>
      </c>
      <c r="C9" s="36">
        <f>COUNTIF(I4:I8,"Approved")</f>
        <v/>
      </c>
      <c r="D9" s="36">
        <f>COUNTIF(I4:I8,"Vacant")</f>
        <v/>
      </c>
      <c r="E9" s="41">
        <f>COUNTIF(I4:I8,"Rejected")</f>
        <v/>
      </c>
      <c r="F9" s="38">
        <f>COUNTIF(I4:I8,"Additional ")</f>
        <v/>
      </c>
      <c r="G9" s="38">
        <f>COUNTIF(G4:G8,"-")</f>
        <v/>
      </c>
      <c r="H9" s="38">
        <f>COUNTIF(H4:H8,"-")</f>
        <v/>
      </c>
      <c r="I9" s="42" t="n"/>
      <c r="J9" s="501" t="n"/>
      <c r="K9" s="43" t="n"/>
      <c r="L9" s="42"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row>
    <row r="10" ht="15.75" customHeight="1">
      <c r="A10" s="8" t="inlineStr">
        <is>
          <t>Position</t>
        </is>
      </c>
      <c r="B10" s="9" t="inlineStr">
        <is>
          <t>Contractual Requirement</t>
        </is>
      </c>
      <c r="C10" s="9" t="inlineStr">
        <is>
          <t>Current Availability</t>
        </is>
      </c>
      <c r="D10" s="9" t="inlineStr">
        <is>
          <t>Vacant Position</t>
        </is>
      </c>
      <c r="E10" s="10" t="inlineStr">
        <is>
          <t>Emaployee Name</t>
        </is>
      </c>
      <c r="F10" s="11" t="inlineStr">
        <is>
          <t>Decipline</t>
        </is>
      </c>
      <c r="G10" s="12" t="inlineStr">
        <is>
          <t>ID</t>
        </is>
      </c>
      <c r="H10" s="11" t="inlineStr">
        <is>
          <t>Shift</t>
        </is>
      </c>
      <c r="I10" s="12" t="inlineStr">
        <is>
          <t>Status</t>
        </is>
      </c>
      <c r="J10" s="503" t="n"/>
      <c r="K10" s="49" t="n"/>
      <c r="L10" s="13" t="inlineStr">
        <is>
          <t>Remarks/Notes</t>
        </is>
      </c>
      <c r="N10" s="31" t="inlineStr">
        <is>
          <t>Back-End/Additional Staff</t>
        </is>
      </c>
      <c r="O10" s="443">
        <f>COUNTIF(I84:I106,"Additional")</f>
        <v/>
      </c>
      <c r="P10" s="444" t="n"/>
      <c r="Q10" s="1" t="n"/>
      <c r="R10" s="1" t="n"/>
      <c r="S10" s="1" t="n"/>
      <c r="T10" s="1" t="n"/>
      <c r="U10" s="1" t="n"/>
      <c r="V10" s="1" t="n"/>
      <c r="W10" s="1" t="n"/>
      <c r="X10" s="1" t="n"/>
      <c r="Y10" s="1" t="n"/>
      <c r="Z10" s="1" t="n"/>
      <c r="AA10" s="1" t="n"/>
      <c r="AB10" s="1" t="n"/>
      <c r="AC10" s="1" t="n"/>
      <c r="AD10" s="1" t="n"/>
      <c r="AE10" s="1" t="n"/>
      <c r="AF10" s="1" t="n"/>
      <c r="AG10" s="1" t="n"/>
      <c r="AH10" s="1" t="n"/>
      <c r="AI10" s="1" t="n"/>
      <c r="AJ10" s="1" t="n"/>
    </row>
    <row r="11" ht="15" customHeight="1">
      <c r="A11" s="488" t="inlineStr">
        <is>
          <t>Soft Service Manager</t>
        </is>
      </c>
      <c r="B11" s="486" t="n">
        <v>1</v>
      </c>
      <c r="C11" s="486" t="n">
        <v>1</v>
      </c>
      <c r="D11" s="486">
        <f>B11-C11</f>
        <v/>
      </c>
      <c r="E11" s="254" t="inlineStr">
        <is>
          <t>PANKAJ BARTHWAL</t>
        </is>
      </c>
      <c r="F11" s="26" t="inlineStr">
        <is>
          <t>Soft Service</t>
        </is>
      </c>
      <c r="G11" s="257" t="n">
        <v>704202</v>
      </c>
      <c r="H11" s="257" t="n">
        <v>2635615053</v>
      </c>
      <c r="I11" s="425" t="inlineStr">
        <is>
          <t>Approved</t>
        </is>
      </c>
      <c r="J11" s="529" t="n">
        <v>46139</v>
      </c>
      <c r="K11" s="485" t="inlineStr">
        <is>
          <t>FMCO</t>
        </is>
      </c>
      <c r="L11" s="23" t="inlineStr">
        <is>
          <t>-</t>
        </is>
      </c>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row>
    <row r="12" ht="15" customHeight="1">
      <c r="A12" s="488" t="inlineStr">
        <is>
          <t>Housekeeping Supervisor</t>
        </is>
      </c>
      <c r="B12" s="486" t="n">
        <v>2</v>
      </c>
      <c r="C12" s="486" t="n">
        <v>1</v>
      </c>
      <c r="D12" s="486">
        <f>B12-C12</f>
        <v/>
      </c>
      <c r="E12" s="254" t="inlineStr">
        <is>
          <t>MOHAMMAD JAWED</t>
        </is>
      </c>
      <c r="F12" s="26" t="inlineStr">
        <is>
          <t>Soft Service</t>
        </is>
      </c>
      <c r="G12" s="254" t="inlineStr">
        <is>
          <t>EM-0002738</t>
        </is>
      </c>
      <c r="H12" s="254" t="n">
        <v>2586128981</v>
      </c>
      <c r="I12" s="425" t="inlineStr">
        <is>
          <t>Approved</t>
        </is>
      </c>
      <c r="J12" s="529" t="n">
        <v>45600</v>
      </c>
      <c r="K12" s="14" t="n"/>
      <c r="L12" s="23" t="inlineStr">
        <is>
          <t>-</t>
        </is>
      </c>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c r="AJ12" s="1" t="n"/>
    </row>
    <row r="13" ht="15" customHeight="1">
      <c r="A13" s="431" t="n"/>
      <c r="B13" s="431" t="n"/>
      <c r="C13" s="431" t="n"/>
      <c r="D13" s="431" t="n"/>
      <c r="E13" s="254" t="inlineStr">
        <is>
          <t>AFZAL KHAIRULLAH KHAN</t>
        </is>
      </c>
      <c r="F13" s="26" t="inlineStr">
        <is>
          <t>Soft Service</t>
        </is>
      </c>
      <c r="G13" s="254" t="n"/>
      <c r="H13" s="256" t="inlineStr">
        <is>
          <t>C0492304</t>
        </is>
      </c>
      <c r="I13" s="425" t="inlineStr">
        <is>
          <t>Approved</t>
        </is>
      </c>
      <c r="J13" s="529" t="n">
        <v>46267</v>
      </c>
      <c r="K13" s="28" t="n"/>
      <c r="L13" s="23" t="inlineStr">
        <is>
          <t>-</t>
        </is>
      </c>
      <c r="N13" s="1" t="n"/>
      <c r="O13" s="1" t="n"/>
      <c r="P13" s="1" t="n"/>
      <c r="Q13" s="1" t="n"/>
      <c r="R13" s="1" t="n"/>
      <c r="S13" s="1" t="n"/>
      <c r="T13" s="1" t="n"/>
      <c r="U13" s="1" t="n"/>
      <c r="V13" s="1" t="n"/>
      <c r="W13" s="1" t="n"/>
      <c r="X13" s="1" t="n"/>
      <c r="Y13" s="1" t="n"/>
      <c r="Z13" s="1" t="n"/>
      <c r="AA13" s="1" t="n"/>
      <c r="AB13" s="1" t="n"/>
      <c r="AC13" s="1" t="n"/>
      <c r="AD13" s="1" t="n"/>
      <c r="AE13" s="1" t="n"/>
      <c r="AF13" s="1" t="n"/>
      <c r="AG13" s="1" t="n"/>
      <c r="AH13" s="1" t="n"/>
      <c r="AI13" s="1" t="n"/>
      <c r="AJ13" s="1" t="n"/>
    </row>
    <row r="14" ht="15" customHeight="1">
      <c r="A14" s="488" t="inlineStr">
        <is>
          <t>Landscape Supervisor</t>
        </is>
      </c>
      <c r="B14" s="486" t="n">
        <v>2</v>
      </c>
      <c r="C14" s="486" t="n">
        <v>2</v>
      </c>
      <c r="D14" s="486">
        <f>B14-C14</f>
        <v/>
      </c>
      <c r="E14" s="254" t="inlineStr">
        <is>
          <t>MOHAN SINGH</t>
        </is>
      </c>
      <c r="F14" s="26" t="inlineStr">
        <is>
          <t>Soft Service</t>
        </is>
      </c>
      <c r="G14" s="254" t="n">
        <v>219400</v>
      </c>
      <c r="H14" s="254" t="n">
        <v>2622658082</v>
      </c>
      <c r="I14" s="425" t="inlineStr">
        <is>
          <t>Approved</t>
        </is>
      </c>
      <c r="J14" s="529" t="n">
        <v>46014</v>
      </c>
      <c r="K14" s="14" t="n"/>
      <c r="L14" s="23" t="inlineStr">
        <is>
          <t>-</t>
        </is>
      </c>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c r="AJ14" s="1" t="n"/>
    </row>
    <row r="15" ht="15" customHeight="1">
      <c r="A15" s="431" t="n"/>
      <c r="B15" s="431" t="n"/>
      <c r="C15" s="431" t="n"/>
      <c r="D15" s="431" t="n"/>
      <c r="E15" s="258" t="inlineStr">
        <is>
          <t>MUHAMMAD ALI</t>
        </is>
      </c>
      <c r="F15" s="26" t="inlineStr">
        <is>
          <t>Soft Service</t>
        </is>
      </c>
      <c r="G15" s="258" t="n"/>
      <c r="H15" s="258" t="n">
        <v>2627126465</v>
      </c>
      <c r="I15" s="425" t="inlineStr">
        <is>
          <t>Approved</t>
        </is>
      </c>
      <c r="J15" s="529" t="n">
        <v>46222</v>
      </c>
      <c r="K15" s="14" t="n"/>
      <c r="L15" s="23" t="inlineStr">
        <is>
          <t>-</t>
        </is>
      </c>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c r="AJ15" s="1" t="n"/>
    </row>
    <row r="16" ht="15" customHeight="1">
      <c r="A16" s="484" t="inlineStr">
        <is>
          <t>Housekeepers - Male</t>
        </is>
      </c>
      <c r="B16" s="442" t="n">
        <v>9</v>
      </c>
      <c r="C16" s="442" t="n">
        <v>9</v>
      </c>
      <c r="D16" s="442" t="n">
        <v>0</v>
      </c>
      <c r="E16" s="254" t="inlineStr">
        <is>
          <t>AAKAF AZAD CHIPLUNKAR</t>
        </is>
      </c>
      <c r="F16" s="26" t="inlineStr">
        <is>
          <t>Soft Service</t>
        </is>
      </c>
      <c r="G16" s="254" t="inlineStr">
        <is>
          <t>R07627</t>
        </is>
      </c>
      <c r="H16" s="256" t="n">
        <v>2591516576</v>
      </c>
      <c r="I16" s="425" t="inlineStr">
        <is>
          <t>Approved</t>
        </is>
      </c>
      <c r="J16" s="529" t="n">
        <v>46141</v>
      </c>
      <c r="K16" s="485" t="inlineStr">
        <is>
          <t>Mehan</t>
        </is>
      </c>
      <c r="L16" s="23" t="inlineStr">
        <is>
          <t>-</t>
        </is>
      </c>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c r="AJ16" s="1" t="n"/>
    </row>
    <row r="17" ht="15" customHeight="1">
      <c r="A17" s="429" t="n"/>
      <c r="B17" s="429" t="n"/>
      <c r="C17" s="429" t="n"/>
      <c r="D17" s="429" t="n"/>
      <c r="E17" s="254" t="inlineStr">
        <is>
          <t>SAMIUL ISLAM</t>
        </is>
      </c>
      <c r="F17" s="26" t="inlineStr">
        <is>
          <t>Soft Service</t>
        </is>
      </c>
      <c r="G17" s="254" t="n"/>
      <c r="H17" s="254" t="n">
        <v>2607334642</v>
      </c>
      <c r="I17" s="425" t="inlineStr">
        <is>
          <t>Approved</t>
        </is>
      </c>
      <c r="J17" s="529" t="n">
        <v>45944</v>
      </c>
      <c r="K17" s="485" t="inlineStr">
        <is>
          <t>Esnad</t>
        </is>
      </c>
      <c r="L17" s="23" t="inlineStr">
        <is>
          <t>-</t>
        </is>
      </c>
      <c r="N17" s="1" t="n"/>
      <c r="O17" s="1" t="n"/>
      <c r="P17" s="1" t="n"/>
      <c r="Q17" s="1" t="n"/>
      <c r="R17" s="1" t="n"/>
      <c r="S17" s="1" t="n"/>
      <c r="T17" s="1" t="n"/>
      <c r="U17" s="1" t="n"/>
      <c r="V17" s="1" t="n"/>
      <c r="W17" s="1" t="n"/>
      <c r="X17" s="1" t="n"/>
      <c r="Y17" s="1" t="n"/>
      <c r="Z17" s="1" t="n"/>
      <c r="AA17" s="1" t="n"/>
      <c r="AB17" s="1" t="n"/>
      <c r="AC17" s="1" t="n"/>
      <c r="AD17" s="1" t="n"/>
      <c r="AE17" s="1" t="n"/>
      <c r="AF17" s="1" t="n"/>
      <c r="AG17" s="1" t="n"/>
      <c r="AH17" s="1" t="n"/>
      <c r="AI17" s="1" t="n"/>
      <c r="AJ17" s="1" t="n"/>
    </row>
    <row r="18" ht="15" customHeight="1">
      <c r="A18" s="429" t="n"/>
      <c r="B18" s="429" t="n"/>
      <c r="C18" s="429" t="n"/>
      <c r="D18" s="429" t="n"/>
      <c r="E18" s="254" t="inlineStr">
        <is>
          <t>MD ASHIK</t>
        </is>
      </c>
      <c r="F18" s="26" t="inlineStr">
        <is>
          <t>Soft Service</t>
        </is>
      </c>
      <c r="G18" s="254" t="n"/>
      <c r="H18" s="254" t="n">
        <v>2624659856</v>
      </c>
      <c r="I18" s="425" t="inlineStr">
        <is>
          <t>Approved</t>
        </is>
      </c>
      <c r="J18" s="529" t="n">
        <v>46025</v>
      </c>
      <c r="K18" s="485" t="inlineStr">
        <is>
          <t>SCC</t>
        </is>
      </c>
      <c r="L18" s="23" t="inlineStr">
        <is>
          <t>-</t>
        </is>
      </c>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c r="AJ18" s="1" t="n"/>
    </row>
    <row r="19" ht="15" customHeight="1">
      <c r="A19" s="429" t="n"/>
      <c r="B19" s="429" t="n"/>
      <c r="C19" s="429" t="n"/>
      <c r="D19" s="429" t="n"/>
      <c r="E19" s="254" t="inlineStr">
        <is>
          <t>Md Saiful Islam</t>
        </is>
      </c>
      <c r="F19" s="26" t="inlineStr">
        <is>
          <t>Soft Service</t>
        </is>
      </c>
      <c r="G19" s="254" t="n"/>
      <c r="H19" s="256" t="n">
        <v>2637637428</v>
      </c>
      <c r="I19" s="425" t="inlineStr">
        <is>
          <t>Approved</t>
        </is>
      </c>
      <c r="J19" s="529" t="n">
        <v>46225</v>
      </c>
      <c r="K19" s="485" t="inlineStr">
        <is>
          <t>Wabco</t>
        </is>
      </c>
      <c r="L19" s="23" t="inlineStr">
        <is>
          <t>-</t>
        </is>
      </c>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c r="AJ19" s="1" t="n"/>
    </row>
    <row r="20" ht="15" customHeight="1">
      <c r="A20" s="429" t="n"/>
      <c r="B20" s="429" t="n"/>
      <c r="C20" s="429" t="n"/>
      <c r="D20" s="429" t="n"/>
      <c r="E20" s="254" t="inlineStr">
        <is>
          <t>MANIK BISHWACH</t>
        </is>
      </c>
      <c r="F20" s="26" t="inlineStr">
        <is>
          <t>Soft Service</t>
        </is>
      </c>
      <c r="G20" s="254" t="n"/>
      <c r="H20" s="256" t="n">
        <v>2619952183</v>
      </c>
      <c r="I20" s="425" t="inlineStr">
        <is>
          <t>Approved</t>
        </is>
      </c>
      <c r="J20" s="529" t="n">
        <v>45967</v>
      </c>
      <c r="K20" s="485" t="inlineStr">
        <is>
          <t>Gulf Vision</t>
        </is>
      </c>
      <c r="L20" s="23" t="inlineStr">
        <is>
          <t>-</t>
        </is>
      </c>
      <c r="N20" s="1" t="n"/>
      <c r="O20" s="1" t="n"/>
      <c r="P20" s="1" t="n"/>
      <c r="Q20" s="1" t="n"/>
      <c r="R20" s="1" t="n"/>
      <c r="S20" s="1" t="n"/>
      <c r="T20" s="1" t="n"/>
      <c r="U20" s="1" t="n"/>
      <c r="V20" s="1" t="n"/>
      <c r="W20" s="1" t="n"/>
      <c r="X20" s="1" t="n"/>
      <c r="Y20" s="1" t="n"/>
      <c r="Z20" s="1" t="n"/>
      <c r="AA20" s="1" t="n"/>
      <c r="AB20" s="1" t="n"/>
      <c r="AC20" s="1" t="n"/>
      <c r="AD20" s="1" t="n"/>
      <c r="AE20" s="1" t="n"/>
      <c r="AF20" s="1" t="n"/>
      <c r="AG20" s="1" t="n"/>
      <c r="AH20" s="1" t="n"/>
      <c r="AI20" s="1" t="n"/>
      <c r="AJ20" s="1" t="n"/>
    </row>
    <row r="21" ht="15" customHeight="1">
      <c r="A21" s="429" t="n"/>
      <c r="B21" s="429" t="n"/>
      <c r="C21" s="429" t="n"/>
      <c r="D21" s="429" t="n"/>
      <c r="E21" s="254" t="inlineStr">
        <is>
          <t>MD KAMALUDDIN</t>
        </is>
      </c>
      <c r="F21" s="26" t="inlineStr">
        <is>
          <t>Soft Service</t>
        </is>
      </c>
      <c r="G21" s="254" t="n"/>
      <c r="H21" s="256" t="n">
        <v>2619159300</v>
      </c>
      <c r="I21" s="425" t="inlineStr">
        <is>
          <t>Approved</t>
        </is>
      </c>
      <c r="J21" s="529" t="n">
        <v>45967</v>
      </c>
      <c r="K21" s="485" t="inlineStr">
        <is>
          <t>Gulf Vision</t>
        </is>
      </c>
      <c r="L21" s="23" t="inlineStr">
        <is>
          <t>-</t>
        </is>
      </c>
      <c r="N21" s="1" t="n"/>
      <c r="O21" s="1" t="n"/>
      <c r="P21" s="1" t="n"/>
      <c r="Q21" s="1" t="n"/>
      <c r="R21" s="1" t="n"/>
      <c r="S21" s="1" t="n"/>
      <c r="T21" s="1" t="n"/>
      <c r="U21" s="1" t="n"/>
      <c r="V21" s="1" t="n"/>
      <c r="W21" s="1" t="n"/>
      <c r="X21" s="1" t="n"/>
      <c r="Y21" s="1" t="n"/>
      <c r="Z21" s="1" t="n"/>
      <c r="AA21" s="1" t="n"/>
      <c r="AB21" s="1" t="n"/>
      <c r="AC21" s="1" t="n"/>
      <c r="AD21" s="1" t="n"/>
      <c r="AE21" s="1" t="n"/>
      <c r="AF21" s="1" t="n"/>
      <c r="AG21" s="1" t="n"/>
      <c r="AH21" s="1" t="n"/>
      <c r="AI21" s="1" t="n"/>
      <c r="AJ21" s="1" t="n"/>
    </row>
    <row r="22" ht="15" customHeight="1">
      <c r="A22" s="429" t="n"/>
      <c r="B22" s="429" t="n"/>
      <c r="C22" s="429" t="n"/>
      <c r="D22" s="429" t="n"/>
      <c r="E22" s="254" t="inlineStr">
        <is>
          <t>MD SUHAIL</t>
        </is>
      </c>
      <c r="F22" s="26" t="inlineStr">
        <is>
          <t>Soft Service</t>
        </is>
      </c>
      <c r="G22" s="254" t="n"/>
      <c r="H22" s="256" t="n">
        <v>2615783046</v>
      </c>
      <c r="I22" s="425" t="inlineStr">
        <is>
          <t>Approved</t>
        </is>
      </c>
      <c r="J22" s="529" t="n">
        <v>45967</v>
      </c>
      <c r="K22" s="485" t="inlineStr">
        <is>
          <t>Gulf Vision</t>
        </is>
      </c>
      <c r="L22" s="23" t="inlineStr">
        <is>
          <t>-</t>
        </is>
      </c>
      <c r="N22" s="1" t="n"/>
      <c r="O22" s="1" t="n"/>
      <c r="P22" s="1" t="n"/>
      <c r="Q22" s="1" t="n"/>
      <c r="R22" s="1" t="n"/>
      <c r="S22" s="1" t="n"/>
      <c r="T22" s="1" t="n"/>
      <c r="U22" s="1" t="n"/>
      <c r="V22" s="1" t="n"/>
      <c r="W22" s="1" t="n"/>
      <c r="X22" s="1" t="n"/>
      <c r="Y22" s="1" t="n"/>
      <c r="Z22" s="1" t="n"/>
      <c r="AA22" s="1" t="n"/>
      <c r="AB22" s="1" t="n"/>
      <c r="AC22" s="1" t="n"/>
      <c r="AD22" s="1" t="n"/>
      <c r="AE22" s="1" t="n"/>
      <c r="AF22" s="1" t="n"/>
      <c r="AG22" s="1" t="n"/>
      <c r="AH22" s="1" t="n"/>
      <c r="AI22" s="1" t="n"/>
      <c r="AJ22" s="1" t="n"/>
    </row>
    <row r="23" ht="15" customHeight="1">
      <c r="A23" s="429" t="n"/>
      <c r="B23" s="429" t="n"/>
      <c r="C23" s="429" t="n"/>
      <c r="D23" s="429" t="n"/>
      <c r="E23" s="254" t="inlineStr">
        <is>
          <t>BUDDHI BAHADUR LIMBU</t>
        </is>
      </c>
      <c r="F23" s="26" t="inlineStr">
        <is>
          <t>Soft Service</t>
        </is>
      </c>
      <c r="G23" s="254" t="n">
        <v>703537</v>
      </c>
      <c r="H23" s="256" t="n">
        <v>2585449578</v>
      </c>
      <c r="I23" s="425" t="inlineStr">
        <is>
          <t>Approved</t>
        </is>
      </c>
      <c r="J23" s="529" t="n">
        <v>45586</v>
      </c>
      <c r="K23" s="485" t="inlineStr">
        <is>
          <t>FMCO</t>
        </is>
      </c>
      <c r="L23" s="23" t="inlineStr">
        <is>
          <t>-</t>
        </is>
      </c>
      <c r="N23" s="1" t="n"/>
      <c r="O23" s="1" t="n"/>
      <c r="P23" s="1" t="n"/>
      <c r="Q23" s="1" t="n"/>
      <c r="R23" s="1" t="n"/>
      <c r="S23" s="1" t="n"/>
      <c r="T23" s="1" t="n"/>
      <c r="U23" s="1" t="n"/>
      <c r="V23" s="1" t="n"/>
      <c r="W23" s="1" t="n"/>
      <c r="X23" s="1" t="n"/>
      <c r="Y23" s="1" t="n"/>
      <c r="Z23" s="1" t="n"/>
      <c r="AA23" s="1" t="n"/>
      <c r="AB23" s="1" t="n"/>
      <c r="AC23" s="1" t="n"/>
      <c r="AD23" s="1" t="n"/>
      <c r="AE23" s="1" t="n"/>
      <c r="AF23" s="1" t="n"/>
      <c r="AG23" s="1" t="n"/>
      <c r="AH23" s="1" t="n"/>
      <c r="AI23" s="1" t="n"/>
      <c r="AJ23" s="1" t="n"/>
    </row>
    <row r="24" ht="15" customHeight="1">
      <c r="A24" s="431" t="n"/>
      <c r="B24" s="431" t="n"/>
      <c r="C24" s="431" t="n"/>
      <c r="D24" s="431" t="n"/>
      <c r="E24" s="254" t="inlineStr">
        <is>
          <t>MD YASIN MIA</t>
        </is>
      </c>
      <c r="F24" s="26" t="inlineStr">
        <is>
          <t>Soft Service</t>
        </is>
      </c>
      <c r="G24" s="254" t="inlineStr">
        <is>
          <t>R09396</t>
        </is>
      </c>
      <c r="H24" s="256" t="n">
        <v>2613457205</v>
      </c>
      <c r="I24" s="425" t="inlineStr">
        <is>
          <t>Approved</t>
        </is>
      </c>
      <c r="J24" s="529" t="n">
        <v>46111</v>
      </c>
      <c r="K24" s="485" t="inlineStr">
        <is>
          <t>Mehan</t>
        </is>
      </c>
      <c r="L24" s="23" t="inlineStr">
        <is>
          <t>-</t>
        </is>
      </c>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c r="AJ24" s="1" t="n"/>
    </row>
    <row r="25" ht="15" customHeight="1">
      <c r="A25" s="484" t="inlineStr">
        <is>
          <t>External Cleaners</t>
        </is>
      </c>
      <c r="B25" s="470" t="n">
        <v>3</v>
      </c>
      <c r="C25" s="470" t="n">
        <v>3</v>
      </c>
      <c r="D25" s="470" t="n">
        <v>0</v>
      </c>
      <c r="E25" s="254" t="inlineStr">
        <is>
          <t>MD SHAKIBUR ALAM</t>
        </is>
      </c>
      <c r="F25" s="26" t="inlineStr">
        <is>
          <t>Soft Service</t>
        </is>
      </c>
      <c r="G25" s="254" t="n"/>
      <c r="H25" s="256" t="n">
        <v>2619885425</v>
      </c>
      <c r="I25" s="425" t="inlineStr">
        <is>
          <t>Approved</t>
        </is>
      </c>
      <c r="J25" s="529" t="n">
        <v>45967</v>
      </c>
      <c r="K25" s="485" t="inlineStr">
        <is>
          <t>Gulf Vision</t>
        </is>
      </c>
      <c r="L25" s="23" t="inlineStr">
        <is>
          <t>-</t>
        </is>
      </c>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c r="AJ25" s="1" t="n"/>
    </row>
    <row r="26" ht="15" customHeight="1">
      <c r="A26" s="429" t="n"/>
      <c r="B26" s="429" t="n"/>
      <c r="C26" s="429" t="n"/>
      <c r="D26" s="429" t="n"/>
      <c r="E26" s="254" t="inlineStr">
        <is>
          <t>MD ALI HUSSAIN</t>
        </is>
      </c>
      <c r="F26" s="26" t="inlineStr">
        <is>
          <t>Soft Service</t>
        </is>
      </c>
      <c r="G26" s="254" t="n"/>
      <c r="H26" s="256" t="n">
        <v>2617182353</v>
      </c>
      <c r="I26" s="425" t="inlineStr">
        <is>
          <t>Approved</t>
        </is>
      </c>
      <c r="J26" s="529" t="n">
        <v>45967</v>
      </c>
      <c r="K26" s="485" t="inlineStr">
        <is>
          <t>Gulf Vision</t>
        </is>
      </c>
      <c r="L26" s="23" t="inlineStr">
        <is>
          <t>-</t>
        </is>
      </c>
      <c r="N26" s="1" t="n"/>
      <c r="O26" s="1" t="n"/>
      <c r="P26" s="1" t="n"/>
      <c r="Q26" s="1" t="n"/>
      <c r="R26" s="1" t="n"/>
      <c r="S26" s="1" t="n"/>
      <c r="T26" s="1" t="n"/>
      <c r="U26" s="1" t="n"/>
      <c r="V26" s="1" t="n"/>
      <c r="W26" s="1" t="n"/>
      <c r="X26" s="1" t="n"/>
      <c r="Y26" s="1" t="n"/>
      <c r="Z26" s="1" t="n"/>
      <c r="AA26" s="1" t="n"/>
      <c r="AB26" s="1" t="n"/>
      <c r="AC26" s="1" t="n"/>
      <c r="AD26" s="1" t="n"/>
      <c r="AE26" s="1" t="n"/>
      <c r="AF26" s="1" t="n"/>
      <c r="AG26" s="1" t="n"/>
      <c r="AH26" s="1" t="n"/>
      <c r="AI26" s="1" t="n"/>
      <c r="AJ26" s="1" t="n"/>
    </row>
    <row r="27" ht="15" customHeight="1">
      <c r="A27" s="431" t="n"/>
      <c r="B27" s="431" t="n"/>
      <c r="C27" s="431" t="n"/>
      <c r="D27" s="431" t="n"/>
      <c r="E27" s="254" t="inlineStr">
        <is>
          <t>MD TARIQUL</t>
        </is>
      </c>
      <c r="F27" s="26" t="inlineStr">
        <is>
          <t>Soft Service</t>
        </is>
      </c>
      <c r="G27" s="254" t="n"/>
      <c r="H27" s="256" t="n">
        <v>2619195064</v>
      </c>
      <c r="I27" s="425" t="inlineStr">
        <is>
          <t>Approved</t>
        </is>
      </c>
      <c r="J27" s="529" t="n">
        <v>45967</v>
      </c>
      <c r="K27" s="485" t="inlineStr">
        <is>
          <t>Gulf Vision</t>
        </is>
      </c>
      <c r="L27" s="23" t="inlineStr">
        <is>
          <t>-</t>
        </is>
      </c>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c r="AJ27" s="1" t="n"/>
    </row>
    <row r="28" ht="15" customHeight="1">
      <c r="A28" s="484" t="inlineStr">
        <is>
          <t>Litter Picker</t>
        </is>
      </c>
      <c r="B28" s="470" t="n">
        <v>2</v>
      </c>
      <c r="C28" s="470" t="n">
        <v>2</v>
      </c>
      <c r="D28" s="470" t="n">
        <v>0</v>
      </c>
      <c r="E28" s="254" t="inlineStr">
        <is>
          <t>HASAN RAZA</t>
        </is>
      </c>
      <c r="F28" s="26" t="inlineStr">
        <is>
          <t>Soft Service</t>
        </is>
      </c>
      <c r="G28" s="254" t="inlineStr">
        <is>
          <t>EM-0002737</t>
        </is>
      </c>
      <c r="H28" s="254" t="n">
        <v>2608099111</v>
      </c>
      <c r="I28" s="425" t="inlineStr">
        <is>
          <t>Approved</t>
        </is>
      </c>
      <c r="J28" s="529" t="n">
        <v>45863</v>
      </c>
      <c r="K28" s="485" t="inlineStr">
        <is>
          <t>Al-Falak</t>
        </is>
      </c>
      <c r="L28" s="23" t="inlineStr">
        <is>
          <t>-</t>
        </is>
      </c>
      <c r="N28" s="1" t="n"/>
      <c r="O28" s="1" t="n"/>
      <c r="P28" s="1" t="n"/>
      <c r="Q28" s="1" t="n"/>
      <c r="R28" s="1" t="n"/>
      <c r="S28" s="1" t="n"/>
      <c r="T28" s="1" t="n"/>
      <c r="U28" s="1" t="n"/>
      <c r="V28" s="1" t="n"/>
      <c r="W28" s="1" t="n"/>
      <c r="X28" s="1" t="n"/>
      <c r="Y28" s="1" t="n"/>
      <c r="Z28" s="1" t="n"/>
      <c r="AA28" s="1" t="n"/>
      <c r="AB28" s="1" t="n"/>
      <c r="AC28" s="1" t="n"/>
      <c r="AD28" s="1" t="n"/>
      <c r="AE28" s="1" t="n"/>
      <c r="AF28" s="1" t="n"/>
      <c r="AG28" s="1" t="n"/>
      <c r="AH28" s="1" t="n"/>
      <c r="AI28" s="1" t="n"/>
      <c r="AJ28" s="1" t="n"/>
    </row>
    <row r="29" ht="15" customHeight="1">
      <c r="A29" s="431" t="n"/>
      <c r="B29" s="431" t="n"/>
      <c r="C29" s="431" t="n"/>
      <c r="D29" s="431" t="n"/>
      <c r="E29" s="254" t="inlineStr">
        <is>
          <t>SAMEER MAJID AHMED SHAIKH</t>
        </is>
      </c>
      <c r="F29" s="26" t="inlineStr">
        <is>
          <t>Soft Service</t>
        </is>
      </c>
      <c r="G29" s="254" t="inlineStr">
        <is>
          <t>R08812</t>
        </is>
      </c>
      <c r="H29" s="254" t="n">
        <v>2608386534</v>
      </c>
      <c r="I29" s="425" t="inlineStr">
        <is>
          <t>Approved</t>
        </is>
      </c>
      <c r="J29" s="529" t="n">
        <v>46139</v>
      </c>
      <c r="K29" s="485" t="inlineStr">
        <is>
          <t>Mehan</t>
        </is>
      </c>
      <c r="L29" s="23" t="inlineStr">
        <is>
          <t>-</t>
        </is>
      </c>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c r="AJ29" s="1" t="n"/>
    </row>
    <row r="30" ht="15" customHeight="1">
      <c r="A30" s="484" t="inlineStr">
        <is>
          <t>Gardener</t>
        </is>
      </c>
      <c r="B30" s="470" t="n">
        <v>15</v>
      </c>
      <c r="C30" s="470" t="n">
        <v>15</v>
      </c>
      <c r="D30" s="470" t="n">
        <v>0</v>
      </c>
      <c r="E30" s="254" t="inlineStr">
        <is>
          <t>MD MIZANUR RAHMAN</t>
        </is>
      </c>
      <c r="F30" s="26" t="inlineStr">
        <is>
          <t>Soft Service</t>
        </is>
      </c>
      <c r="G30" s="254" t="n"/>
      <c r="H30" s="256" t="n">
        <v>2629375656</v>
      </c>
      <c r="I30" s="425" t="inlineStr">
        <is>
          <t>Approved</t>
        </is>
      </c>
      <c r="J30" s="529" t="n">
        <v>46082</v>
      </c>
      <c r="K30" s="485" t="inlineStr">
        <is>
          <t>UCC RENTAL</t>
        </is>
      </c>
      <c r="L30" s="23" t="inlineStr">
        <is>
          <t>-</t>
        </is>
      </c>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c r="AJ30" s="1" t="n"/>
    </row>
    <row r="31" ht="15" customHeight="1">
      <c r="A31" s="429" t="n"/>
      <c r="B31" s="429" t="n"/>
      <c r="C31" s="429" t="n"/>
      <c r="D31" s="429" t="n"/>
      <c r="E31" s="254" t="inlineStr">
        <is>
          <t>MD SAHIN MOLLA</t>
        </is>
      </c>
      <c r="F31" s="26" t="inlineStr">
        <is>
          <t>Soft Service</t>
        </is>
      </c>
      <c r="G31" s="254" t="n"/>
      <c r="H31" s="256" t="n">
        <v>2630365928</v>
      </c>
      <c r="I31" s="425" t="inlineStr">
        <is>
          <t>Approved</t>
        </is>
      </c>
      <c r="J31" s="529" t="n">
        <v>46082</v>
      </c>
      <c r="K31" s="485" t="inlineStr">
        <is>
          <t>UCC RENTAL</t>
        </is>
      </c>
      <c r="L31" s="23" t="inlineStr">
        <is>
          <t>-</t>
        </is>
      </c>
      <c r="N31" s="1" t="n"/>
      <c r="O31" s="1" t="n"/>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row>
    <row r="32" ht="15" customHeight="1">
      <c r="A32" s="429" t="n"/>
      <c r="B32" s="429" t="n"/>
      <c r="C32" s="429" t="n"/>
      <c r="D32" s="429" t="n"/>
      <c r="E32" s="254" t="inlineStr">
        <is>
          <t>MD ALI FOKIR</t>
        </is>
      </c>
      <c r="F32" s="26" t="inlineStr">
        <is>
          <t>Soft Service</t>
        </is>
      </c>
      <c r="G32" s="254" t="n"/>
      <c r="H32" s="256" t="n">
        <v>2629900719</v>
      </c>
      <c r="I32" s="425" t="inlineStr">
        <is>
          <t>Approved</t>
        </is>
      </c>
      <c r="J32" s="529" t="n">
        <v>46082</v>
      </c>
      <c r="K32" s="485" t="inlineStr">
        <is>
          <t>UCC RENTAL</t>
        </is>
      </c>
      <c r="L32" s="23" t="inlineStr">
        <is>
          <t>-</t>
        </is>
      </c>
      <c r="N32" s="1" t="n"/>
      <c r="O32" s="1" t="n"/>
      <c r="P32" s="1" t="n"/>
      <c r="Q32" s="1" t="n"/>
      <c r="R32" s="1" t="n"/>
      <c r="S32" s="1" t="n"/>
      <c r="T32" s="1" t="n"/>
      <c r="U32" s="1" t="n"/>
      <c r="V32" s="1" t="n"/>
      <c r="W32" s="1" t="n"/>
      <c r="X32" s="1" t="n"/>
      <c r="Y32" s="1" t="n"/>
      <c r="Z32" s="1" t="n"/>
      <c r="AA32" s="1" t="n"/>
      <c r="AB32" s="1" t="n"/>
      <c r="AC32" s="1" t="n"/>
      <c r="AD32" s="1" t="n"/>
      <c r="AE32" s="1" t="n"/>
      <c r="AF32" s="1" t="n"/>
      <c r="AG32" s="1" t="n"/>
      <c r="AH32" s="1" t="n"/>
      <c r="AI32" s="1" t="n"/>
      <c r="AJ32" s="1" t="n"/>
    </row>
    <row r="33" ht="15" customHeight="1">
      <c r="A33" s="429" t="n"/>
      <c r="B33" s="429" t="n"/>
      <c r="C33" s="429" t="n"/>
      <c r="D33" s="429" t="n"/>
      <c r="E33" s="254" t="inlineStr">
        <is>
          <t>FARUK LAL MIA</t>
        </is>
      </c>
      <c r="F33" s="26" t="inlineStr">
        <is>
          <t>Soft Service</t>
        </is>
      </c>
      <c r="G33" s="254" t="n"/>
      <c r="H33" s="256" t="n">
        <v>2590605008</v>
      </c>
      <c r="I33" s="425" t="inlineStr">
        <is>
          <t>Approved</t>
        </is>
      </c>
      <c r="J33" s="529" t="n">
        <v>46082</v>
      </c>
      <c r="K33" s="485" t="inlineStr">
        <is>
          <t>UCC RENTAL</t>
        </is>
      </c>
      <c r="L33" s="23" t="inlineStr">
        <is>
          <t>-</t>
        </is>
      </c>
      <c r="N33" s="1" t="n"/>
      <c r="O33" s="1" t="n"/>
      <c r="P33" s="1" t="n"/>
      <c r="Q33" s="1" t="n"/>
      <c r="R33" s="1" t="n"/>
      <c r="S33" s="1" t="n"/>
      <c r="T33" s="1" t="n"/>
      <c r="U33" s="1" t="n"/>
      <c r="V33" s="1" t="n"/>
      <c r="W33" s="1" t="n"/>
      <c r="X33" s="1" t="n"/>
      <c r="Y33" s="1" t="n"/>
      <c r="Z33" s="1" t="n"/>
      <c r="AA33" s="1" t="n"/>
      <c r="AB33" s="1" t="n"/>
      <c r="AC33" s="1" t="n"/>
      <c r="AD33" s="1" t="n"/>
      <c r="AE33" s="1" t="n"/>
      <c r="AF33" s="1" t="n"/>
      <c r="AG33" s="1" t="n"/>
      <c r="AH33" s="1" t="n"/>
      <c r="AI33" s="1" t="n"/>
      <c r="AJ33" s="1" t="n"/>
    </row>
    <row r="34" ht="15" customHeight="1">
      <c r="A34" s="429" t="n"/>
      <c r="B34" s="429" t="n"/>
      <c r="C34" s="429" t="n"/>
      <c r="D34" s="429" t="n"/>
      <c r="E34" s="254" t="inlineStr">
        <is>
          <t>MD ALAMGIR MIAH</t>
        </is>
      </c>
      <c r="F34" s="26" t="inlineStr">
        <is>
          <t>Soft Service</t>
        </is>
      </c>
      <c r="G34" s="254" t="n"/>
      <c r="H34" s="256" t="n">
        <v>2626794255</v>
      </c>
      <c r="I34" s="425" t="inlineStr">
        <is>
          <t>Approved</t>
        </is>
      </c>
      <c r="J34" s="529" t="n">
        <v>46082</v>
      </c>
      <c r="K34" s="485" t="inlineStr">
        <is>
          <t>UCC RENTAL</t>
        </is>
      </c>
      <c r="L34" s="23" t="inlineStr">
        <is>
          <t>-</t>
        </is>
      </c>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row>
    <row r="35" ht="15" customHeight="1">
      <c r="A35" s="429" t="n"/>
      <c r="B35" s="429" t="n"/>
      <c r="C35" s="429" t="n"/>
      <c r="D35" s="429" t="n"/>
      <c r="E35" s="254" t="inlineStr">
        <is>
          <t>MD EMAM HOSSAIN</t>
        </is>
      </c>
      <c r="F35" s="26" t="inlineStr">
        <is>
          <t>Soft Service</t>
        </is>
      </c>
      <c r="G35" s="254" t="n"/>
      <c r="H35" s="256" t="n">
        <v>2630841514</v>
      </c>
      <c r="I35" s="425" t="inlineStr">
        <is>
          <t>Approved</t>
        </is>
      </c>
      <c r="J35" s="529" t="n">
        <v>46082</v>
      </c>
      <c r="K35" s="485" t="inlineStr">
        <is>
          <t>UCC RENTAL</t>
        </is>
      </c>
      <c r="L35" s="23" t="inlineStr">
        <is>
          <t>-</t>
        </is>
      </c>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row>
    <row r="36" ht="15" customHeight="1">
      <c r="A36" s="429" t="n"/>
      <c r="B36" s="429" t="n"/>
      <c r="C36" s="429" t="n"/>
      <c r="D36" s="429" t="n"/>
      <c r="E36" s="254" t="inlineStr">
        <is>
          <t>MD YOUNUS ALI</t>
        </is>
      </c>
      <c r="F36" s="26" t="inlineStr">
        <is>
          <t>Soft Service</t>
        </is>
      </c>
      <c r="G36" s="254" t="n"/>
      <c r="H36" s="256" t="n">
        <v>2629484797</v>
      </c>
      <c r="I36" s="425" t="inlineStr">
        <is>
          <t>Approved</t>
        </is>
      </c>
      <c r="J36" s="529" t="n">
        <v>46082</v>
      </c>
      <c r="K36" s="485" t="inlineStr">
        <is>
          <t>UCC RENTAL</t>
        </is>
      </c>
      <c r="L36" s="23" t="inlineStr">
        <is>
          <t>-</t>
        </is>
      </c>
      <c r="N36" s="1" t="n"/>
      <c r="O36" s="1" t="n"/>
      <c r="P36" s="1" t="n"/>
      <c r="Q36" s="1" t="n"/>
      <c r="R36" s="1" t="n"/>
      <c r="S36" s="1" t="n"/>
      <c r="T36" s="1" t="n"/>
      <c r="U36" s="1" t="n"/>
      <c r="V36" s="1" t="n"/>
      <c r="W36" s="1" t="n"/>
      <c r="X36" s="1" t="n"/>
      <c r="Y36" s="1" t="n"/>
      <c r="Z36" s="1" t="n"/>
      <c r="AA36" s="1" t="n"/>
      <c r="AB36" s="1" t="n"/>
      <c r="AC36" s="1" t="n"/>
      <c r="AD36" s="1" t="n"/>
      <c r="AE36" s="1" t="n"/>
      <c r="AF36" s="1" t="n"/>
      <c r="AG36" s="1" t="n"/>
      <c r="AH36" s="1" t="n"/>
      <c r="AI36" s="1" t="n"/>
      <c r="AJ36" s="1" t="n"/>
    </row>
    <row r="37" ht="15" customHeight="1">
      <c r="A37" s="429" t="n"/>
      <c r="B37" s="429" t="n"/>
      <c r="C37" s="429" t="n"/>
      <c r="D37" s="429" t="n"/>
      <c r="E37" s="254" t="inlineStr">
        <is>
          <t>AWLAD HOSSAIN</t>
        </is>
      </c>
      <c r="F37" s="26" t="inlineStr">
        <is>
          <t>Soft Service</t>
        </is>
      </c>
      <c r="G37" s="254" t="n"/>
      <c r="H37" s="256" t="n">
        <v>2626524587</v>
      </c>
      <c r="I37" s="425" t="inlineStr">
        <is>
          <t>Approved</t>
        </is>
      </c>
      <c r="J37" s="529" t="n">
        <v>46082</v>
      </c>
      <c r="K37" s="485" t="inlineStr">
        <is>
          <t>UCC RENTAL</t>
        </is>
      </c>
      <c r="L37" s="23" t="inlineStr">
        <is>
          <t>-</t>
        </is>
      </c>
      <c r="N37" s="1" t="n"/>
      <c r="O37" s="1" t="n"/>
      <c r="P37" s="1" t="n"/>
      <c r="Q37" s="1" t="n"/>
      <c r="R37" s="1" t="n"/>
      <c r="S37" s="1" t="n"/>
      <c r="T37" s="1" t="n"/>
      <c r="U37" s="1" t="n"/>
      <c r="V37" s="1" t="n"/>
      <c r="W37" s="1" t="n"/>
      <c r="X37" s="1" t="n"/>
      <c r="Y37" s="1" t="n"/>
      <c r="Z37" s="1" t="n"/>
      <c r="AA37" s="1" t="n"/>
      <c r="AB37" s="1" t="n"/>
      <c r="AC37" s="1" t="n"/>
      <c r="AD37" s="1" t="n"/>
      <c r="AE37" s="1" t="n"/>
      <c r="AF37" s="1" t="n"/>
      <c r="AG37" s="1" t="n"/>
      <c r="AH37" s="1" t="n"/>
      <c r="AI37" s="1" t="n"/>
      <c r="AJ37" s="1" t="n"/>
    </row>
    <row r="38" ht="15" customHeight="1">
      <c r="A38" s="429" t="n"/>
      <c r="B38" s="429" t="n"/>
      <c r="C38" s="429" t="n"/>
      <c r="D38" s="429" t="n"/>
      <c r="E38" s="254" t="inlineStr">
        <is>
          <t>MD FIROJ GAZI</t>
        </is>
      </c>
      <c r="F38" s="26" t="inlineStr">
        <is>
          <t>Soft Service</t>
        </is>
      </c>
      <c r="G38" s="254" t="n"/>
      <c r="H38" s="256" t="n">
        <v>2627760610</v>
      </c>
      <c r="I38" s="425" t="inlineStr">
        <is>
          <t>Approved</t>
        </is>
      </c>
      <c r="J38" s="529" t="n">
        <v>46082</v>
      </c>
      <c r="K38" s="485" t="inlineStr">
        <is>
          <t>UCC RENTAL</t>
        </is>
      </c>
      <c r="L38" s="53" t="inlineStr">
        <is>
          <t>-</t>
        </is>
      </c>
      <c r="N38" s="1" t="n"/>
      <c r="O38" s="1" t="n"/>
      <c r="P38" s="1" t="n"/>
      <c r="Q38" s="1" t="n"/>
      <c r="R38" s="1" t="n"/>
      <c r="S38" s="1" t="n"/>
      <c r="T38" s="1" t="n"/>
      <c r="U38" s="1" t="n"/>
      <c r="V38" s="1" t="n"/>
      <c r="W38" s="1" t="n"/>
      <c r="X38" s="1" t="n"/>
      <c r="Y38" s="1" t="n"/>
      <c r="Z38" s="1" t="n"/>
      <c r="AA38" s="1" t="n"/>
      <c r="AB38" s="1" t="n"/>
      <c r="AC38" s="1" t="n"/>
      <c r="AD38" s="1" t="n"/>
      <c r="AE38" s="1" t="n"/>
      <c r="AF38" s="1" t="n"/>
      <c r="AG38" s="1" t="n"/>
      <c r="AH38" s="1" t="n"/>
      <c r="AI38" s="1" t="n"/>
      <c r="AJ38" s="1" t="n"/>
    </row>
    <row r="39" ht="15" customHeight="1">
      <c r="A39" s="429" t="n"/>
      <c r="B39" s="429" t="n"/>
      <c r="C39" s="429" t="n"/>
      <c r="D39" s="429" t="n"/>
      <c r="E39" s="254" t="inlineStr">
        <is>
          <t>MD SHARIFUL ISLAM</t>
        </is>
      </c>
      <c r="F39" s="26" t="inlineStr">
        <is>
          <t>Soft Service</t>
        </is>
      </c>
      <c r="G39" s="254" t="n"/>
      <c r="H39" s="256" t="n">
        <v>2631183361</v>
      </c>
      <c r="I39" s="425" t="inlineStr">
        <is>
          <t>Approved</t>
        </is>
      </c>
      <c r="J39" s="529" t="n">
        <v>46082</v>
      </c>
      <c r="K39" s="485" t="inlineStr">
        <is>
          <t>UCC RENTAL</t>
        </is>
      </c>
      <c r="L39" s="23" t="inlineStr">
        <is>
          <t>-</t>
        </is>
      </c>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row>
    <row r="40" ht="15" customHeight="1">
      <c r="A40" s="429" t="n"/>
      <c r="B40" s="429" t="n"/>
      <c r="C40" s="429" t="n"/>
      <c r="D40" s="429" t="n"/>
      <c r="E40" s="254" t="inlineStr">
        <is>
          <t>MD NASIR UDDIN SHEAK</t>
        </is>
      </c>
      <c r="F40" s="26" t="inlineStr">
        <is>
          <t>Soft Service</t>
        </is>
      </c>
      <c r="G40" s="254" t="n"/>
      <c r="H40" s="256" t="n">
        <v>2631182116</v>
      </c>
      <c r="I40" s="425" t="inlineStr">
        <is>
          <t>Approved</t>
        </is>
      </c>
      <c r="J40" s="529" t="n">
        <v>46082</v>
      </c>
      <c r="K40" s="485" t="inlineStr">
        <is>
          <t>UCC RENTAL</t>
        </is>
      </c>
      <c r="L40" s="23" t="inlineStr">
        <is>
          <t>-</t>
        </is>
      </c>
      <c r="N40" s="1" t="n"/>
      <c r="O40" s="1" t="n"/>
      <c r="P40" s="1" t="n"/>
      <c r="Q40" s="1" t="n"/>
      <c r="R40" s="1" t="n"/>
      <c r="S40" s="1" t="n"/>
      <c r="T40" s="1" t="n"/>
      <c r="U40" s="1" t="n"/>
      <c r="V40" s="1" t="n"/>
      <c r="W40" s="1" t="n"/>
      <c r="X40" s="1" t="n"/>
      <c r="Y40" s="1" t="n"/>
      <c r="Z40" s="1" t="n"/>
      <c r="AA40" s="1" t="n"/>
      <c r="AB40" s="1" t="n"/>
      <c r="AC40" s="1" t="n"/>
      <c r="AD40" s="1" t="n"/>
      <c r="AE40" s="1" t="n"/>
      <c r="AF40" s="1" t="n"/>
      <c r="AG40" s="1" t="n"/>
      <c r="AH40" s="1" t="n"/>
      <c r="AI40" s="1" t="n"/>
      <c r="AJ40" s="1" t="n"/>
    </row>
    <row r="41" ht="15" customHeight="1">
      <c r="A41" s="429" t="n"/>
      <c r="B41" s="429" t="n"/>
      <c r="C41" s="429" t="n"/>
      <c r="D41" s="429" t="n"/>
      <c r="E41" s="254" t="inlineStr">
        <is>
          <t>RIAD HOSSAIN</t>
        </is>
      </c>
      <c r="F41" s="26" t="inlineStr">
        <is>
          <t>Soft Service</t>
        </is>
      </c>
      <c r="G41" s="254" t="inlineStr">
        <is>
          <t>E135</t>
        </is>
      </c>
      <c r="H41" s="254" t="n">
        <v>2604540886</v>
      </c>
      <c r="I41" s="425" t="inlineStr">
        <is>
          <t>Approved</t>
        </is>
      </c>
      <c r="J41" s="529" t="n">
        <v>46187</v>
      </c>
      <c r="K41" s="485" t="inlineStr">
        <is>
          <t>Esnad (Rental)</t>
        </is>
      </c>
      <c r="L41" s="23" t="inlineStr">
        <is>
          <t>-</t>
        </is>
      </c>
      <c r="N41" s="1" t="n"/>
      <c r="O41" s="1" t="n"/>
      <c r="P41" s="1" t="n"/>
      <c r="Q41" s="1" t="n"/>
      <c r="R41" s="1" t="n"/>
      <c r="S41" s="1" t="n"/>
      <c r="T41" s="1" t="n"/>
      <c r="U41" s="1" t="n"/>
      <c r="V41" s="1" t="n"/>
      <c r="W41" s="1" t="n"/>
      <c r="X41" s="1" t="n"/>
      <c r="Y41" s="1" t="n"/>
      <c r="Z41" s="1" t="n"/>
      <c r="AA41" s="1" t="n"/>
      <c r="AB41" s="1" t="n"/>
      <c r="AC41" s="1" t="n"/>
      <c r="AD41" s="1" t="n"/>
      <c r="AE41" s="1" t="n"/>
      <c r="AF41" s="1" t="n"/>
      <c r="AG41" s="1" t="n"/>
      <c r="AH41" s="1" t="n"/>
      <c r="AI41" s="1" t="n"/>
      <c r="AJ41" s="1" t="n"/>
    </row>
    <row r="42" ht="15" customHeight="1">
      <c r="A42" s="429" t="n"/>
      <c r="B42" s="429" t="n"/>
      <c r="C42" s="429" t="n"/>
      <c r="D42" s="429" t="n"/>
      <c r="E42" s="254" t="inlineStr">
        <is>
          <t>SOJON LATIF</t>
        </is>
      </c>
      <c r="F42" s="26" t="inlineStr">
        <is>
          <t>Soft Service</t>
        </is>
      </c>
      <c r="G42" s="254" t="inlineStr">
        <is>
          <t>E134</t>
        </is>
      </c>
      <c r="H42" s="254" t="n">
        <v>2618482893</v>
      </c>
      <c r="I42" s="425" t="inlineStr">
        <is>
          <t>Approved</t>
        </is>
      </c>
      <c r="J42" s="529" t="n">
        <v>46187</v>
      </c>
      <c r="K42" s="485" t="inlineStr">
        <is>
          <t>Esnad (Rental)</t>
        </is>
      </c>
      <c r="L42" s="23" t="inlineStr">
        <is>
          <t>-</t>
        </is>
      </c>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row>
    <row r="43" ht="15" customHeight="1">
      <c r="A43" s="429" t="n"/>
      <c r="B43" s="429" t="n"/>
      <c r="C43" s="429" t="n"/>
      <c r="D43" s="429" t="n"/>
      <c r="E43" s="254" t="inlineStr">
        <is>
          <t>MD BELLAL HOSSAIN</t>
        </is>
      </c>
      <c r="F43" s="26" t="inlineStr">
        <is>
          <t>Soft Service</t>
        </is>
      </c>
      <c r="G43" s="254" t="n"/>
      <c r="H43" s="256" t="n">
        <v>2571349964</v>
      </c>
      <c r="I43" s="425" t="inlineStr">
        <is>
          <t>Approved</t>
        </is>
      </c>
      <c r="J43" s="529" t="n">
        <v>46190</v>
      </c>
      <c r="K43" s="485" t="inlineStr">
        <is>
          <t>UCC Rental</t>
        </is>
      </c>
      <c r="L43" s="23" t="inlineStr">
        <is>
          <t>-</t>
        </is>
      </c>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row>
    <row r="44" ht="15" customHeight="1">
      <c r="A44" s="431" t="n"/>
      <c r="B44" s="431" t="n"/>
      <c r="C44" s="431" t="n"/>
      <c r="D44" s="431" t="n"/>
      <c r="E44" s="254" t="inlineStr">
        <is>
          <t>GOHAR ALI SHER ZADA</t>
        </is>
      </c>
      <c r="F44" s="26" t="inlineStr">
        <is>
          <t>Soft Service</t>
        </is>
      </c>
      <c r="G44" s="254" t="n"/>
      <c r="H44" s="254" t="n">
        <v>2638291654</v>
      </c>
      <c r="I44" s="425" t="inlineStr">
        <is>
          <t>Approved</t>
        </is>
      </c>
      <c r="J44" s="529" t="n">
        <v>46190</v>
      </c>
      <c r="K44" s="485" t="inlineStr">
        <is>
          <t>UCC RENTAL</t>
        </is>
      </c>
      <c r="L44" s="23" t="inlineStr">
        <is>
          <t>-</t>
        </is>
      </c>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row>
    <row r="45" ht="15" customHeight="1">
      <c r="A45" s="462" t="inlineStr">
        <is>
          <t>Laundry Operative</t>
        </is>
      </c>
      <c r="B45" s="440" t="n">
        <v>3</v>
      </c>
      <c r="C45" s="440" t="n">
        <v>0</v>
      </c>
      <c r="D45" s="440" t="n">
        <v>3</v>
      </c>
      <c r="E45" s="52" t="n"/>
      <c r="F45" s="50" t="inlineStr">
        <is>
          <t>Laundry</t>
        </is>
      </c>
      <c r="G45" s="425" t="n"/>
      <c r="H45" s="29" t="n"/>
      <c r="I45" s="425" t="inlineStr">
        <is>
          <t>Vacant</t>
        </is>
      </c>
      <c r="J45" s="499" t="n"/>
      <c r="K45" s="14" t="n"/>
      <c r="L45" s="23" t="inlineStr">
        <is>
          <t>-</t>
        </is>
      </c>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row>
    <row r="46" ht="15" customHeight="1">
      <c r="A46" s="429" t="n"/>
      <c r="B46" s="429" t="n"/>
      <c r="C46" s="429" t="n"/>
      <c r="D46" s="429" t="n"/>
      <c r="E46" s="32" t="n"/>
      <c r="F46" s="50" t="inlineStr">
        <is>
          <t>Laundry</t>
        </is>
      </c>
      <c r="G46" s="460" t="n"/>
      <c r="H46" s="460" t="n"/>
      <c r="I46" s="425" t="inlineStr">
        <is>
          <t>Vacant</t>
        </is>
      </c>
      <c r="J46" s="496" t="n"/>
      <c r="K46" s="14" t="n"/>
      <c r="L46" s="23" t="inlineStr">
        <is>
          <t>-</t>
        </is>
      </c>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row>
    <row r="47" ht="15" customHeight="1">
      <c r="A47" s="431" t="n"/>
      <c r="B47" s="431" t="n"/>
      <c r="C47" s="431" t="n"/>
      <c r="D47" s="431" t="n"/>
      <c r="E47" s="32" t="n"/>
      <c r="F47" s="50" t="inlineStr">
        <is>
          <t>Laundry</t>
        </is>
      </c>
      <c r="G47" s="460" t="n"/>
      <c r="H47" s="460" t="n"/>
      <c r="I47" s="425" t="inlineStr">
        <is>
          <t>Vacant</t>
        </is>
      </c>
      <c r="J47" s="496" t="n"/>
      <c r="K47" s="14" t="n"/>
      <c r="L47" s="23" t="inlineStr">
        <is>
          <t>-</t>
        </is>
      </c>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row>
    <row r="48" ht="15" customHeight="1">
      <c r="A48" s="286" t="inlineStr">
        <is>
          <t>Pest Control Operative</t>
        </is>
      </c>
      <c r="B48" s="470" t="n">
        <v>1</v>
      </c>
      <c r="C48" s="470" t="n">
        <v>1</v>
      </c>
      <c r="D48" s="470" t="n">
        <v>0</v>
      </c>
      <c r="E48" s="260" t="inlineStr">
        <is>
          <t xml:space="preserve">MD SOFEUR </t>
        </is>
      </c>
      <c r="F48" s="26" t="inlineStr">
        <is>
          <t>Soft Service</t>
        </is>
      </c>
      <c r="G48" s="259" t="n"/>
      <c r="H48" s="259" t="n">
        <v>2589812300</v>
      </c>
      <c r="I48" s="425" t="inlineStr">
        <is>
          <t>Approved</t>
        </is>
      </c>
      <c r="J48" s="529" t="n">
        <v>46246</v>
      </c>
      <c r="K48" s="261" t="n"/>
      <c r="L48" s="23" t="inlineStr">
        <is>
          <t>-</t>
        </is>
      </c>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row>
    <row r="49" ht="15" customHeight="1">
      <c r="A49" s="286" t="inlineStr">
        <is>
          <t>HS Manager</t>
        </is>
      </c>
      <c r="B49" s="470" t="n">
        <v>1</v>
      </c>
      <c r="C49" s="470" t="n">
        <v>1</v>
      </c>
      <c r="D49" s="470" t="n">
        <v>0</v>
      </c>
      <c r="E49" s="260" t="inlineStr">
        <is>
          <t>MUHAMMAD TARIQ ANWAR</t>
        </is>
      </c>
      <c r="F49" s="26" t="inlineStr">
        <is>
          <t>Hard Service</t>
        </is>
      </c>
      <c r="G49" s="259" t="n"/>
      <c r="H49" s="259" t="n">
        <v>2564073969</v>
      </c>
      <c r="I49" s="425" t="inlineStr">
        <is>
          <t>Approved</t>
        </is>
      </c>
      <c r="J49" s="529" t="n">
        <v>46252</v>
      </c>
      <c r="K49" s="261" t="inlineStr">
        <is>
          <t>FMCO</t>
        </is>
      </c>
      <c r="L49" s="23" t="inlineStr">
        <is>
          <t>-</t>
        </is>
      </c>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c r="AJ49" s="1" t="n"/>
    </row>
    <row r="50" ht="15" customHeight="1">
      <c r="A50" s="286" t="inlineStr">
        <is>
          <t>Facilities Engineer</t>
        </is>
      </c>
      <c r="B50" s="470" t="n">
        <v>1</v>
      </c>
      <c r="C50" s="470" t="n">
        <v>1</v>
      </c>
      <c r="D50" s="470" t="n">
        <v>0</v>
      </c>
      <c r="E50" s="254" t="inlineStr">
        <is>
          <t>ALIFA MEHERA LASKAR</t>
        </is>
      </c>
      <c r="F50" s="26" t="inlineStr">
        <is>
          <t>Hard Service</t>
        </is>
      </c>
      <c r="G50" s="259" t="inlineStr">
        <is>
          <t>EM-0002759</t>
        </is>
      </c>
      <c r="H50" s="272" t="n">
        <v>2603380078</v>
      </c>
      <c r="I50" s="425" t="inlineStr">
        <is>
          <t>Approved</t>
        </is>
      </c>
      <c r="J50" s="529" t="n">
        <v>45847</v>
      </c>
      <c r="K50" s="255" t="inlineStr">
        <is>
          <t>Al-Falak</t>
        </is>
      </c>
      <c r="L50" s="23" t="inlineStr">
        <is>
          <t>-</t>
        </is>
      </c>
      <c r="N50" s="1"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c r="AJ50" s="1" t="n"/>
    </row>
    <row r="51" ht="15" customHeight="1">
      <c r="A51" s="286" t="inlineStr">
        <is>
          <t>FLS Specialist</t>
        </is>
      </c>
      <c r="B51" s="470" t="n">
        <v>1</v>
      </c>
      <c r="C51" s="470" t="n">
        <v>1</v>
      </c>
      <c r="D51" s="470" t="n">
        <v>0</v>
      </c>
      <c r="E51" s="254" t="inlineStr">
        <is>
          <t>MD ASIF BAIG</t>
        </is>
      </c>
      <c r="F51" s="26" t="inlineStr">
        <is>
          <t>Hard Service</t>
        </is>
      </c>
      <c r="G51" s="254" t="inlineStr">
        <is>
          <t>C01371</t>
        </is>
      </c>
      <c r="H51" s="256" t="n">
        <v>2618058222</v>
      </c>
      <c r="I51" s="425" t="inlineStr">
        <is>
          <t>Approved</t>
        </is>
      </c>
      <c r="J51" s="529" t="n">
        <v>45954</v>
      </c>
      <c r="K51" s="255" t="inlineStr">
        <is>
          <t>Mehan</t>
        </is>
      </c>
      <c r="L51" s="23" t="inlineStr">
        <is>
          <t>-</t>
        </is>
      </c>
      <c r="N51" s="1" t="n"/>
      <c r="O51" s="1" t="n"/>
      <c r="P51" s="1" t="n"/>
      <c r="Q51" s="1" t="n"/>
      <c r="R51" s="1" t="n"/>
      <c r="S51" s="1" t="n"/>
      <c r="T51" s="1" t="n"/>
      <c r="U51" s="1" t="n"/>
      <c r="V51" s="1" t="n"/>
      <c r="W51" s="1" t="n"/>
      <c r="X51" s="1" t="n"/>
      <c r="Y51" s="1" t="n"/>
      <c r="Z51" s="1" t="n"/>
      <c r="AA51" s="1" t="n"/>
      <c r="AB51" s="1" t="n"/>
      <c r="AC51" s="1" t="n"/>
      <c r="AD51" s="1" t="n"/>
      <c r="AE51" s="1" t="n"/>
      <c r="AF51" s="1" t="n"/>
      <c r="AG51" s="1" t="n"/>
      <c r="AH51" s="1" t="n"/>
      <c r="AI51" s="1" t="n"/>
      <c r="AJ51" s="1" t="n"/>
    </row>
    <row r="52" ht="15" customHeight="1">
      <c r="A52" s="245" t="inlineStr">
        <is>
          <t>Electrical Supervisor</t>
        </is>
      </c>
      <c r="B52" s="486" t="n">
        <v>1</v>
      </c>
      <c r="C52" s="486" t="n">
        <v>1</v>
      </c>
      <c r="D52" s="486">
        <f>B52-C52</f>
        <v/>
      </c>
      <c r="E52" s="254" t="inlineStr">
        <is>
          <t>ABDUL RAHUMAN ABDUL KATHER</t>
        </is>
      </c>
      <c r="F52" s="26" t="inlineStr">
        <is>
          <t>Hard Service</t>
        </is>
      </c>
      <c r="G52" s="254" t="inlineStr">
        <is>
          <t>EM-0004013</t>
        </is>
      </c>
      <c r="H52" s="254" t="n">
        <v>2641304726</v>
      </c>
      <c r="I52" s="425" t="inlineStr">
        <is>
          <t>Approved</t>
        </is>
      </c>
      <c r="J52" s="529" t="n">
        <v>46245</v>
      </c>
      <c r="K52" s="255" t="inlineStr">
        <is>
          <t>Al-Falak</t>
        </is>
      </c>
      <c r="L52" s="23" t="inlineStr">
        <is>
          <t>-</t>
        </is>
      </c>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row>
    <row r="53" ht="15" customHeight="1">
      <c r="A53" s="245" t="inlineStr">
        <is>
          <t>MEP Supervisor</t>
        </is>
      </c>
      <c r="B53" s="486" t="n">
        <v>1</v>
      </c>
      <c r="C53" s="486" t="n">
        <v>1</v>
      </c>
      <c r="D53" s="486">
        <f>B53-C53</f>
        <v/>
      </c>
      <c r="E53" s="254" t="inlineStr">
        <is>
          <t>MD SAQUIB ALAM</t>
        </is>
      </c>
      <c r="F53" s="26" t="inlineStr">
        <is>
          <t>Hard Service</t>
        </is>
      </c>
      <c r="G53" s="254" t="inlineStr">
        <is>
          <t>EM-0003023</t>
        </is>
      </c>
      <c r="H53" s="254" t="n">
        <v>2617045709</v>
      </c>
      <c r="I53" s="425" t="inlineStr">
        <is>
          <t>Approved</t>
        </is>
      </c>
      <c r="J53" s="529" t="n">
        <v>45954</v>
      </c>
      <c r="K53" s="255" t="inlineStr">
        <is>
          <t>Al-Falak</t>
        </is>
      </c>
      <c r="L53" s="23" t="inlineStr">
        <is>
          <t>-</t>
        </is>
      </c>
      <c r="N53" s="1" t="n"/>
      <c r="O53" s="1" t="n"/>
      <c r="P53" s="1" t="n"/>
      <c r="Q53" s="1" t="n"/>
      <c r="R53" s="1" t="n"/>
      <c r="S53" s="1" t="n"/>
      <c r="T53" s="1" t="n"/>
      <c r="U53" s="1" t="n"/>
      <c r="V53" s="1" t="n"/>
      <c r="W53" s="1" t="n"/>
      <c r="X53" s="1" t="n"/>
      <c r="Y53" s="1" t="n"/>
      <c r="Z53" s="1" t="n"/>
      <c r="AA53" s="1" t="n"/>
      <c r="AB53" s="1" t="n"/>
      <c r="AC53" s="1" t="n"/>
      <c r="AD53" s="1" t="n"/>
      <c r="AE53" s="1" t="n"/>
      <c r="AF53" s="1" t="n"/>
      <c r="AG53" s="1" t="n"/>
      <c r="AH53" s="1" t="n"/>
      <c r="AI53" s="1" t="n"/>
      <c r="AJ53" s="1" t="n"/>
    </row>
    <row r="54" ht="15" customHeight="1">
      <c r="A54" s="488" t="inlineStr">
        <is>
          <t>Civil Supervisor</t>
        </is>
      </c>
      <c r="B54" s="486" t="n">
        <v>1</v>
      </c>
      <c r="C54" s="486" t="n">
        <v>1</v>
      </c>
      <c r="D54" s="486">
        <f>B54-C54</f>
        <v/>
      </c>
      <c r="E54" s="254" t="inlineStr">
        <is>
          <t>AMJED TALIKY</t>
        </is>
      </c>
      <c r="F54" s="26" t="inlineStr">
        <is>
          <t>Hard Service</t>
        </is>
      </c>
      <c r="G54" s="257" t="inlineStr">
        <is>
          <t xml:space="preserve">704323	</t>
        </is>
      </c>
      <c r="H54" s="257" t="n">
        <v>2159014352</v>
      </c>
      <c r="I54" s="425" t="inlineStr">
        <is>
          <t>Approved</t>
        </is>
      </c>
      <c r="J54" s="529" t="n">
        <v>46185</v>
      </c>
      <c r="K54" s="261" t="inlineStr">
        <is>
          <t>FMCO</t>
        </is>
      </c>
      <c r="L54" s="23" t="inlineStr">
        <is>
          <t>-</t>
        </is>
      </c>
      <c r="N54" s="1" t="n"/>
      <c r="O54" s="1" t="n"/>
      <c r="P54" s="1" t="n"/>
      <c r="Q54" s="1" t="n"/>
      <c r="R54" s="1" t="n"/>
      <c r="S54" s="1" t="n"/>
      <c r="T54" s="1" t="n"/>
      <c r="U54" s="1" t="n"/>
      <c r="V54" s="1" t="n"/>
      <c r="W54" s="1" t="n"/>
      <c r="X54" s="1" t="n"/>
      <c r="Y54" s="1" t="n"/>
      <c r="Z54" s="1" t="n"/>
      <c r="AA54" s="1" t="n"/>
      <c r="AB54" s="1" t="n"/>
      <c r="AC54" s="1" t="n"/>
      <c r="AD54" s="1" t="n"/>
      <c r="AE54" s="1" t="n"/>
      <c r="AF54" s="1" t="n"/>
      <c r="AG54" s="1" t="n"/>
      <c r="AH54" s="1" t="n"/>
      <c r="AI54" s="1" t="n"/>
      <c r="AJ54" s="1" t="n"/>
    </row>
    <row r="55" ht="15" customHeight="1">
      <c r="A55" s="484" t="inlineStr">
        <is>
          <t>HVAC Technician</t>
        </is>
      </c>
      <c r="B55" s="470" t="n">
        <v>3</v>
      </c>
      <c r="C55" s="470" t="n">
        <v>2</v>
      </c>
      <c r="D55" s="470" t="n">
        <v>1</v>
      </c>
      <c r="E55" s="254" t="n"/>
      <c r="F55" s="26" t="inlineStr">
        <is>
          <t>Hard Service</t>
        </is>
      </c>
      <c r="G55" s="254" t="n"/>
      <c r="H55" s="256" t="n"/>
      <c r="I55" s="425" t="inlineStr">
        <is>
          <t>Vacant</t>
        </is>
      </c>
      <c r="J55" s="529" t="n"/>
      <c r="K55" s="287" t="n"/>
      <c r="L55" s="23" t="inlineStr">
        <is>
          <t>-</t>
        </is>
      </c>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row>
    <row r="56" ht="15" customHeight="1">
      <c r="A56" s="429" t="n"/>
      <c r="B56" s="429" t="n"/>
      <c r="C56" s="429" t="n"/>
      <c r="D56" s="429" t="n"/>
      <c r="E56" s="257" t="inlineStr">
        <is>
          <t>MOHAMMAD ILIYAS</t>
        </is>
      </c>
      <c r="F56" s="26" t="inlineStr">
        <is>
          <t>Hard Service</t>
        </is>
      </c>
      <c r="G56" s="254" t="inlineStr">
        <is>
          <t>C02141</t>
        </is>
      </c>
      <c r="H56" s="254" t="n">
        <v>2642516575</v>
      </c>
      <c r="I56" s="425" t="inlineStr">
        <is>
          <t>Approved</t>
        </is>
      </c>
      <c r="J56" s="529" t="n">
        <v>46225</v>
      </c>
      <c r="K56" s="261" t="inlineStr">
        <is>
          <t>FMCO</t>
        </is>
      </c>
      <c r="L56" s="23" t="inlineStr">
        <is>
          <t>-</t>
        </is>
      </c>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row>
    <row r="57" ht="15" customHeight="1">
      <c r="A57" s="431" t="n"/>
      <c r="B57" s="431" t="n"/>
      <c r="C57" s="431" t="n"/>
      <c r="D57" s="431" t="n"/>
      <c r="E57" s="254" t="inlineStr">
        <is>
          <t>NEHAL KHAN</t>
        </is>
      </c>
      <c r="F57" s="26" t="inlineStr">
        <is>
          <t>Hard Service</t>
        </is>
      </c>
      <c r="G57" s="254" t="inlineStr">
        <is>
          <t>C00531</t>
        </is>
      </c>
      <c r="H57" s="256" t="n">
        <v>2617253402</v>
      </c>
      <c r="I57" s="425" t="inlineStr">
        <is>
          <t>Approved</t>
        </is>
      </c>
      <c r="J57" s="529" t="n">
        <v>45954</v>
      </c>
      <c r="K57" s="255" t="inlineStr">
        <is>
          <t>Mehan</t>
        </is>
      </c>
      <c r="L57" s="23" t="inlineStr">
        <is>
          <t>-</t>
        </is>
      </c>
      <c r="N57" s="1" t="n"/>
      <c r="O57" s="1" t="n"/>
      <c r="P57" s="1" t="n"/>
      <c r="Q57" s="1" t="n"/>
      <c r="R57" s="1" t="n"/>
      <c r="S57" s="1" t="n"/>
      <c r="T57" s="1" t="n"/>
      <c r="U57" s="1" t="n"/>
      <c r="V57" s="1" t="n"/>
      <c r="W57" s="1" t="n"/>
      <c r="X57" s="1" t="n"/>
      <c r="Y57" s="1" t="n"/>
      <c r="Z57" s="1" t="n"/>
      <c r="AA57" s="1" t="n"/>
      <c r="AB57" s="1" t="n"/>
      <c r="AC57" s="1" t="n"/>
      <c r="AD57" s="1" t="n"/>
      <c r="AE57" s="1" t="n"/>
      <c r="AF57" s="1" t="n"/>
      <c r="AG57" s="1" t="n"/>
      <c r="AH57" s="1" t="n"/>
      <c r="AI57" s="1" t="n"/>
      <c r="AJ57" s="1" t="n"/>
    </row>
    <row r="58" ht="15" customHeight="1">
      <c r="A58" s="484" t="inlineStr">
        <is>
          <t>Electrician</t>
        </is>
      </c>
      <c r="B58" s="470" t="n">
        <v>2</v>
      </c>
      <c r="C58" s="470" t="n">
        <v>2</v>
      </c>
      <c r="D58" s="470" t="n">
        <v>0</v>
      </c>
      <c r="E58" s="254" t="inlineStr">
        <is>
          <t>SHAHNAWAZ UL HAQUE</t>
        </is>
      </c>
      <c r="F58" s="26" t="inlineStr">
        <is>
          <t>Hard Service</t>
        </is>
      </c>
      <c r="G58" s="259" t="inlineStr">
        <is>
          <t>EM-0002709</t>
        </is>
      </c>
      <c r="H58" s="272" t="n">
        <v>2587449121</v>
      </c>
      <c r="I58" s="425" t="inlineStr">
        <is>
          <t>Approved</t>
        </is>
      </c>
      <c r="J58" s="529" t="n">
        <v>45586</v>
      </c>
      <c r="K58" s="261" t="inlineStr">
        <is>
          <t>Al-Falak</t>
        </is>
      </c>
      <c r="L58" s="23" t="inlineStr">
        <is>
          <t>-</t>
        </is>
      </c>
      <c r="N58" s="1" t="n"/>
      <c r="O58" s="1" t="n"/>
      <c r="P58" s="1" t="n"/>
      <c r="Q58" s="1" t="n"/>
      <c r="R58" s="1" t="n"/>
      <c r="S58" s="1" t="n"/>
      <c r="T58" s="1" t="n"/>
      <c r="U58" s="1" t="n"/>
      <c r="V58" s="1" t="n"/>
      <c r="W58" s="1" t="n"/>
      <c r="X58" s="1" t="n"/>
      <c r="Y58" s="1" t="n"/>
      <c r="Z58" s="1" t="n"/>
      <c r="AA58" s="1" t="n"/>
      <c r="AB58" s="1" t="n"/>
      <c r="AC58" s="1" t="n"/>
      <c r="AD58" s="1" t="n"/>
      <c r="AE58" s="1" t="n"/>
      <c r="AF58" s="1" t="n"/>
      <c r="AG58" s="1" t="n"/>
      <c r="AH58" s="1" t="n"/>
      <c r="AI58" s="1" t="n"/>
      <c r="AJ58" s="1" t="n"/>
    </row>
    <row r="59" ht="15" customHeight="1">
      <c r="A59" s="431" t="n"/>
      <c r="B59" s="431" t="n"/>
      <c r="C59" s="431" t="n"/>
      <c r="D59" s="431" t="n"/>
      <c r="E59" s="254" t="inlineStr">
        <is>
          <t>ABID HUSAIN</t>
        </is>
      </c>
      <c r="F59" s="26" t="inlineStr">
        <is>
          <t>Hard Service</t>
        </is>
      </c>
      <c r="G59" s="259" t="inlineStr">
        <is>
          <t>EM-0003032</t>
        </is>
      </c>
      <c r="H59" s="272" t="n">
        <v>2617180134</v>
      </c>
      <c r="I59" s="425" t="inlineStr">
        <is>
          <t>Approved</t>
        </is>
      </c>
      <c r="J59" s="529" t="n">
        <v>45954</v>
      </c>
      <c r="K59" s="255" t="inlineStr">
        <is>
          <t>Al-Falak</t>
        </is>
      </c>
      <c r="L59" s="23" t="inlineStr">
        <is>
          <t>-</t>
        </is>
      </c>
      <c r="N59" s="1" t="n"/>
      <c r="O59" s="1" t="n"/>
      <c r="P59" s="1" t="n"/>
      <c r="Q59" s="1" t="n"/>
      <c r="R59" s="1" t="n"/>
      <c r="S59" s="1" t="n"/>
      <c r="T59" s="1" t="n"/>
      <c r="U59" s="1" t="n"/>
      <c r="V59" s="1" t="n"/>
      <c r="W59" s="1" t="n"/>
      <c r="X59" s="1" t="n"/>
      <c r="Y59" s="1" t="n"/>
      <c r="Z59" s="1" t="n"/>
      <c r="AA59" s="1" t="n"/>
      <c r="AB59" s="1" t="n"/>
      <c r="AC59" s="1" t="n"/>
      <c r="AD59" s="1" t="n"/>
      <c r="AE59" s="1" t="n"/>
      <c r="AF59" s="1" t="n"/>
      <c r="AG59" s="1" t="n"/>
      <c r="AH59" s="1" t="n"/>
      <c r="AI59" s="1" t="n"/>
      <c r="AJ59" s="1" t="n"/>
    </row>
    <row r="60" ht="15" customHeight="1">
      <c r="A60" s="245" t="inlineStr">
        <is>
          <t>Multi Skilled Technician</t>
        </is>
      </c>
      <c r="B60" s="486" t="n">
        <v>1</v>
      </c>
      <c r="C60" s="486" t="n">
        <v>1</v>
      </c>
      <c r="D60" s="486">
        <f>B60-C60</f>
        <v/>
      </c>
      <c r="E60" s="254" t="inlineStr">
        <is>
          <t>MOHAMMAD NAYEEMULLA</t>
        </is>
      </c>
      <c r="F60" s="26" t="inlineStr">
        <is>
          <t>Hard Service</t>
        </is>
      </c>
      <c r="G60" s="259" t="n">
        <v>702863</v>
      </c>
      <c r="H60" s="272" t="n">
        <v>2563544887</v>
      </c>
      <c r="I60" s="425" t="inlineStr">
        <is>
          <t>Approved</t>
        </is>
      </c>
      <c r="J60" s="529" t="n">
        <v>46090</v>
      </c>
      <c r="K60" s="261" t="inlineStr">
        <is>
          <t>FMCO</t>
        </is>
      </c>
      <c r="L60" s="23" t="inlineStr">
        <is>
          <t>-</t>
        </is>
      </c>
      <c r="N60" s="1" t="n"/>
      <c r="O60" s="1" t="n"/>
      <c r="P60" s="1" t="n"/>
      <c r="Q60" s="1" t="n"/>
      <c r="R60" s="1" t="n"/>
      <c r="S60" s="1" t="n"/>
      <c r="T60" s="1" t="n"/>
      <c r="U60" s="1" t="n"/>
      <c r="V60" s="1" t="n"/>
      <c r="W60" s="1" t="n"/>
      <c r="X60" s="1" t="n"/>
      <c r="Y60" s="1" t="n"/>
      <c r="Z60" s="1" t="n"/>
      <c r="AA60" s="1" t="n"/>
      <c r="AB60" s="1" t="n"/>
      <c r="AC60" s="1" t="n"/>
      <c r="AD60" s="1" t="n"/>
      <c r="AE60" s="1" t="n"/>
      <c r="AF60" s="1" t="n"/>
      <c r="AG60" s="1" t="n"/>
      <c r="AH60" s="1" t="n"/>
      <c r="AI60" s="1" t="n"/>
      <c r="AJ60" s="1" t="n"/>
    </row>
    <row r="61" ht="15" customHeight="1">
      <c r="A61" s="245" t="inlineStr">
        <is>
          <t>IT Technician</t>
        </is>
      </c>
      <c r="B61" s="486" t="n">
        <v>1</v>
      </c>
      <c r="C61" s="486" t="n">
        <v>1</v>
      </c>
      <c r="D61" s="486">
        <f>B61-C61</f>
        <v/>
      </c>
      <c r="E61" s="254" t="n"/>
      <c r="F61" s="26" t="inlineStr">
        <is>
          <t>Hard Service</t>
        </is>
      </c>
      <c r="G61" s="259" t="n"/>
      <c r="H61" s="262" t="n"/>
      <c r="I61" s="425" t="inlineStr">
        <is>
          <t>Vacant</t>
        </is>
      </c>
      <c r="J61" s="529" t="n"/>
      <c r="K61" s="255" t="n"/>
      <c r="L61" s="23" t="inlineStr">
        <is>
          <t>-</t>
        </is>
      </c>
      <c r="N61" s="1" t="n"/>
      <c r="O61" s="1" t="n"/>
      <c r="P61" s="1" t="n"/>
      <c r="Q61" s="1" t="n"/>
      <c r="R61" s="1" t="n"/>
      <c r="S61" s="1" t="n"/>
      <c r="T61" s="1" t="n"/>
      <c r="U61" s="1" t="n"/>
      <c r="V61" s="1" t="n"/>
      <c r="W61" s="1" t="n"/>
      <c r="X61" s="1" t="n"/>
      <c r="Y61" s="1" t="n"/>
      <c r="Z61" s="1" t="n"/>
      <c r="AA61" s="1" t="n"/>
      <c r="AB61" s="1" t="n"/>
      <c r="AC61" s="1" t="n"/>
      <c r="AD61" s="1" t="n"/>
      <c r="AE61" s="1" t="n"/>
      <c r="AF61" s="1" t="n"/>
      <c r="AG61" s="1" t="n"/>
      <c r="AH61" s="1" t="n"/>
      <c r="AI61" s="1" t="n"/>
      <c r="AJ61" s="1" t="n"/>
    </row>
    <row r="62" ht="15" customHeight="1">
      <c r="A62" s="484" t="inlineStr">
        <is>
          <t>Mechanical Technician</t>
        </is>
      </c>
      <c r="B62" s="470" t="n">
        <v>2</v>
      </c>
      <c r="C62" s="470" t="n">
        <v>0</v>
      </c>
      <c r="D62" s="470" t="n">
        <v>2</v>
      </c>
      <c r="E62" s="52" t="n"/>
      <c r="F62" s="26" t="inlineStr">
        <is>
          <t>Hard Service</t>
        </is>
      </c>
      <c r="G62" s="425" t="n"/>
      <c r="H62" s="29" t="n"/>
      <c r="I62" s="425" t="inlineStr">
        <is>
          <t>Vacant</t>
        </is>
      </c>
      <c r="J62" s="499" t="n"/>
      <c r="K62" s="14" t="n"/>
      <c r="L62" s="23" t="inlineStr">
        <is>
          <t>-</t>
        </is>
      </c>
      <c r="N62" s="1" t="n"/>
      <c r="O62" s="1" t="n"/>
      <c r="P62" s="1" t="n"/>
      <c r="Q62" s="1" t="n"/>
      <c r="R62" s="1" t="n"/>
      <c r="S62" s="1" t="n"/>
      <c r="T62" s="1" t="n"/>
      <c r="U62" s="1" t="n"/>
      <c r="V62" s="1" t="n"/>
      <c r="W62" s="1" t="n"/>
      <c r="X62" s="1" t="n"/>
      <c r="Y62" s="1" t="n"/>
      <c r="Z62" s="1" t="n"/>
      <c r="AA62" s="1" t="n"/>
      <c r="AB62" s="1" t="n"/>
      <c r="AC62" s="1" t="n"/>
      <c r="AD62" s="1" t="n"/>
      <c r="AE62" s="1" t="n"/>
      <c r="AF62" s="1" t="n"/>
      <c r="AG62" s="1" t="n"/>
      <c r="AH62" s="1" t="n"/>
      <c r="AI62" s="1" t="n"/>
      <c r="AJ62" s="1" t="n"/>
    </row>
    <row r="63" ht="15" customHeight="1">
      <c r="A63" s="431" t="n"/>
      <c r="B63" s="431" t="n"/>
      <c r="C63" s="431" t="n"/>
      <c r="D63" s="431" t="n"/>
      <c r="E63" s="52" t="n"/>
      <c r="F63" s="26" t="inlineStr">
        <is>
          <t>Hard Service</t>
        </is>
      </c>
      <c r="G63" s="425" t="n"/>
      <c r="H63" s="29" t="n"/>
      <c r="I63" s="425" t="inlineStr">
        <is>
          <t>Vacant</t>
        </is>
      </c>
      <c r="J63" s="499" t="n"/>
      <c r="K63" s="14" t="n"/>
      <c r="L63" s="23" t="inlineStr">
        <is>
          <t>-</t>
        </is>
      </c>
      <c r="N63" s="1" t="n"/>
      <c r="O63" s="1" t="n"/>
      <c r="P63" s="1" t="n"/>
      <c r="Q63" s="1" t="n"/>
      <c r="R63" s="1" t="n"/>
      <c r="S63" s="1" t="n"/>
      <c r="T63" s="1" t="n"/>
      <c r="U63" s="1" t="n"/>
      <c r="V63" s="1" t="n"/>
      <c r="W63" s="1" t="n"/>
      <c r="X63" s="1" t="n"/>
      <c r="Y63" s="1" t="n"/>
      <c r="Z63" s="1" t="n"/>
      <c r="AA63" s="1" t="n"/>
      <c r="AB63" s="1" t="n"/>
      <c r="AC63" s="1" t="n"/>
      <c r="AD63" s="1" t="n"/>
      <c r="AE63" s="1" t="n"/>
      <c r="AF63" s="1" t="n"/>
      <c r="AG63" s="1" t="n"/>
      <c r="AH63" s="1" t="n"/>
      <c r="AI63" s="1" t="n"/>
      <c r="AJ63" s="1" t="n"/>
    </row>
    <row r="64" ht="15" customHeight="1">
      <c r="A64" s="245" t="inlineStr">
        <is>
          <t>Civil Technician</t>
        </is>
      </c>
      <c r="B64" s="486" t="n">
        <v>1</v>
      </c>
      <c r="C64" s="486" t="n">
        <v>1</v>
      </c>
      <c r="D64" s="486">
        <f>B64-C64</f>
        <v/>
      </c>
      <c r="E64" s="254" t="n"/>
      <c r="F64" s="26" t="inlineStr">
        <is>
          <t>Hard Service</t>
        </is>
      </c>
      <c r="G64" s="254" t="n"/>
      <c r="H64" s="254" t="n"/>
      <c r="I64" s="425" t="inlineStr">
        <is>
          <t>Vacant</t>
        </is>
      </c>
      <c r="J64" s="529" t="n"/>
      <c r="K64" s="261" t="n"/>
      <c r="L64" s="23" t="inlineStr">
        <is>
          <t>-</t>
        </is>
      </c>
      <c r="N64" s="1" t="n"/>
      <c r="O64" s="1" t="n"/>
      <c r="P64" s="1" t="n"/>
      <c r="Q64" s="1" t="n"/>
      <c r="R64" s="1" t="n"/>
      <c r="S64" s="1" t="n"/>
      <c r="T64" s="1" t="n"/>
      <c r="U64" s="1" t="n"/>
      <c r="V64" s="1" t="n"/>
      <c r="W64" s="1" t="n"/>
      <c r="X64" s="1" t="n"/>
      <c r="Y64" s="1" t="n"/>
      <c r="Z64" s="1" t="n"/>
      <c r="AA64" s="1" t="n"/>
      <c r="AB64" s="1" t="n"/>
      <c r="AC64" s="1" t="n"/>
      <c r="AD64" s="1" t="n"/>
      <c r="AE64" s="1" t="n"/>
      <c r="AF64" s="1" t="n"/>
      <c r="AG64" s="1" t="n"/>
      <c r="AH64" s="1" t="n"/>
      <c r="AI64" s="1" t="n"/>
      <c r="AJ64" s="1" t="n"/>
    </row>
    <row r="65" ht="15" customHeight="1">
      <c r="A65" s="248" t="inlineStr">
        <is>
          <t>Swimming Pool Technician</t>
        </is>
      </c>
      <c r="B65" s="247" t="n">
        <v>1</v>
      </c>
      <c r="C65" s="247" t="n">
        <v>1</v>
      </c>
      <c r="D65" s="247">
        <f>B65-C65</f>
        <v/>
      </c>
      <c r="E65" s="254" t="inlineStr">
        <is>
          <t>SHAHBAZ AHAMD</t>
        </is>
      </c>
      <c r="F65" s="26" t="inlineStr">
        <is>
          <t>Hard Service</t>
        </is>
      </c>
      <c r="G65" s="259" t="inlineStr">
        <is>
          <t>EM-0001956</t>
        </is>
      </c>
      <c r="H65" s="259" t="n">
        <v>2586197820</v>
      </c>
      <c r="I65" s="425" t="inlineStr">
        <is>
          <t>Approved</t>
        </is>
      </c>
      <c r="J65" s="529" t="n">
        <v>45863</v>
      </c>
      <c r="K65" s="261" t="inlineStr">
        <is>
          <t>Al-Falak</t>
        </is>
      </c>
      <c r="L65" s="23" t="inlineStr">
        <is>
          <t>-</t>
        </is>
      </c>
      <c r="N65" s="1" t="n"/>
      <c r="O65" s="1" t="n"/>
      <c r="P65" s="1" t="n"/>
      <c r="Q65" s="1" t="n"/>
      <c r="R65" s="1" t="n"/>
      <c r="S65" s="1" t="n"/>
      <c r="T65" s="1" t="n"/>
      <c r="U65" s="1" t="n"/>
      <c r="V65" s="1" t="n"/>
      <c r="W65" s="1" t="n"/>
      <c r="X65" s="1" t="n"/>
      <c r="Y65" s="1" t="n"/>
      <c r="Z65" s="1" t="n"/>
      <c r="AA65" s="1" t="n"/>
      <c r="AB65" s="1" t="n"/>
      <c r="AC65" s="1" t="n"/>
      <c r="AD65" s="1" t="n"/>
      <c r="AE65" s="1" t="n"/>
      <c r="AF65" s="1" t="n"/>
      <c r="AG65" s="1" t="n"/>
      <c r="AH65" s="1" t="n"/>
      <c r="AI65" s="1" t="n"/>
      <c r="AJ65" s="1" t="n"/>
    </row>
    <row r="66" ht="15" customHeight="1">
      <c r="A66" s="245" t="inlineStr">
        <is>
          <t>FLS Technician</t>
        </is>
      </c>
      <c r="B66" s="486" t="n">
        <v>1</v>
      </c>
      <c r="C66" s="486" t="n">
        <v>1</v>
      </c>
      <c r="D66" s="486">
        <f>B66-C66</f>
        <v/>
      </c>
      <c r="E66" s="254" t="inlineStr">
        <is>
          <t>MOHD UMAR KHAN</t>
        </is>
      </c>
      <c r="F66" s="26" t="inlineStr">
        <is>
          <t>Hard Service</t>
        </is>
      </c>
      <c r="G66" s="259" t="inlineStr">
        <is>
          <t>C01356</t>
        </is>
      </c>
      <c r="H66" s="272" t="n">
        <v>2617251950</v>
      </c>
      <c r="I66" s="425" t="inlineStr">
        <is>
          <t>Approved</t>
        </is>
      </c>
      <c r="J66" s="529" t="n">
        <v>45954</v>
      </c>
      <c r="K66" s="261" t="inlineStr">
        <is>
          <t>Mehan</t>
        </is>
      </c>
      <c r="L66" s="23" t="inlineStr">
        <is>
          <t>-</t>
        </is>
      </c>
      <c r="N66" s="1" t="n"/>
      <c r="O66" s="1" t="n"/>
      <c r="P66" s="1" t="n"/>
      <c r="Q66" s="1" t="n"/>
      <c r="R66" s="1" t="n"/>
      <c r="S66" s="1" t="n"/>
      <c r="T66" s="1" t="n"/>
      <c r="U66" s="1" t="n"/>
      <c r="V66" s="1" t="n"/>
      <c r="W66" s="1" t="n"/>
      <c r="X66" s="1" t="n"/>
      <c r="Y66" s="1" t="n"/>
      <c r="Z66" s="1" t="n"/>
      <c r="AA66" s="1" t="n"/>
      <c r="AB66" s="1" t="n"/>
      <c r="AC66" s="1" t="n"/>
      <c r="AD66" s="1" t="n"/>
      <c r="AE66" s="1" t="n"/>
      <c r="AF66" s="1" t="n"/>
      <c r="AG66" s="1" t="n"/>
      <c r="AH66" s="1" t="n"/>
      <c r="AI66" s="1" t="n"/>
      <c r="AJ66" s="1" t="n"/>
    </row>
    <row r="67" ht="15" customHeight="1">
      <c r="A67" s="488" t="inlineStr">
        <is>
          <t>Security Supervisor</t>
        </is>
      </c>
      <c r="B67" s="486" t="n">
        <v>1</v>
      </c>
      <c r="C67" s="486" t="n">
        <v>1</v>
      </c>
      <c r="D67" s="486">
        <f>B67-C67</f>
        <v/>
      </c>
      <c r="E67" s="260" t="inlineStr">
        <is>
          <t>ABDULLAH AL QAHTANI</t>
        </is>
      </c>
      <c r="F67" s="26" t="inlineStr">
        <is>
          <t>Security</t>
        </is>
      </c>
      <c r="G67" s="259" t="n">
        <v>703879</v>
      </c>
      <c r="H67" s="259" t="n">
        <v>1057294587</v>
      </c>
      <c r="I67" s="425" t="inlineStr">
        <is>
          <t>Approved</t>
        </is>
      </c>
      <c r="J67" s="529" t="n">
        <v>45842</v>
      </c>
      <c r="K67" s="261" t="inlineStr">
        <is>
          <t>FMCO</t>
        </is>
      </c>
      <c r="L67" s="23" t="inlineStr">
        <is>
          <t>-</t>
        </is>
      </c>
      <c r="N67" s="1" t="n"/>
      <c r="O67" s="1" t="n"/>
      <c r="P67" s="1" t="n"/>
      <c r="Q67" s="1" t="n"/>
      <c r="R67" s="1" t="n"/>
      <c r="S67" s="1" t="n"/>
      <c r="T67" s="1" t="n"/>
      <c r="U67" s="1" t="n"/>
      <c r="V67" s="1" t="n"/>
      <c r="W67" s="1" t="n"/>
      <c r="X67" s="1" t="n"/>
      <c r="Y67" s="1" t="n"/>
      <c r="Z67" s="1" t="n"/>
      <c r="AA67" s="1" t="n"/>
      <c r="AB67" s="1" t="n"/>
      <c r="AC67" s="1" t="n"/>
      <c r="AD67" s="1" t="n"/>
      <c r="AE67" s="1" t="n"/>
      <c r="AF67" s="1" t="n"/>
      <c r="AG67" s="1" t="n"/>
      <c r="AH67" s="1" t="n"/>
      <c r="AI67" s="1" t="n"/>
      <c r="AJ67" s="1" t="n"/>
    </row>
    <row r="68" ht="15" customHeight="1">
      <c r="A68" s="484" t="inlineStr">
        <is>
          <t>Security Guard</t>
        </is>
      </c>
      <c r="B68" s="470" t="n">
        <v>12</v>
      </c>
      <c r="C68" s="470" t="n">
        <v>11</v>
      </c>
      <c r="D68" s="470" t="n">
        <v>1</v>
      </c>
      <c r="E68" s="260" t="inlineStr">
        <is>
          <t>TARIQ IBRAHIM ALMUKHLIFI</t>
        </is>
      </c>
      <c r="F68" s="26" t="inlineStr">
        <is>
          <t>Security</t>
        </is>
      </c>
      <c r="G68" s="259" t="n">
        <v>704115</v>
      </c>
      <c r="H68" s="259" t="n">
        <v>1133131522</v>
      </c>
      <c r="I68" s="425" t="inlineStr">
        <is>
          <t>Approved</t>
        </is>
      </c>
      <c r="J68" s="529" t="n">
        <v>46044</v>
      </c>
      <c r="K68" s="261" t="inlineStr">
        <is>
          <t>FMCO</t>
        </is>
      </c>
      <c r="L68" s="23" t="inlineStr">
        <is>
          <t>-</t>
        </is>
      </c>
      <c r="N68" s="1" t="n"/>
      <c r="O68" s="1" t="n"/>
      <c r="P68" s="1" t="n"/>
      <c r="Q68" s="1" t="n"/>
      <c r="R68" s="1" t="n"/>
      <c r="S68" s="1" t="n"/>
      <c r="T68" s="1" t="n"/>
      <c r="U68" s="1" t="n"/>
      <c r="V68" s="1" t="n"/>
      <c r="W68" s="1" t="n"/>
      <c r="X68" s="1" t="n"/>
      <c r="Y68" s="1" t="n"/>
      <c r="Z68" s="1" t="n"/>
      <c r="AA68" s="1" t="n"/>
      <c r="AB68" s="1" t="n"/>
      <c r="AC68" s="1" t="n"/>
      <c r="AD68" s="1" t="n"/>
      <c r="AE68" s="1" t="n"/>
      <c r="AF68" s="1" t="n"/>
      <c r="AG68" s="1" t="n"/>
      <c r="AH68" s="1" t="n"/>
      <c r="AI68" s="1" t="n"/>
      <c r="AJ68" s="1" t="n"/>
    </row>
    <row r="69" ht="15" customHeight="1">
      <c r="A69" s="429" t="n"/>
      <c r="B69" s="429" t="n"/>
      <c r="C69" s="429" t="n"/>
      <c r="D69" s="429" t="n"/>
      <c r="E69" s="260" t="inlineStr">
        <is>
          <t>MOHAMMED MATHKAR ALQAHTANI</t>
        </is>
      </c>
      <c r="F69" s="26" t="inlineStr">
        <is>
          <t>Security</t>
        </is>
      </c>
      <c r="G69" s="259" t="n">
        <v>704125</v>
      </c>
      <c r="H69" s="259" t="n">
        <v>1118065265</v>
      </c>
      <c r="I69" s="425" t="inlineStr">
        <is>
          <t>Approved</t>
        </is>
      </c>
      <c r="J69" s="529" t="n">
        <v>46044</v>
      </c>
      <c r="K69" s="261" t="inlineStr">
        <is>
          <t>FMCO</t>
        </is>
      </c>
      <c r="L69" s="23" t="inlineStr">
        <is>
          <t>-</t>
        </is>
      </c>
      <c r="N69" s="1" t="n"/>
      <c r="O69" s="1" t="n"/>
      <c r="P69" s="1" t="n"/>
      <c r="Q69" s="1" t="n"/>
      <c r="R69" s="1" t="n"/>
      <c r="S69" s="1" t="n"/>
      <c r="T69" s="1" t="n"/>
      <c r="U69" s="1" t="n"/>
      <c r="V69" s="1" t="n"/>
      <c r="W69" s="1" t="n"/>
      <c r="X69" s="1" t="n"/>
      <c r="Y69" s="1" t="n"/>
      <c r="Z69" s="1" t="n"/>
      <c r="AA69" s="1" t="n"/>
      <c r="AB69" s="1" t="n"/>
      <c r="AC69" s="1" t="n"/>
      <c r="AD69" s="1" t="n"/>
      <c r="AE69" s="1" t="n"/>
      <c r="AF69" s="1" t="n"/>
      <c r="AG69" s="1" t="n"/>
      <c r="AH69" s="1" t="n"/>
      <c r="AI69" s="1" t="n"/>
      <c r="AJ69" s="1" t="n"/>
    </row>
    <row r="70" ht="15" customHeight="1">
      <c r="A70" s="429" t="n"/>
      <c r="B70" s="429" t="n"/>
      <c r="C70" s="429" t="n"/>
      <c r="D70" s="429" t="n"/>
      <c r="E70" s="260" t="inlineStr">
        <is>
          <t>IBRAHIM MANA ALKAHTANI</t>
        </is>
      </c>
      <c r="F70" s="26" t="inlineStr">
        <is>
          <t>Security</t>
        </is>
      </c>
      <c r="G70" s="259" t="n">
        <v>704113</v>
      </c>
      <c r="H70" s="259" t="n">
        <v>1128368147</v>
      </c>
      <c r="I70" s="425" t="inlineStr">
        <is>
          <t>Approved</t>
        </is>
      </c>
      <c r="J70" s="529" t="n">
        <v>46044</v>
      </c>
      <c r="K70" s="261" t="inlineStr">
        <is>
          <t>FMCO</t>
        </is>
      </c>
      <c r="L70" s="23" t="inlineStr">
        <is>
          <t>-</t>
        </is>
      </c>
      <c r="N70" s="1" t="n"/>
      <c r="O70" s="1" t="n"/>
      <c r="P70" s="1" t="n"/>
      <c r="Q70" s="1" t="n"/>
      <c r="R70" s="1" t="n"/>
      <c r="S70" s="1" t="n"/>
      <c r="T70" s="1" t="n"/>
      <c r="U70" s="1" t="n"/>
      <c r="V70" s="1" t="n"/>
      <c r="W70" s="1" t="n"/>
      <c r="X70" s="1" t="n"/>
      <c r="Y70" s="1" t="n"/>
      <c r="Z70" s="1" t="n"/>
      <c r="AA70" s="1" t="n"/>
      <c r="AB70" s="1" t="n"/>
      <c r="AC70" s="1" t="n"/>
      <c r="AD70" s="1" t="n"/>
      <c r="AE70" s="1" t="n"/>
      <c r="AF70" s="1" t="n"/>
      <c r="AG70" s="1" t="n"/>
      <c r="AH70" s="1" t="n"/>
      <c r="AI70" s="1" t="n"/>
      <c r="AJ70" s="1" t="n"/>
    </row>
    <row r="71" ht="15" customHeight="1">
      <c r="A71" s="429" t="n"/>
      <c r="B71" s="429" t="n"/>
      <c r="C71" s="429" t="n"/>
      <c r="D71" s="429" t="n"/>
      <c r="E71" s="260" t="inlineStr">
        <is>
          <t>BIJAD FAHAD ALBOGAMI</t>
        </is>
      </c>
      <c r="F71" s="26" t="inlineStr">
        <is>
          <t>Security</t>
        </is>
      </c>
      <c r="G71" s="259" t="n">
        <v>704120</v>
      </c>
      <c r="H71" s="259" t="n">
        <v>1096859218</v>
      </c>
      <c r="I71" s="425" t="inlineStr">
        <is>
          <t>Approved</t>
        </is>
      </c>
      <c r="J71" s="529" t="n">
        <v>46047</v>
      </c>
      <c r="K71" s="261" t="inlineStr">
        <is>
          <t>FMCO</t>
        </is>
      </c>
      <c r="L71" s="23" t="inlineStr">
        <is>
          <t>-</t>
        </is>
      </c>
      <c r="N71" s="1" t="n"/>
      <c r="O71" s="1" t="n"/>
      <c r="P71" s="1" t="n"/>
      <c r="Q71" s="1" t="n"/>
      <c r="R71" s="1" t="n"/>
      <c r="S71" s="1" t="n"/>
      <c r="T71" s="1" t="n"/>
      <c r="U71" s="1" t="n"/>
      <c r="V71" s="1" t="n"/>
      <c r="W71" s="1" t="n"/>
      <c r="X71" s="1" t="n"/>
      <c r="Y71" s="1" t="n"/>
      <c r="Z71" s="1" t="n"/>
      <c r="AA71" s="1" t="n"/>
      <c r="AB71" s="1" t="n"/>
      <c r="AC71" s="1" t="n"/>
      <c r="AD71" s="1" t="n"/>
      <c r="AE71" s="1" t="n"/>
      <c r="AF71" s="1" t="n"/>
      <c r="AG71" s="1" t="n"/>
      <c r="AH71" s="1" t="n"/>
      <c r="AI71" s="1" t="n"/>
      <c r="AJ71" s="1" t="n"/>
    </row>
    <row r="72" ht="15" customHeight="1">
      <c r="A72" s="429" t="n"/>
      <c r="B72" s="429" t="n"/>
      <c r="C72" s="429" t="n"/>
      <c r="D72" s="429" t="n"/>
      <c r="E72" s="260" t="inlineStr">
        <is>
          <t>ABDULLAH NASSER ALQAHTANI</t>
        </is>
      </c>
      <c r="F72" s="26" t="inlineStr">
        <is>
          <t>Security</t>
        </is>
      </c>
      <c r="G72" s="259" t="n">
        <v>704153</v>
      </c>
      <c r="H72" s="259" t="n">
        <v>1097019358</v>
      </c>
      <c r="I72" s="425" t="inlineStr">
        <is>
          <t>Approved</t>
        </is>
      </c>
      <c r="J72" s="529" t="n">
        <v>46084</v>
      </c>
      <c r="K72" s="261" t="inlineStr">
        <is>
          <t>FMCO</t>
        </is>
      </c>
      <c r="L72" s="23" t="inlineStr">
        <is>
          <t>-</t>
        </is>
      </c>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c r="AJ72" s="1" t="n"/>
    </row>
    <row r="73" ht="15" customHeight="1">
      <c r="A73" s="429" t="n"/>
      <c r="B73" s="429" t="n"/>
      <c r="C73" s="429" t="n"/>
      <c r="D73" s="429" t="n"/>
      <c r="E73" s="260" t="inlineStr">
        <is>
          <t>HUWAYZI MUQBIL ALSUWAYDANI</t>
        </is>
      </c>
      <c r="F73" s="26" t="inlineStr">
        <is>
          <t>Security</t>
        </is>
      </c>
      <c r="G73" s="259" t="n">
        <v>703620</v>
      </c>
      <c r="H73" s="259" t="n">
        <v>1109185072</v>
      </c>
      <c r="I73" s="425" t="inlineStr">
        <is>
          <t>Approved</t>
        </is>
      </c>
      <c r="J73" s="529" t="n">
        <v>45624</v>
      </c>
      <c r="K73" s="261" t="inlineStr">
        <is>
          <t>FMCO</t>
        </is>
      </c>
      <c r="L73" s="23" t="inlineStr">
        <is>
          <t>-</t>
        </is>
      </c>
      <c r="N73" s="1" t="n"/>
      <c r="O73" s="1" t="n"/>
      <c r="P73" s="1" t="n"/>
      <c r="Q73" s="1" t="n"/>
      <c r="R73" s="1" t="n"/>
      <c r="S73" s="1" t="n"/>
      <c r="T73" s="1" t="n"/>
      <c r="U73" s="1" t="n"/>
      <c r="V73" s="1" t="n"/>
      <c r="W73" s="1" t="n"/>
      <c r="X73" s="1" t="n"/>
      <c r="Y73" s="1" t="n"/>
      <c r="Z73" s="1" t="n"/>
      <c r="AA73" s="1" t="n"/>
      <c r="AB73" s="1" t="n"/>
      <c r="AC73" s="1" t="n"/>
      <c r="AD73" s="1" t="n"/>
      <c r="AE73" s="1" t="n"/>
      <c r="AF73" s="1" t="n"/>
      <c r="AG73" s="1" t="n"/>
      <c r="AH73" s="1" t="n"/>
      <c r="AI73" s="1" t="n"/>
      <c r="AJ73" s="1" t="n"/>
    </row>
    <row r="74" ht="15" customHeight="1">
      <c r="A74" s="429" t="n"/>
      <c r="B74" s="429" t="n"/>
      <c r="C74" s="429" t="n"/>
      <c r="D74" s="429" t="n"/>
      <c r="E74" s="260" t="inlineStr">
        <is>
          <t>ABDULLAH ABUTALEB</t>
        </is>
      </c>
      <c r="F74" s="26" t="inlineStr">
        <is>
          <t>Security</t>
        </is>
      </c>
      <c r="G74" s="259" t="n">
        <v>704013</v>
      </c>
      <c r="H74" s="259" t="inlineStr">
        <is>
          <t>1141762797</t>
        </is>
      </c>
      <c r="I74" s="425" t="inlineStr">
        <is>
          <t>Approved</t>
        </is>
      </c>
      <c r="J74" s="529" t="n">
        <v>45904</v>
      </c>
      <c r="K74" s="261" t="inlineStr">
        <is>
          <t>FMCO</t>
        </is>
      </c>
      <c r="L74" s="23" t="n"/>
      <c r="N74" s="1" t="n"/>
      <c r="O74" s="1" t="n"/>
      <c r="P74" s="1" t="n"/>
      <c r="Q74" s="1" t="n"/>
      <c r="R74" s="1" t="n"/>
      <c r="S74" s="1" t="n"/>
      <c r="T74" s="1" t="n"/>
      <c r="U74" s="1" t="n"/>
      <c r="V74" s="1" t="n"/>
      <c r="W74" s="1" t="n"/>
      <c r="X74" s="1" t="n"/>
      <c r="Y74" s="1" t="n"/>
      <c r="Z74" s="1" t="n"/>
      <c r="AA74" s="1" t="n"/>
      <c r="AB74" s="1" t="n"/>
      <c r="AC74" s="1" t="n"/>
      <c r="AD74" s="1" t="n"/>
      <c r="AE74" s="1" t="n"/>
      <c r="AF74" s="1" t="n"/>
      <c r="AG74" s="1" t="n"/>
      <c r="AH74" s="1" t="n"/>
      <c r="AI74" s="1" t="n"/>
      <c r="AJ74" s="1" t="n"/>
    </row>
    <row r="75" ht="15" customHeight="1">
      <c r="A75" s="429" t="n"/>
      <c r="B75" s="429" t="n"/>
      <c r="C75" s="429" t="n"/>
      <c r="D75" s="429" t="n"/>
      <c r="E75" s="260" t="inlineStr">
        <is>
          <t>FAHAD MOHAMMED ALQAHTANI</t>
        </is>
      </c>
      <c r="F75" s="26" t="inlineStr">
        <is>
          <t>Security</t>
        </is>
      </c>
      <c r="G75" s="259" t="n">
        <v>704311</v>
      </c>
      <c r="H75" s="259" t="n">
        <v>1143003620</v>
      </c>
      <c r="I75" s="425" t="inlineStr">
        <is>
          <t>Approved</t>
        </is>
      </c>
      <c r="J75" s="529" t="n">
        <v>46182</v>
      </c>
      <c r="K75" s="261" t="inlineStr">
        <is>
          <t>FMCO</t>
        </is>
      </c>
      <c r="L75" s="23" t="inlineStr">
        <is>
          <t>-</t>
        </is>
      </c>
      <c r="N75" s="1" t="n"/>
      <c r="O75" s="1" t="n"/>
      <c r="P75" s="1" t="n"/>
      <c r="Q75" s="1" t="n"/>
      <c r="R75" s="1" t="n"/>
      <c r="S75" s="1" t="n"/>
      <c r="T75" s="1" t="n"/>
      <c r="U75" s="1" t="n"/>
      <c r="V75" s="1" t="n"/>
      <c r="W75" s="1" t="n"/>
      <c r="X75" s="1" t="n"/>
      <c r="Y75" s="1" t="n"/>
      <c r="Z75" s="1" t="n"/>
      <c r="AA75" s="1" t="n"/>
      <c r="AB75" s="1" t="n"/>
      <c r="AC75" s="1" t="n"/>
      <c r="AD75" s="1" t="n"/>
      <c r="AE75" s="1" t="n"/>
      <c r="AF75" s="1" t="n"/>
      <c r="AG75" s="1" t="n"/>
      <c r="AH75" s="1" t="n"/>
      <c r="AI75" s="1" t="n"/>
      <c r="AJ75" s="1" t="n"/>
    </row>
    <row r="76" ht="15" customHeight="1">
      <c r="A76" s="429" t="n"/>
      <c r="B76" s="429" t="n"/>
      <c r="C76" s="429" t="n"/>
      <c r="D76" s="429" t="n"/>
      <c r="E76" s="260" t="inlineStr">
        <is>
          <t>RYAN THAFIL AL-QAHTANI</t>
        </is>
      </c>
      <c r="F76" s="26" t="inlineStr">
        <is>
          <t>Security</t>
        </is>
      </c>
      <c r="G76" s="259" t="n"/>
      <c r="H76" s="259" t="n">
        <v>1136584180</v>
      </c>
      <c r="I76" s="425" t="inlineStr">
        <is>
          <t>Approved</t>
        </is>
      </c>
      <c r="J76" s="529" t="n">
        <v>46222</v>
      </c>
      <c r="K76" s="261" t="inlineStr">
        <is>
          <t>FMCO</t>
        </is>
      </c>
      <c r="L76" s="23" t="inlineStr">
        <is>
          <t>-</t>
        </is>
      </c>
      <c r="N76" s="1" t="n"/>
      <c r="O76" s="1" t="n"/>
      <c r="P76" s="1" t="n"/>
      <c r="Q76" s="1" t="n"/>
      <c r="R76" s="1" t="n"/>
      <c r="S76" s="1" t="n"/>
      <c r="T76" s="1" t="n"/>
      <c r="U76" s="1" t="n"/>
      <c r="V76" s="1" t="n"/>
      <c r="W76" s="1" t="n"/>
      <c r="X76" s="1" t="n"/>
      <c r="Y76" s="1" t="n"/>
      <c r="Z76" s="1" t="n"/>
      <c r="AA76" s="1" t="n"/>
      <c r="AB76" s="1" t="n"/>
      <c r="AC76" s="1" t="n"/>
      <c r="AD76" s="1" t="n"/>
      <c r="AE76" s="1" t="n"/>
      <c r="AF76" s="1" t="n"/>
      <c r="AG76" s="1" t="n"/>
      <c r="AH76" s="1" t="n"/>
      <c r="AI76" s="1" t="n"/>
      <c r="AJ76" s="1" t="n"/>
    </row>
    <row r="77" ht="15" customHeight="1">
      <c r="A77" s="429" t="n"/>
      <c r="B77" s="429" t="n"/>
      <c r="C77" s="429" t="n"/>
      <c r="D77" s="429" t="n"/>
      <c r="E77" s="260" t="inlineStr">
        <is>
          <t>FAHAD HALAS AL-QAHTANI</t>
        </is>
      </c>
      <c r="F77" s="26" t="inlineStr">
        <is>
          <t>Security</t>
        </is>
      </c>
      <c r="G77" s="259" t="n"/>
      <c r="H77" s="259" t="n">
        <v>1084060670</v>
      </c>
      <c r="I77" s="425" t="inlineStr">
        <is>
          <t>Approved</t>
        </is>
      </c>
      <c r="J77" s="529" t="n">
        <v>46222</v>
      </c>
      <c r="K77" s="261" t="inlineStr">
        <is>
          <t>FMCO</t>
        </is>
      </c>
      <c r="L77" s="23" t="inlineStr">
        <is>
          <t>-</t>
        </is>
      </c>
      <c r="N77" s="1" t="n"/>
      <c r="O77" s="1" t="n"/>
      <c r="P77" s="1" t="n"/>
      <c r="Q77" s="1" t="n"/>
      <c r="R77" s="1" t="n"/>
      <c r="S77" s="1" t="n"/>
      <c r="T77" s="1" t="n"/>
      <c r="U77" s="1" t="n"/>
      <c r="V77" s="1" t="n"/>
      <c r="W77" s="1" t="n"/>
      <c r="X77" s="1" t="n"/>
      <c r="Y77" s="1" t="n"/>
      <c r="Z77" s="1" t="n"/>
      <c r="AA77" s="1" t="n"/>
      <c r="AB77" s="1" t="n"/>
      <c r="AC77" s="1" t="n"/>
      <c r="AD77" s="1" t="n"/>
      <c r="AE77" s="1" t="n"/>
      <c r="AF77" s="1" t="n"/>
      <c r="AG77" s="1" t="n"/>
      <c r="AH77" s="1" t="n"/>
      <c r="AI77" s="1" t="n"/>
      <c r="AJ77" s="1" t="n"/>
    </row>
    <row r="78" ht="15" customHeight="1">
      <c r="A78" s="429" t="n"/>
      <c r="B78" s="429" t="n"/>
      <c r="C78" s="429" t="n"/>
      <c r="D78" s="429" t="n"/>
      <c r="E78" s="260" t="inlineStr">
        <is>
          <t>SALMAN ABDULLAH AL-SAHLI</t>
        </is>
      </c>
      <c r="F78" s="26" t="inlineStr">
        <is>
          <t>Security</t>
        </is>
      </c>
      <c r="G78" s="259" t="n"/>
      <c r="H78" s="259" t="n">
        <v>1138233653</v>
      </c>
      <c r="I78" s="425" t="inlineStr">
        <is>
          <t>Approved</t>
        </is>
      </c>
      <c r="J78" s="529" t="n">
        <v>46238</v>
      </c>
      <c r="K78" s="261" t="inlineStr">
        <is>
          <t>FMCO</t>
        </is>
      </c>
      <c r="L78" s="23" t="inlineStr">
        <is>
          <t>-</t>
        </is>
      </c>
      <c r="N78" s="1" t="n"/>
      <c r="O78" s="1" t="n"/>
      <c r="P78" s="1" t="n"/>
      <c r="Q78" s="1" t="n"/>
      <c r="R78" s="1" t="n"/>
      <c r="S78" s="1" t="n"/>
      <c r="T78" s="1" t="n"/>
      <c r="U78" s="1" t="n"/>
      <c r="V78" s="1" t="n"/>
      <c r="W78" s="1" t="n"/>
      <c r="X78" s="1" t="n"/>
      <c r="Y78" s="1" t="n"/>
      <c r="Z78" s="1" t="n"/>
      <c r="AA78" s="1" t="n"/>
      <c r="AB78" s="1" t="n"/>
      <c r="AC78" s="1" t="n"/>
      <c r="AD78" s="1" t="n"/>
      <c r="AE78" s="1" t="n"/>
      <c r="AF78" s="1" t="n"/>
      <c r="AG78" s="1" t="n"/>
      <c r="AH78" s="1" t="n"/>
      <c r="AI78" s="1" t="n"/>
      <c r="AJ78" s="1" t="n"/>
    </row>
    <row r="79" ht="15" customHeight="1">
      <c r="A79" s="431" t="n"/>
      <c r="B79" s="431" t="n"/>
      <c r="C79" s="431" t="n"/>
      <c r="D79" s="431" t="n"/>
      <c r="E79" s="288" t="inlineStr">
        <is>
          <t>FEHAID HMOUD  AL OLAYAN</t>
        </is>
      </c>
      <c r="F79" s="26" t="inlineStr">
        <is>
          <t>Security</t>
        </is>
      </c>
      <c r="G79" s="289" t="n">
        <v>704469</v>
      </c>
      <c r="H79" s="289" t="inlineStr">
        <is>
          <t>1109208759</t>
        </is>
      </c>
      <c r="I79" s="425" t="inlineStr">
        <is>
          <t>Approved</t>
        </is>
      </c>
      <c r="J79" s="529" t="n">
        <v>46222</v>
      </c>
      <c r="K79" s="290" t="inlineStr">
        <is>
          <t>FMCO</t>
        </is>
      </c>
      <c r="L79" s="23" t="n"/>
      <c r="N79" s="1" t="n"/>
      <c r="O79" s="1" t="n"/>
      <c r="P79" s="1" t="n"/>
      <c r="Q79" s="1" t="n"/>
      <c r="R79" s="1" t="n"/>
      <c r="S79" s="1" t="n"/>
      <c r="T79" s="1" t="n"/>
      <c r="U79" s="1" t="n"/>
      <c r="V79" s="1" t="n"/>
      <c r="W79" s="1" t="n"/>
      <c r="X79" s="1" t="n"/>
      <c r="Y79" s="1" t="n"/>
      <c r="Z79" s="1" t="n"/>
      <c r="AA79" s="1" t="n"/>
      <c r="AB79" s="1" t="n"/>
      <c r="AC79" s="1" t="n"/>
      <c r="AD79" s="1" t="n"/>
      <c r="AE79" s="1" t="n"/>
      <c r="AF79" s="1" t="n"/>
      <c r="AG79" s="1" t="n"/>
      <c r="AH79" s="1" t="n"/>
      <c r="AI79" s="1" t="n"/>
      <c r="AJ79" s="1" t="n"/>
    </row>
    <row r="80" ht="15" customHeight="1">
      <c r="A80" s="488" t="inlineStr">
        <is>
          <t>Safety Officer</t>
        </is>
      </c>
      <c r="B80" s="486" t="n">
        <v>1</v>
      </c>
      <c r="C80" s="486" t="n">
        <v>1</v>
      </c>
      <c r="D80" s="486">
        <f>B80-C80</f>
        <v/>
      </c>
      <c r="E80" s="260" t="inlineStr">
        <is>
          <t>YAMEEN QURESHI LIYAQAT HUSSAIN</t>
        </is>
      </c>
      <c r="F80" s="26" t="inlineStr">
        <is>
          <t>Saftey</t>
        </is>
      </c>
      <c r="G80" s="259" t="n">
        <v>700680</v>
      </c>
      <c r="H80" s="259" t="n">
        <v>2516600612</v>
      </c>
      <c r="I80" s="425" t="inlineStr">
        <is>
          <t>Approved</t>
        </is>
      </c>
      <c r="J80" s="529" t="n">
        <v>46056</v>
      </c>
      <c r="K80" s="255" t="inlineStr">
        <is>
          <t>FMCO</t>
        </is>
      </c>
      <c r="L80" s="23" t="inlineStr">
        <is>
          <t>-</t>
        </is>
      </c>
      <c r="N80" s="1" t="n"/>
      <c r="O80" s="1" t="n"/>
      <c r="P80" s="1" t="n"/>
      <c r="Q80" s="1" t="n"/>
      <c r="R80" s="1" t="n"/>
      <c r="S80" s="1" t="n"/>
      <c r="T80" s="1" t="n"/>
      <c r="U80" s="1" t="n"/>
      <c r="V80" s="1" t="n"/>
      <c r="W80" s="1" t="n"/>
      <c r="X80" s="1" t="n"/>
      <c r="Y80" s="1" t="n"/>
      <c r="Z80" s="1" t="n"/>
      <c r="AA80" s="1" t="n"/>
      <c r="AB80" s="1" t="n"/>
      <c r="AC80" s="1" t="n"/>
      <c r="AD80" s="1" t="n"/>
      <c r="AE80" s="1" t="n"/>
      <c r="AF80" s="1" t="n"/>
      <c r="AG80" s="1" t="n"/>
      <c r="AH80" s="1" t="n"/>
      <c r="AI80" s="1" t="n"/>
      <c r="AJ80" s="1" t="n"/>
    </row>
    <row r="81" ht="28.5" customHeight="1">
      <c r="A81" s="35" t="inlineStr">
        <is>
          <t>Total Team 
Hard Service Management</t>
        </is>
      </c>
      <c r="B81" s="36" t="inlineStr">
        <is>
          <t>Contractual Requirement</t>
        </is>
      </c>
      <c r="C81" s="36" t="inlineStr">
        <is>
          <t>Approved</t>
        </is>
      </c>
      <c r="D81" s="36" t="inlineStr">
        <is>
          <t>Vacant Position</t>
        </is>
      </c>
      <c r="E81" s="37" t="inlineStr">
        <is>
          <t>Rejected</t>
        </is>
      </c>
      <c r="F81" s="38" t="inlineStr">
        <is>
          <t xml:space="preserve">Additional </t>
        </is>
      </c>
      <c r="G81" s="38" t="inlineStr">
        <is>
          <t>ID</t>
        </is>
      </c>
      <c r="H81" s="38" t="inlineStr">
        <is>
          <t>Iqama</t>
        </is>
      </c>
      <c r="I81" s="58" t="inlineStr">
        <is>
          <t>Status</t>
        </is>
      </c>
      <c r="J81" s="500" t="n"/>
      <c r="K81" s="40" t="n"/>
      <c r="L81" s="41" t="inlineStr">
        <is>
          <t>Remark/Notes</t>
        </is>
      </c>
      <c r="N81" s="1" t="n"/>
      <c r="O81" s="1" t="n"/>
      <c r="P81" s="1" t="n"/>
      <c r="Q81" s="1" t="n"/>
      <c r="R81" s="1" t="n"/>
      <c r="S81" s="1" t="n"/>
      <c r="T81" s="1" t="n"/>
      <c r="U81" s="1" t="n"/>
      <c r="V81" s="1" t="n"/>
      <c r="W81" s="1" t="n"/>
      <c r="X81" s="1" t="n"/>
      <c r="Y81" s="1" t="n"/>
      <c r="Z81" s="1" t="n"/>
      <c r="AA81" s="1" t="n"/>
      <c r="AB81" s="1" t="n"/>
      <c r="AC81" s="1" t="n"/>
      <c r="AD81" s="1" t="n"/>
      <c r="AE81" s="1" t="n"/>
      <c r="AF81" s="1" t="n"/>
      <c r="AG81" s="1" t="n"/>
      <c r="AH81" s="1" t="n"/>
      <c r="AI81" s="1" t="n"/>
      <c r="AJ81" s="1" t="n"/>
    </row>
    <row r="82" ht="15" customHeight="1">
      <c r="A82" s="36">
        <f>COUNTIF(E11:E80,"&lt;&gt;")</f>
        <v/>
      </c>
      <c r="B82" s="36">
        <f>SUM(B11:B80)</f>
        <v/>
      </c>
      <c r="C82" s="36">
        <f>COUNTIF(I11:I80,"Approved")</f>
        <v/>
      </c>
      <c r="D82" s="36">
        <f>COUNTIF(I11:I80,"Vacant")</f>
        <v/>
      </c>
      <c r="E82" s="41">
        <f>COUNTIF(I11:I80,"Rejected")</f>
        <v/>
      </c>
      <c r="F82" s="38">
        <f>COUNTIF(I11:I80,"Additional ")</f>
        <v/>
      </c>
      <c r="G82" s="38">
        <f>COUNTIF(G11:G80,"-")</f>
        <v/>
      </c>
      <c r="H82" s="38">
        <f>COUNTIF(H11:H80,"-")</f>
        <v/>
      </c>
      <c r="I82" s="42" t="n"/>
      <c r="J82" s="501" t="n"/>
      <c r="K82" s="43" t="n"/>
      <c r="L82" s="42" t="n"/>
      <c r="N82" s="1" t="n"/>
      <c r="O82" s="1" t="n"/>
      <c r="P82" s="1" t="n"/>
      <c r="Q82" s="1" t="n"/>
      <c r="R82" s="1" t="n"/>
      <c r="S82" s="1" t="n"/>
      <c r="T82" s="1" t="n"/>
      <c r="U82" s="1" t="n"/>
      <c r="V82" s="1" t="n"/>
      <c r="W82" s="1" t="n"/>
      <c r="X82" s="1" t="n"/>
      <c r="Y82" s="1" t="n"/>
      <c r="Z82" s="1" t="n"/>
      <c r="AA82" s="1" t="n"/>
      <c r="AB82" s="1" t="n"/>
      <c r="AC82" s="1" t="n"/>
      <c r="AD82" s="1" t="n"/>
      <c r="AE82" s="1" t="n"/>
      <c r="AF82" s="1" t="n"/>
      <c r="AG82" s="1" t="n"/>
      <c r="AH82" s="1" t="n"/>
      <c r="AI82" s="1" t="n"/>
      <c r="AJ82" s="1" t="n"/>
    </row>
    <row r="83" ht="15" customHeight="1">
      <c r="A83" s="105" t="inlineStr">
        <is>
          <t>Position</t>
        </is>
      </c>
      <c r="B83" s="106" t="inlineStr">
        <is>
          <t>Contractual Requirement</t>
        </is>
      </c>
      <c r="C83" s="106" t="inlineStr">
        <is>
          <t>On-Site Availability</t>
        </is>
      </c>
      <c r="D83" s="106" t="inlineStr">
        <is>
          <t>Vacant Position</t>
        </is>
      </c>
      <c r="E83" s="107" t="inlineStr">
        <is>
          <t>Emaployee Name</t>
        </is>
      </c>
      <c r="F83" s="108" t="inlineStr">
        <is>
          <t>Decipline</t>
        </is>
      </c>
      <c r="G83" s="109" t="inlineStr">
        <is>
          <t>ID</t>
        </is>
      </c>
      <c r="H83" s="108" t="inlineStr">
        <is>
          <t>Iqama</t>
        </is>
      </c>
      <c r="I83" s="109" t="inlineStr">
        <is>
          <t>Status</t>
        </is>
      </c>
      <c r="J83" s="511" t="inlineStr">
        <is>
          <t xml:space="preserve"> Deployement Date</t>
        </is>
      </c>
      <c r="K83" s="110" t="inlineStr">
        <is>
          <t>Sponsor</t>
        </is>
      </c>
      <c r="L83" s="110" t="inlineStr">
        <is>
          <t>Remarks/Notes</t>
        </is>
      </c>
      <c r="N83" s="1" t="n"/>
      <c r="O83" s="1" t="n"/>
      <c r="P83" s="1" t="n"/>
      <c r="Q83" s="1" t="n"/>
      <c r="R83" s="1" t="n"/>
      <c r="S83" s="1" t="n"/>
      <c r="T83" s="1" t="n"/>
      <c r="U83" s="1" t="n"/>
      <c r="V83" s="1" t="n"/>
      <c r="W83" s="1" t="n"/>
      <c r="X83" s="1" t="n"/>
      <c r="Y83" s="1" t="n"/>
      <c r="Z83" s="1" t="n"/>
      <c r="AA83" s="1" t="n"/>
      <c r="AB83" s="1" t="n"/>
      <c r="AC83" s="1" t="n"/>
      <c r="AD83" s="1" t="n"/>
      <c r="AE83" s="1" t="n"/>
      <c r="AF83" s="1" t="n"/>
      <c r="AG83" s="1" t="n"/>
      <c r="AH83" s="1" t="n"/>
      <c r="AI83" s="1" t="n"/>
      <c r="AJ83" s="1" t="n"/>
    </row>
    <row r="84" ht="14.25" customHeight="1">
      <c r="A84" s="485" t="inlineStr">
        <is>
          <t>HARD SERVICE MANAGER</t>
        </is>
      </c>
      <c r="B84" s="486" t="n">
        <v>0</v>
      </c>
      <c r="C84" s="486" t="n">
        <v>1</v>
      </c>
      <c r="D84" s="486" t="n">
        <v>0</v>
      </c>
      <c r="E84" s="485" t="inlineStr">
        <is>
          <t>JUNAID AHMED</t>
        </is>
      </c>
      <c r="F84" s="485" t="inlineStr">
        <is>
          <t>Hard Service</t>
        </is>
      </c>
      <c r="G84" s="485" t="n">
        <v>703491</v>
      </c>
      <c r="H84" s="485" t="n">
        <v>2557070352</v>
      </c>
      <c r="I84" s="485" t="inlineStr">
        <is>
          <t>Additional</t>
        </is>
      </c>
      <c r="J84" s="530" t="n">
        <v>45902</v>
      </c>
      <c r="K84" s="485" t="inlineStr">
        <is>
          <t>FMCO</t>
        </is>
      </c>
      <c r="L84" s="20" t="inlineStr">
        <is>
          <t>On Vacation</t>
        </is>
      </c>
      <c r="N84" s="1" t="n"/>
      <c r="O84" s="1" t="n"/>
      <c r="P84" s="1" t="n"/>
      <c r="Q84" s="1" t="n"/>
      <c r="R84" s="1" t="n"/>
      <c r="S84" s="1" t="n"/>
      <c r="T84" s="1" t="n"/>
      <c r="U84" s="1" t="n"/>
      <c r="V84" s="1" t="n"/>
      <c r="W84" s="1" t="n"/>
      <c r="X84" s="1" t="n"/>
      <c r="Y84" s="1" t="n"/>
      <c r="Z84" s="1" t="n"/>
      <c r="AA84" s="1" t="n"/>
      <c r="AB84" s="1" t="n"/>
      <c r="AC84" s="1" t="n"/>
      <c r="AD84" s="1" t="n"/>
      <c r="AE84" s="1" t="n"/>
      <c r="AF84" s="1" t="n"/>
      <c r="AG84" s="1" t="n"/>
      <c r="AH84" s="1" t="n"/>
      <c r="AI84" s="1" t="n"/>
      <c r="AJ84" s="1" t="n"/>
    </row>
    <row r="85" ht="15" customHeight="1">
      <c r="A85" s="485" t="inlineStr">
        <is>
          <t>STP Operator</t>
        </is>
      </c>
      <c r="B85" s="486" t="n">
        <v>0</v>
      </c>
      <c r="C85" s="486" t="n">
        <v>1</v>
      </c>
      <c r="D85" s="486" t="n">
        <v>0</v>
      </c>
      <c r="E85" s="485" t="inlineStr">
        <is>
          <t>Md Khalid Saifulla</t>
        </is>
      </c>
      <c r="F85" s="485" t="inlineStr">
        <is>
          <t>Hard Service</t>
        </is>
      </c>
      <c r="G85" s="485" t="inlineStr">
        <is>
          <t>EM-0003021</t>
        </is>
      </c>
      <c r="H85" s="485" t="n">
        <v>2617045972</v>
      </c>
      <c r="I85" s="485" t="inlineStr">
        <is>
          <t>Additional</t>
        </is>
      </c>
      <c r="J85" s="530" t="n">
        <v>45954</v>
      </c>
      <c r="K85" s="485" t="inlineStr">
        <is>
          <t>Al-Falak</t>
        </is>
      </c>
      <c r="L85" s="20" t="n"/>
      <c r="N85" s="1" t="n"/>
      <c r="O85" s="1" t="n"/>
      <c r="P85" s="1" t="n"/>
      <c r="Q85" s="1" t="n"/>
      <c r="R85" s="1" t="n"/>
      <c r="S85" s="1" t="n"/>
      <c r="T85" s="1" t="n"/>
      <c r="U85" s="1" t="n"/>
      <c r="V85" s="1" t="n"/>
      <c r="W85" s="1" t="n"/>
      <c r="X85" s="1" t="n"/>
      <c r="Y85" s="1" t="n"/>
      <c r="Z85" s="1" t="n"/>
      <c r="AA85" s="1" t="n"/>
      <c r="AB85" s="1" t="n"/>
      <c r="AC85" s="1" t="n"/>
      <c r="AD85" s="1" t="n"/>
      <c r="AE85" s="1" t="n"/>
      <c r="AF85" s="1" t="n"/>
      <c r="AG85" s="1" t="n"/>
      <c r="AH85" s="1" t="n"/>
      <c r="AI85" s="1" t="n"/>
      <c r="AJ85" s="1" t="n"/>
    </row>
    <row r="86" ht="14.25" customHeight="1">
      <c r="A86" s="485" t="inlineStr">
        <is>
          <t>STP Operator</t>
        </is>
      </c>
      <c r="B86" s="486" t="n">
        <v>0</v>
      </c>
      <c r="C86" s="486" t="n">
        <v>1</v>
      </c>
      <c r="D86" s="486" t="n">
        <v>0</v>
      </c>
      <c r="E86" s="485" t="inlineStr">
        <is>
          <t>Asif Ansari</t>
        </is>
      </c>
      <c r="F86" s="485" t="inlineStr">
        <is>
          <t>Hard Service</t>
        </is>
      </c>
      <c r="G86" s="485" t="n"/>
      <c r="H86" s="485" t="n">
        <v>2640393100</v>
      </c>
      <c r="I86" s="485" t="inlineStr">
        <is>
          <t>Additional</t>
        </is>
      </c>
      <c r="J86" s="530" t="n">
        <v>46212</v>
      </c>
      <c r="K86" s="485" t="inlineStr">
        <is>
          <t>FMCO</t>
        </is>
      </c>
      <c r="L86" s="20" t="n"/>
      <c r="N86" s="1" t="n"/>
      <c r="O86" s="1" t="n"/>
      <c r="P86" s="1" t="n"/>
      <c r="Q86" s="1" t="n"/>
      <c r="R86" s="1" t="n"/>
      <c r="S86" s="1" t="n"/>
      <c r="T86" s="1" t="n"/>
      <c r="U86" s="1" t="n"/>
      <c r="V86" s="1" t="n"/>
      <c r="W86" s="1" t="n"/>
      <c r="X86" s="1" t="n"/>
      <c r="Y86" s="1" t="n"/>
      <c r="Z86" s="1" t="n"/>
      <c r="AA86" s="1" t="n"/>
      <c r="AB86" s="1" t="n"/>
      <c r="AC86" s="1" t="n"/>
      <c r="AD86" s="1" t="n"/>
      <c r="AE86" s="1" t="n"/>
      <c r="AF86" s="1" t="n"/>
      <c r="AG86" s="1" t="n"/>
      <c r="AH86" s="1" t="n"/>
      <c r="AI86" s="1" t="n"/>
      <c r="AJ86" s="1" t="n"/>
    </row>
    <row r="87" ht="14.25" customHeight="1">
      <c r="A87" s="485" t="inlineStr">
        <is>
          <t>Key Man</t>
        </is>
      </c>
      <c r="B87" s="486" t="n">
        <v>0</v>
      </c>
      <c r="C87" s="486" t="n">
        <v>1</v>
      </c>
      <c r="D87" s="486" t="n">
        <v>0</v>
      </c>
      <c r="E87" s="485" t="inlineStr">
        <is>
          <t>Raja Mohd Istaq</t>
        </is>
      </c>
      <c r="F87" s="485" t="inlineStr">
        <is>
          <t>Accomodation</t>
        </is>
      </c>
      <c r="G87" s="485" t="inlineStr">
        <is>
          <t>C01352</t>
        </is>
      </c>
      <c r="H87" s="485" t="n">
        <v>2617252073</v>
      </c>
      <c r="I87" s="485" t="inlineStr">
        <is>
          <t>Additional</t>
        </is>
      </c>
      <c r="J87" s="530" t="n">
        <v>45954</v>
      </c>
      <c r="K87" s="485" t="inlineStr">
        <is>
          <t>Mehan</t>
        </is>
      </c>
      <c r="L87" s="20" t="n"/>
      <c r="N87" s="1" t="n"/>
      <c r="O87" s="1" t="n"/>
      <c r="P87" s="1" t="n"/>
      <c r="Q87" s="1" t="n"/>
      <c r="R87" s="1" t="n"/>
      <c r="S87" s="1" t="n"/>
      <c r="T87" s="1" t="n"/>
      <c r="U87" s="1" t="n"/>
      <c r="V87" s="1" t="n"/>
      <c r="W87" s="1" t="n"/>
      <c r="X87" s="1" t="n"/>
      <c r="Y87" s="1" t="n"/>
      <c r="Z87" s="1" t="n"/>
      <c r="AA87" s="1" t="n"/>
      <c r="AB87" s="1" t="n"/>
      <c r="AC87" s="1" t="n"/>
      <c r="AD87" s="1" t="n"/>
      <c r="AE87" s="1" t="n"/>
      <c r="AF87" s="1" t="n"/>
      <c r="AG87" s="1" t="n"/>
      <c r="AH87" s="1" t="n"/>
      <c r="AI87" s="1" t="n"/>
      <c r="AJ87" s="1" t="n"/>
    </row>
    <row r="88" ht="15" customHeight="1">
      <c r="A88" s="485" t="inlineStr">
        <is>
          <t>HVAC TECHNICIAN</t>
        </is>
      </c>
      <c r="B88" s="486" t="n">
        <v>0</v>
      </c>
      <c r="C88" s="486" t="n">
        <v>1</v>
      </c>
      <c r="D88" s="486" t="n">
        <v>0</v>
      </c>
      <c r="E88" s="485" t="inlineStr">
        <is>
          <t>MANNU ALI</t>
        </is>
      </c>
      <c r="F88" s="485" t="inlineStr">
        <is>
          <t>Hard Service</t>
        </is>
      </c>
      <c r="G88" s="485" t="n"/>
      <c r="H88" s="485" t="n">
        <v>2611407814</v>
      </c>
      <c r="I88" s="485" t="inlineStr">
        <is>
          <t>Additional</t>
        </is>
      </c>
      <c r="J88" s="530" t="n">
        <v>46209</v>
      </c>
      <c r="K88" s="485" t="inlineStr">
        <is>
          <t>FMCO</t>
        </is>
      </c>
      <c r="L88" s="20" t="n"/>
      <c r="N88" s="1" t="n"/>
      <c r="O88" s="1" t="n"/>
      <c r="P88" s="1" t="n"/>
      <c r="Q88" s="1" t="n"/>
      <c r="R88" s="1" t="n"/>
      <c r="S88" s="1" t="n"/>
      <c r="T88" s="1" t="n"/>
      <c r="U88" s="1" t="n"/>
      <c r="V88" s="1" t="n"/>
      <c r="W88" s="1" t="n"/>
      <c r="X88" s="1" t="n"/>
      <c r="Y88" s="1" t="n"/>
      <c r="Z88" s="1" t="n"/>
      <c r="AA88" s="1" t="n"/>
      <c r="AB88" s="1" t="n"/>
      <c r="AC88" s="1" t="n"/>
      <c r="AD88" s="1" t="n"/>
      <c r="AE88" s="1" t="n"/>
      <c r="AF88" s="1" t="n"/>
      <c r="AG88" s="1" t="n"/>
      <c r="AH88" s="1" t="n"/>
      <c r="AI88" s="1" t="n"/>
      <c r="AJ88" s="1" t="n"/>
    </row>
    <row r="89" ht="15" customHeight="1">
      <c r="A89" s="485" t="inlineStr">
        <is>
          <t>Gardner</t>
        </is>
      </c>
      <c r="B89" s="485" t="n">
        <v>0</v>
      </c>
      <c r="C89" s="485" t="n">
        <v>10</v>
      </c>
      <c r="D89" s="485" t="n">
        <v>0</v>
      </c>
      <c r="E89" s="485" t="inlineStr">
        <is>
          <t>Md Hafizul Islam</t>
        </is>
      </c>
      <c r="F89" s="485" t="inlineStr">
        <is>
          <t>Soft Service</t>
        </is>
      </c>
      <c r="G89" s="485" t="inlineStr">
        <is>
          <t>R08457</t>
        </is>
      </c>
      <c r="H89" s="485" t="n">
        <v>2607618804</v>
      </c>
      <c r="I89" s="485" t="inlineStr">
        <is>
          <t>Additional</t>
        </is>
      </c>
      <c r="J89" s="530" t="n">
        <v>46217</v>
      </c>
      <c r="K89" s="485" t="inlineStr">
        <is>
          <t>Mehan</t>
        </is>
      </c>
      <c r="L89" s="20"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c r="AJ89" s="1" t="n"/>
    </row>
    <row r="90" ht="15" customHeight="1">
      <c r="A90" s="429" t="n"/>
      <c r="B90" s="429" t="n"/>
      <c r="C90" s="429" t="n"/>
      <c r="D90" s="429" t="n"/>
      <c r="E90" s="485" t="inlineStr">
        <is>
          <t>Kabir Miah</t>
        </is>
      </c>
      <c r="F90" s="485" t="inlineStr">
        <is>
          <t>Soft Service</t>
        </is>
      </c>
      <c r="G90" s="485" t="inlineStr">
        <is>
          <t>L01433</t>
        </is>
      </c>
      <c r="H90" s="485" t="n">
        <v>2637736758</v>
      </c>
      <c r="I90" s="485" t="inlineStr">
        <is>
          <t>Additional</t>
        </is>
      </c>
      <c r="J90" s="530" t="n">
        <v>46217</v>
      </c>
      <c r="K90" s="485" t="inlineStr">
        <is>
          <t>Mehan</t>
        </is>
      </c>
      <c r="L90" s="20"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c r="AJ90" s="1" t="n"/>
    </row>
    <row r="91" ht="15" customHeight="1">
      <c r="A91" s="429" t="n"/>
      <c r="B91" s="429" t="n"/>
      <c r="C91" s="429" t="n"/>
      <c r="D91" s="429" t="n"/>
      <c r="E91" s="485" t="inlineStr">
        <is>
          <t>Md Bablur Rahman</t>
        </is>
      </c>
      <c r="F91" s="485" t="inlineStr">
        <is>
          <t>Soft Service</t>
        </is>
      </c>
      <c r="G91" s="485" t="inlineStr">
        <is>
          <t>R07497</t>
        </is>
      </c>
      <c r="H91" s="485" t="n">
        <v>2588674271</v>
      </c>
      <c r="I91" s="485" t="inlineStr">
        <is>
          <t>Additional</t>
        </is>
      </c>
      <c r="J91" s="530" t="n">
        <v>46217</v>
      </c>
      <c r="K91" s="485" t="inlineStr">
        <is>
          <t>Mehan</t>
        </is>
      </c>
      <c r="L91" s="20"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c r="AJ91" s="1" t="n"/>
    </row>
    <row r="92" ht="15" customHeight="1">
      <c r="A92" s="429" t="n"/>
      <c r="B92" s="429" t="n"/>
      <c r="C92" s="429" t="n"/>
      <c r="D92" s="429" t="n"/>
      <c r="E92" s="485" t="inlineStr">
        <is>
          <t>Md Nurullah</t>
        </is>
      </c>
      <c r="F92" s="485" t="inlineStr">
        <is>
          <t>Soft Service</t>
        </is>
      </c>
      <c r="G92" s="485" t="inlineStr">
        <is>
          <t>R08463</t>
        </is>
      </c>
      <c r="H92" s="485" t="n">
        <v>2607340987</v>
      </c>
      <c r="I92" s="485" t="inlineStr">
        <is>
          <t>Additional</t>
        </is>
      </c>
      <c r="J92" s="530" t="n">
        <v>46217</v>
      </c>
      <c r="K92" s="485" t="inlineStr">
        <is>
          <t>Mehan</t>
        </is>
      </c>
      <c r="L92" s="112" t="n"/>
      <c r="N92" s="1"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c r="AJ92" s="1" t="n"/>
    </row>
    <row r="93" ht="15" customHeight="1">
      <c r="A93" s="429" t="n"/>
      <c r="B93" s="429" t="n"/>
      <c r="C93" s="429" t="n"/>
      <c r="D93" s="429" t="n"/>
      <c r="E93" s="485" t="inlineStr">
        <is>
          <t>Krishna Bahadur Tharu</t>
        </is>
      </c>
      <c r="F93" s="485" t="inlineStr">
        <is>
          <t>Soft Service</t>
        </is>
      </c>
      <c r="G93" s="485" t="n"/>
      <c r="H93" s="485" t="n">
        <v>2617334442</v>
      </c>
      <c r="I93" s="485" t="inlineStr">
        <is>
          <t>Additional</t>
        </is>
      </c>
      <c r="J93" s="530" t="n">
        <v>46217</v>
      </c>
      <c r="K93" s="485" t="inlineStr">
        <is>
          <t>Gulf Vision</t>
        </is>
      </c>
      <c r="L93" s="112" t="n"/>
      <c r="N93" s="1"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c r="AJ93" s="1" t="n"/>
    </row>
    <row r="94" ht="15" customHeight="1">
      <c r="A94" s="429" t="n"/>
      <c r="B94" s="429" t="n"/>
      <c r="C94" s="429" t="n"/>
      <c r="D94" s="429" t="n"/>
      <c r="E94" s="485" t="inlineStr">
        <is>
          <t>Manoj Thapa</t>
        </is>
      </c>
      <c r="F94" s="485" t="inlineStr">
        <is>
          <t>Soft Service</t>
        </is>
      </c>
      <c r="G94" s="485" t="n"/>
      <c r="H94" s="485" t="n">
        <v>2617334491</v>
      </c>
      <c r="I94" s="485" t="inlineStr">
        <is>
          <t>Additional</t>
        </is>
      </c>
      <c r="J94" s="530" t="n">
        <v>46217</v>
      </c>
      <c r="K94" s="485" t="inlineStr">
        <is>
          <t>Gulf Vision</t>
        </is>
      </c>
      <c r="L94" s="112" t="n"/>
      <c r="N94" s="1" t="n"/>
      <c r="O94" s="1" t="n"/>
      <c r="P94" s="1" t="n"/>
      <c r="Q94" s="1" t="n"/>
      <c r="R94" s="1" t="n"/>
      <c r="S94" s="1" t="n"/>
      <c r="T94" s="1" t="n"/>
      <c r="U94" s="1" t="n"/>
      <c r="V94" s="1" t="n"/>
      <c r="W94" s="1" t="n"/>
      <c r="X94" s="1" t="n"/>
      <c r="Y94" s="1" t="n"/>
      <c r="Z94" s="1" t="n"/>
      <c r="AA94" s="1" t="n"/>
      <c r="AB94" s="1" t="n"/>
      <c r="AC94" s="1" t="n"/>
      <c r="AD94" s="1" t="n"/>
      <c r="AE94" s="1" t="n"/>
      <c r="AF94" s="1" t="n"/>
      <c r="AG94" s="1" t="n"/>
      <c r="AH94" s="1" t="n"/>
      <c r="AI94" s="1" t="n"/>
      <c r="AJ94" s="1" t="n"/>
    </row>
    <row r="95" ht="15" customHeight="1">
      <c r="A95" s="429" t="n"/>
      <c r="B95" s="429" t="n"/>
      <c r="C95" s="429" t="n"/>
      <c r="D95" s="429" t="n"/>
      <c r="E95" s="485" t="inlineStr">
        <is>
          <t>Mugle Ajam Mumin</t>
        </is>
      </c>
      <c r="F95" s="485" t="inlineStr">
        <is>
          <t>Soft Service</t>
        </is>
      </c>
      <c r="G95" s="485" t="n"/>
      <c r="H95" s="485" t="n">
        <v>2617334715</v>
      </c>
      <c r="I95" s="485" t="inlineStr">
        <is>
          <t>Additional</t>
        </is>
      </c>
      <c r="J95" s="530" t="n">
        <v>46217</v>
      </c>
      <c r="K95" s="485" t="inlineStr">
        <is>
          <t>Gulf Vision</t>
        </is>
      </c>
      <c r="L95" s="20" t="n"/>
      <c r="N95" s="1" t="n"/>
      <c r="O95" s="1" t="n"/>
      <c r="P95" s="1" t="n"/>
      <c r="Q95" s="1" t="n"/>
      <c r="R95" s="1" t="n"/>
      <c r="S95" s="1" t="n"/>
      <c r="T95" s="1" t="n"/>
      <c r="U95" s="1" t="n"/>
      <c r="V95" s="1" t="n"/>
      <c r="W95" s="1" t="n"/>
      <c r="X95" s="1" t="n"/>
      <c r="Y95" s="1" t="n"/>
      <c r="Z95" s="1" t="n"/>
      <c r="AA95" s="1" t="n"/>
      <c r="AB95" s="1" t="n"/>
      <c r="AC95" s="1" t="n"/>
      <c r="AD95" s="1" t="n"/>
      <c r="AE95" s="1" t="n"/>
      <c r="AF95" s="1" t="n"/>
      <c r="AG95" s="1" t="n"/>
      <c r="AH95" s="1" t="n"/>
      <c r="AI95" s="1" t="n"/>
      <c r="AJ95" s="1" t="n"/>
    </row>
    <row r="96" ht="15" customHeight="1">
      <c r="A96" s="429" t="n"/>
      <c r="B96" s="429" t="n"/>
      <c r="C96" s="429" t="n"/>
      <c r="D96" s="429" t="n"/>
      <c r="E96" s="485" t="inlineStr">
        <is>
          <t>Sami Akbar Hamesh</t>
        </is>
      </c>
      <c r="F96" s="485" t="inlineStr">
        <is>
          <t>Soft Service</t>
        </is>
      </c>
      <c r="G96" s="485" t="n"/>
      <c r="H96" s="485" t="n">
        <v>2492756065</v>
      </c>
      <c r="I96" s="485" t="inlineStr">
        <is>
          <t>Additional</t>
        </is>
      </c>
      <c r="J96" s="530" t="n">
        <v>46225</v>
      </c>
      <c r="K96" s="485" t="inlineStr">
        <is>
          <t>Wabco</t>
        </is>
      </c>
      <c r="L96" s="20" t="n"/>
      <c r="N96" s="1" t="n"/>
      <c r="O96" s="1" t="n"/>
      <c r="P96" s="1" t="n"/>
      <c r="Q96" s="1" t="n"/>
      <c r="R96" s="1" t="n"/>
      <c r="S96" s="1" t="n"/>
      <c r="T96" s="1" t="n"/>
      <c r="U96" s="1" t="n"/>
      <c r="V96" s="1" t="n"/>
      <c r="W96" s="1" t="n"/>
      <c r="X96" s="1" t="n"/>
      <c r="Y96" s="1" t="n"/>
      <c r="Z96" s="1" t="n"/>
      <c r="AA96" s="1" t="n"/>
      <c r="AB96" s="1" t="n"/>
      <c r="AC96" s="1" t="n"/>
      <c r="AD96" s="1" t="n"/>
      <c r="AE96" s="1" t="n"/>
      <c r="AF96" s="1" t="n"/>
      <c r="AG96" s="1" t="n"/>
      <c r="AH96" s="1" t="n"/>
      <c r="AI96" s="1" t="n"/>
      <c r="AJ96" s="1" t="n"/>
    </row>
    <row r="97" ht="15" customHeight="1">
      <c r="A97" s="429" t="n"/>
      <c r="B97" s="429" t="n"/>
      <c r="C97" s="429" t="n"/>
      <c r="D97" s="429" t="n"/>
      <c r="E97" s="485" t="inlineStr">
        <is>
          <t>Nauman Latif Khan</t>
        </is>
      </c>
      <c r="F97" s="485" t="inlineStr">
        <is>
          <t>Soft Service</t>
        </is>
      </c>
      <c r="G97" s="485" t="n"/>
      <c r="H97" s="485" t="n">
        <v>2617119108</v>
      </c>
      <c r="I97" s="485" t="inlineStr">
        <is>
          <t>Additional</t>
        </is>
      </c>
      <c r="J97" s="530" t="n">
        <v>46225</v>
      </c>
      <c r="K97" s="485" t="inlineStr">
        <is>
          <t>Wabco</t>
        </is>
      </c>
      <c r="L97" s="20" t="n"/>
      <c r="N97" s="1" t="n"/>
      <c r="O97" s="1" t="n"/>
      <c r="P97" s="1" t="n"/>
      <c r="Q97" s="1" t="n"/>
      <c r="R97" s="1" t="n"/>
      <c r="S97" s="1" t="n"/>
      <c r="T97" s="1" t="n"/>
      <c r="U97" s="1" t="n"/>
      <c r="V97" s="1" t="n"/>
      <c r="W97" s="1" t="n"/>
      <c r="X97" s="1" t="n"/>
      <c r="Y97" s="1" t="n"/>
      <c r="Z97" s="1" t="n"/>
      <c r="AA97" s="1" t="n"/>
      <c r="AB97" s="1" t="n"/>
      <c r="AC97" s="1" t="n"/>
      <c r="AD97" s="1" t="n"/>
      <c r="AE97" s="1" t="n"/>
      <c r="AF97" s="1" t="n"/>
      <c r="AG97" s="1" t="n"/>
      <c r="AH97" s="1" t="n"/>
      <c r="AI97" s="1" t="n"/>
      <c r="AJ97" s="1" t="n"/>
    </row>
    <row r="98" ht="15" customHeight="1">
      <c r="A98" s="431" t="n"/>
      <c r="B98" s="431" t="n"/>
      <c r="C98" s="431" t="n"/>
      <c r="D98" s="431" t="n"/>
      <c r="E98" s="485" t="inlineStr">
        <is>
          <t>Abdul Aziz Mumtaz</t>
        </is>
      </c>
      <c r="F98" s="485" t="inlineStr">
        <is>
          <t>Soft Service</t>
        </is>
      </c>
      <c r="G98" s="485" t="n"/>
      <c r="H98" s="485" t="n">
        <v>2623312085</v>
      </c>
      <c r="I98" s="485" t="inlineStr">
        <is>
          <t>Additional</t>
        </is>
      </c>
      <c r="J98" s="530" t="n">
        <v>46225</v>
      </c>
      <c r="K98" s="485" t="inlineStr">
        <is>
          <t>Wabco</t>
        </is>
      </c>
      <c r="L98" s="20" t="n"/>
      <c r="N98" s="1" t="n"/>
      <c r="O98" s="1" t="n"/>
      <c r="P98" s="1" t="n"/>
      <c r="Q98" s="1" t="n"/>
      <c r="R98" s="1" t="n"/>
      <c r="S98" s="1" t="n"/>
      <c r="T98" s="1" t="n"/>
      <c r="U98" s="1" t="n"/>
      <c r="V98" s="1" t="n"/>
      <c r="W98" s="1" t="n"/>
      <c r="X98" s="1" t="n"/>
      <c r="Y98" s="1" t="n"/>
      <c r="Z98" s="1" t="n"/>
      <c r="AA98" s="1" t="n"/>
      <c r="AB98" s="1" t="n"/>
      <c r="AC98" s="1" t="n"/>
      <c r="AD98" s="1" t="n"/>
      <c r="AE98" s="1" t="n"/>
      <c r="AF98" s="1" t="n"/>
      <c r="AG98" s="1" t="n"/>
      <c r="AH98" s="1" t="n"/>
      <c r="AI98" s="1" t="n"/>
      <c r="AJ98" s="1" t="n"/>
    </row>
    <row r="99" ht="15" customHeight="1">
      <c r="A99" s="485" t="inlineStr">
        <is>
          <t>FLS Technician</t>
        </is>
      </c>
      <c r="B99" s="485" t="n">
        <v>0</v>
      </c>
      <c r="C99" s="485" t="n">
        <v>2</v>
      </c>
      <c r="D99" s="485" t="n">
        <v>0</v>
      </c>
      <c r="E99" s="485" t="inlineStr">
        <is>
          <t>Mohammad Abid Khan</t>
        </is>
      </c>
      <c r="F99" s="485" t="inlineStr">
        <is>
          <t>Hard Service</t>
        </is>
      </c>
      <c r="G99" s="485" t="n">
        <v>702833</v>
      </c>
      <c r="H99" s="485" t="n">
        <v>2562857157</v>
      </c>
      <c r="I99" s="485" t="inlineStr">
        <is>
          <t>Additional</t>
        </is>
      </c>
      <c r="J99" s="530" t="n">
        <v>46015</v>
      </c>
      <c r="K99" s="485" t="inlineStr">
        <is>
          <t>FMCO</t>
        </is>
      </c>
      <c r="L99" s="20" t="n"/>
      <c r="N99" s="1" t="n"/>
      <c r="O99" s="1" t="n"/>
      <c r="P99" s="1" t="n"/>
      <c r="Q99" s="1" t="n"/>
      <c r="R99" s="1" t="n"/>
      <c r="S99" s="1" t="n"/>
      <c r="T99" s="1" t="n"/>
      <c r="U99" s="1" t="n"/>
      <c r="V99" s="1" t="n"/>
      <c r="W99" s="1" t="n"/>
      <c r="X99" s="1" t="n"/>
      <c r="Y99" s="1" t="n"/>
      <c r="Z99" s="1" t="n"/>
      <c r="AA99" s="1" t="n"/>
      <c r="AB99" s="1" t="n"/>
      <c r="AC99" s="1" t="n"/>
      <c r="AD99" s="1" t="n"/>
      <c r="AE99" s="1" t="n"/>
      <c r="AF99" s="1" t="n"/>
      <c r="AG99" s="1" t="n"/>
      <c r="AH99" s="1" t="n"/>
      <c r="AI99" s="1" t="n"/>
      <c r="AJ99" s="1" t="n"/>
    </row>
    <row r="100" ht="15" customHeight="1">
      <c r="A100" s="431" t="n"/>
      <c r="B100" s="431" t="n"/>
      <c r="C100" s="431" t="n"/>
      <c r="D100" s="431" t="n"/>
      <c r="E100" s="485" t="inlineStr">
        <is>
          <t>Famin Ahmed Faruk Ahmed</t>
        </is>
      </c>
      <c r="F100" s="485" t="inlineStr">
        <is>
          <t>Hard Service</t>
        </is>
      </c>
      <c r="G100" s="485" t="n"/>
      <c r="H100" s="485" t="n">
        <v>2629084688</v>
      </c>
      <c r="I100" s="485" t="inlineStr">
        <is>
          <t>Additional</t>
        </is>
      </c>
      <c r="J100" s="530" t="n">
        <v>46207</v>
      </c>
      <c r="K100" s="485" t="inlineStr">
        <is>
          <t>RAMZ</t>
        </is>
      </c>
      <c r="L100" s="20" t="n"/>
      <c r="N100" s="1" t="n"/>
      <c r="O100" s="1" t="n"/>
      <c r="P100" s="1" t="n"/>
      <c r="Q100" s="1" t="n"/>
      <c r="R100" s="1" t="n"/>
      <c r="S100" s="1" t="n"/>
      <c r="T100" s="1" t="n"/>
      <c r="U100" s="1" t="n"/>
      <c r="V100" s="1" t="n"/>
      <c r="W100" s="1" t="n"/>
      <c r="X100" s="1" t="n"/>
      <c r="Y100" s="1" t="n"/>
      <c r="Z100" s="1" t="n"/>
      <c r="AA100" s="1" t="n"/>
      <c r="AB100" s="1" t="n"/>
      <c r="AC100" s="1" t="n"/>
      <c r="AD100" s="1" t="n"/>
      <c r="AE100" s="1" t="n"/>
      <c r="AF100" s="1" t="n"/>
      <c r="AG100" s="1" t="n"/>
      <c r="AH100" s="1" t="n"/>
      <c r="AI100" s="1" t="n"/>
      <c r="AJ100" s="1" t="n"/>
    </row>
    <row r="101" ht="15" customHeight="1">
      <c r="A101" s="485" t="inlineStr">
        <is>
          <t>Pest Control Operative</t>
        </is>
      </c>
      <c r="B101" s="486" t="n">
        <v>0</v>
      </c>
      <c r="C101" s="486" t="n">
        <v>1</v>
      </c>
      <c r="D101" s="486" t="n">
        <v>0</v>
      </c>
      <c r="E101" s="485" t="inlineStr">
        <is>
          <t xml:space="preserve">MD YEASIN FAKIR </t>
        </is>
      </c>
      <c r="F101" s="485" t="inlineStr">
        <is>
          <t>Soft Service</t>
        </is>
      </c>
      <c r="G101" s="485" t="n"/>
      <c r="H101" s="485" t="n">
        <v>2631415029</v>
      </c>
      <c r="I101" s="485" t="inlineStr">
        <is>
          <t>Additional</t>
        </is>
      </c>
      <c r="J101" s="530" t="n">
        <v>46246</v>
      </c>
      <c r="K101" s="485" t="inlineStr">
        <is>
          <t>JAWAD AL DUWAIL</t>
        </is>
      </c>
      <c r="L101" s="20"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c r="AJ101" s="1" t="n"/>
    </row>
    <row r="102" ht="15" customHeight="1">
      <c r="A102" s="485" t="inlineStr">
        <is>
          <t>Housekeepers - Male</t>
        </is>
      </c>
      <c r="B102" s="487" t="n">
        <v>0</v>
      </c>
      <c r="C102" s="487" t="n">
        <v>5</v>
      </c>
      <c r="D102" s="487" t="n">
        <v>0</v>
      </c>
      <c r="E102" s="485" t="inlineStr">
        <is>
          <t>Atikur Rahman</t>
        </is>
      </c>
      <c r="F102" s="485" t="inlineStr">
        <is>
          <t>Soft Service</t>
        </is>
      </c>
      <c r="G102" s="485" t="n"/>
      <c r="H102" s="485" t="n">
        <v>2636304129</v>
      </c>
      <c r="I102" s="485" t="inlineStr">
        <is>
          <t>Additional</t>
        </is>
      </c>
      <c r="J102" s="530" t="n">
        <v>46225</v>
      </c>
      <c r="K102" s="485" t="inlineStr">
        <is>
          <t>Wabco</t>
        </is>
      </c>
      <c r="L102" s="20" t="n"/>
      <c r="N102" s="1"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c r="AJ102" s="1" t="n"/>
    </row>
    <row r="103" ht="15" customHeight="1">
      <c r="A103" s="429" t="n"/>
      <c r="B103" s="429" t="n"/>
      <c r="C103" s="429" t="n"/>
      <c r="D103" s="429" t="n"/>
      <c r="E103" s="485" t="n"/>
      <c r="F103" s="485" t="inlineStr">
        <is>
          <t>Soft Service</t>
        </is>
      </c>
      <c r="G103" s="485" t="inlineStr">
        <is>
          <t>-</t>
        </is>
      </c>
      <c r="H103" s="485" t="inlineStr">
        <is>
          <t>-</t>
        </is>
      </c>
      <c r="I103" s="485" t="inlineStr">
        <is>
          <t>Vacant</t>
        </is>
      </c>
      <c r="J103" s="530" t="n"/>
      <c r="K103" s="485" t="inlineStr">
        <is>
          <t>-</t>
        </is>
      </c>
      <c r="L103" s="20" t="n"/>
      <c r="N103" s="1"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c r="AJ103" s="1" t="n"/>
    </row>
    <row r="104" ht="15" customHeight="1">
      <c r="A104" s="429" t="n"/>
      <c r="B104" s="429" t="n"/>
      <c r="C104" s="429" t="n"/>
      <c r="D104" s="429" t="n"/>
      <c r="E104" s="485" t="inlineStr">
        <is>
          <t>Md Israfil Bissas</t>
        </is>
      </c>
      <c r="F104" s="485" t="inlineStr">
        <is>
          <t>Soft Service</t>
        </is>
      </c>
      <c r="G104" s="485" t="n"/>
      <c r="H104" s="485" t="n"/>
      <c r="I104" s="485" t="inlineStr">
        <is>
          <t>Additional</t>
        </is>
      </c>
      <c r="J104" s="530" t="n">
        <v>46231</v>
      </c>
      <c r="K104" s="485" t="inlineStr">
        <is>
          <t>Wabco</t>
        </is>
      </c>
      <c r="L104" s="20" t="n"/>
      <c r="N104" s="1" t="n"/>
      <c r="O104" s="1" t="n"/>
      <c r="P104" s="1" t="n"/>
      <c r="Q104" s="1" t="n"/>
      <c r="R104" s="1" t="n"/>
      <c r="S104" s="1" t="n"/>
      <c r="T104" s="1" t="n"/>
      <c r="U104" s="1" t="n"/>
      <c r="V104" s="1" t="n"/>
      <c r="W104" s="1" t="n"/>
      <c r="X104" s="1" t="n"/>
      <c r="Y104" s="1" t="n"/>
      <c r="Z104" s="1" t="n"/>
      <c r="AA104" s="1" t="n"/>
      <c r="AB104" s="1" t="n"/>
      <c r="AC104" s="1" t="n"/>
      <c r="AD104" s="1" t="n"/>
      <c r="AE104" s="1" t="n"/>
      <c r="AF104" s="1" t="n"/>
      <c r="AG104" s="1" t="n"/>
      <c r="AH104" s="1" t="n"/>
      <c r="AI104" s="1" t="n"/>
      <c r="AJ104" s="1" t="n"/>
    </row>
    <row r="105" ht="15" customHeight="1">
      <c r="A105" s="429" t="n"/>
      <c r="B105" s="429" t="n"/>
      <c r="C105" s="429" t="n"/>
      <c r="D105" s="429" t="n"/>
      <c r="E105" s="485" t="inlineStr">
        <is>
          <t>Mokchin Mia</t>
        </is>
      </c>
      <c r="F105" s="485" t="inlineStr">
        <is>
          <t>Soft Service</t>
        </is>
      </c>
      <c r="G105" s="485" t="n"/>
      <c r="H105" s="485" t="n"/>
      <c r="I105" s="485" t="inlineStr">
        <is>
          <t>Additional</t>
        </is>
      </c>
      <c r="J105" s="530" t="n">
        <v>46231</v>
      </c>
      <c r="K105" s="485" t="inlineStr">
        <is>
          <t>Wabco</t>
        </is>
      </c>
      <c r="L105" s="20" t="n"/>
      <c r="N105" s="1" t="n"/>
      <c r="O105" s="1" t="n"/>
      <c r="P105" s="1" t="n"/>
      <c r="Q105" s="1" t="n"/>
      <c r="R105" s="1" t="n"/>
      <c r="S105" s="1" t="n"/>
      <c r="T105" s="1" t="n"/>
      <c r="U105" s="1" t="n"/>
      <c r="V105" s="1" t="n"/>
      <c r="W105" s="1" t="n"/>
      <c r="X105" s="1" t="n"/>
      <c r="Y105" s="1" t="n"/>
      <c r="Z105" s="1" t="n"/>
      <c r="AA105" s="1" t="n"/>
      <c r="AB105" s="1" t="n"/>
      <c r="AC105" s="1" t="n"/>
      <c r="AD105" s="1" t="n"/>
      <c r="AE105" s="1" t="n"/>
      <c r="AF105" s="1" t="n"/>
      <c r="AG105" s="1" t="n"/>
      <c r="AH105" s="1" t="n"/>
      <c r="AI105" s="1" t="n"/>
      <c r="AJ105" s="1" t="n"/>
    </row>
    <row r="106" ht="15" customHeight="1">
      <c r="A106" s="431" t="n"/>
      <c r="B106" s="429" t="n"/>
      <c r="C106" s="429" t="n"/>
      <c r="D106" s="429" t="n"/>
      <c r="E106" s="487" t="inlineStr">
        <is>
          <t>MD MONTAZAR RAHMAN</t>
        </is>
      </c>
      <c r="F106" s="487" t="inlineStr">
        <is>
          <t>Soft Service</t>
        </is>
      </c>
      <c r="G106" s="487" t="n"/>
      <c r="H106" s="487" t="n">
        <v>2622674097</v>
      </c>
      <c r="I106" s="487" t="inlineStr">
        <is>
          <t>Additional</t>
        </is>
      </c>
      <c r="J106" s="531" t="n">
        <v>46163</v>
      </c>
      <c r="K106" s="487" t="inlineStr">
        <is>
          <t>Mehan</t>
        </is>
      </c>
      <c r="L106" s="20" t="n"/>
      <c r="N106" s="1" t="n"/>
      <c r="O106" s="1" t="n"/>
      <c r="P106" s="1" t="n"/>
      <c r="Q106" s="1" t="n"/>
      <c r="R106" s="1" t="n"/>
      <c r="S106" s="1" t="n"/>
      <c r="T106" s="1" t="n"/>
      <c r="U106" s="1" t="n"/>
      <c r="V106" s="1" t="n"/>
      <c r="W106" s="1" t="n"/>
      <c r="X106" s="1" t="n"/>
      <c r="Y106" s="1" t="n"/>
      <c r="Z106" s="1" t="n"/>
      <c r="AA106" s="1" t="n"/>
      <c r="AB106" s="1" t="n"/>
      <c r="AC106" s="1" t="n"/>
      <c r="AD106" s="1" t="n"/>
      <c r="AE106" s="1" t="n"/>
      <c r="AF106" s="1" t="n"/>
      <c r="AG106" s="1" t="n"/>
      <c r="AH106" s="1" t="n"/>
      <c r="AI106" s="1" t="n"/>
      <c r="AJ106" s="1" t="n"/>
    </row>
    <row r="107" ht="15" customHeight="1">
      <c r="A107" s="485" t="inlineStr">
        <is>
          <t>HOUSEKEEPING TEAM LEADER</t>
        </is>
      </c>
      <c r="B107" s="485" t="n">
        <v>0</v>
      </c>
      <c r="C107" s="485" t="n">
        <v>2</v>
      </c>
      <c r="D107" s="485" t="n">
        <v>0</v>
      </c>
      <c r="E107" s="485" t="inlineStr">
        <is>
          <t>IMRAN SHEIK</t>
        </is>
      </c>
      <c r="F107" s="487" t="inlineStr">
        <is>
          <t>Soft Service</t>
        </is>
      </c>
      <c r="G107" s="485" t="n"/>
      <c r="H107" s="485" t="inlineStr">
        <is>
          <t>AT581585</t>
        </is>
      </c>
      <c r="I107" s="487" t="inlineStr">
        <is>
          <t>Additional</t>
        </is>
      </c>
      <c r="J107" s="530" t="n">
        <v>46268</v>
      </c>
      <c r="K107" s="485" t="n"/>
      <c r="L107" s="20" t="n"/>
      <c r="N107" s="1" t="n"/>
      <c r="O107" s="1" t="n"/>
      <c r="P107" s="1" t="n"/>
      <c r="Q107" s="1" t="n"/>
      <c r="R107" s="1" t="n"/>
      <c r="S107" s="1" t="n"/>
      <c r="T107" s="1" t="n"/>
      <c r="U107" s="1" t="n"/>
      <c r="V107" s="1" t="n"/>
      <c r="W107" s="1" t="n"/>
      <c r="X107" s="1" t="n"/>
      <c r="Y107" s="1" t="n"/>
      <c r="Z107" s="1" t="n"/>
      <c r="AA107" s="1" t="n"/>
      <c r="AB107" s="1" t="n"/>
      <c r="AC107" s="1" t="n"/>
      <c r="AD107" s="1" t="n"/>
      <c r="AE107" s="1" t="n"/>
      <c r="AF107" s="1" t="n"/>
      <c r="AG107" s="1" t="n"/>
      <c r="AH107" s="1" t="n"/>
      <c r="AI107" s="1" t="n"/>
      <c r="AJ107" s="1" t="n"/>
    </row>
    <row r="108" ht="28.5" customHeight="1">
      <c r="A108" s="35" t="inlineStr">
        <is>
          <t>ELECTRICAL TECHNICIAN</t>
        </is>
      </c>
      <c r="B108" s="36" t="n">
        <v>0</v>
      </c>
      <c r="C108" s="36" t="inlineStr">
        <is>
          <t>Approved</t>
        </is>
      </c>
      <c r="D108" s="36" t="inlineStr">
        <is>
          <t>Vacant Position</t>
        </is>
      </c>
      <c r="E108" s="37" t="inlineStr">
        <is>
          <t>MANNU ALI</t>
        </is>
      </c>
      <c r="F108" s="38" t="inlineStr">
        <is>
          <t>HARD SERVICE</t>
        </is>
      </c>
      <c r="G108" s="38" t="n">
        <v>704347</v>
      </c>
      <c r="H108" s="38" t="inlineStr">
        <is>
          <t>2640117814</t>
        </is>
      </c>
      <c r="I108" s="58" t="inlineStr">
        <is>
          <t>Additional</t>
        </is>
      </c>
      <c r="J108" s="500" t="n">
        <v>46209</v>
      </c>
      <c r="K108" s="40" t="inlineStr">
        <is>
          <t>FMCO</t>
        </is>
      </c>
      <c r="L108" s="41" t="inlineStr">
        <is>
          <t>Remark/Notes</t>
        </is>
      </c>
      <c r="N108" s="1" t="n"/>
      <c r="O108" s="1" t="n"/>
      <c r="P108" s="1" t="n"/>
      <c r="Q108" s="1" t="n"/>
      <c r="R108" s="1" t="n"/>
      <c r="S108" s="1" t="n"/>
      <c r="T108" s="1" t="n"/>
      <c r="U108" s="1" t="n"/>
      <c r="V108" s="1" t="n"/>
      <c r="W108" s="1" t="n"/>
      <c r="X108" s="1" t="n"/>
      <c r="Y108" s="1" t="n"/>
      <c r="Z108" s="1" t="n"/>
      <c r="AA108" s="1" t="n"/>
      <c r="AB108" s="1" t="n"/>
      <c r="AC108" s="1" t="n"/>
      <c r="AD108" s="1" t="n"/>
      <c r="AE108" s="1" t="n"/>
      <c r="AF108" s="1" t="n"/>
      <c r="AG108" s="1" t="n"/>
      <c r="AH108" s="1" t="n"/>
      <c r="AI108" s="1" t="n"/>
      <c r="AJ108" s="1" t="n"/>
    </row>
    <row r="109" ht="15" customHeight="1">
      <c r="A109" s="93" t="inlineStr">
        <is>
          <t>Security Guard</t>
        </is>
      </c>
      <c r="B109" s="93" t="n">
        <v>0</v>
      </c>
      <c r="C109" s="93">
        <f>COUNTIF(I4:I1048576,"Approved")</f>
        <v/>
      </c>
      <c r="D109" s="93">
        <f>COUNTIF(I4:I1048576,"Vacant")</f>
        <v/>
      </c>
      <c r="E109" s="94" t="inlineStr">
        <is>
          <t>SAAD RAFDAN  AL DAWSARI</t>
        </is>
      </c>
      <c r="F109" s="95" t="inlineStr">
        <is>
          <t>SECURITY SERVICE</t>
        </is>
      </c>
      <c r="G109" s="95" t="n">
        <v>704470</v>
      </c>
      <c r="H109" s="95" t="inlineStr">
        <is>
          <t>1149094755</t>
        </is>
      </c>
      <c r="I109" s="96" t="inlineStr">
        <is>
          <t>Additional</t>
        </is>
      </c>
      <c r="J109" s="509" t="n">
        <v>46222</v>
      </c>
      <c r="K109" s="97" t="inlineStr">
        <is>
          <t>FMCO</t>
        </is>
      </c>
      <c r="L109" s="96" t="n"/>
      <c r="N109" s="1" t="n"/>
      <c r="O109" s="1" t="n"/>
      <c r="P109" s="1" t="n"/>
      <c r="Q109" s="1" t="n"/>
      <c r="R109" s="1" t="n"/>
      <c r="S109" s="1" t="n"/>
      <c r="T109" s="1" t="n"/>
      <c r="U109" s="1" t="n"/>
      <c r="V109" s="1" t="n"/>
      <c r="W109" s="1" t="n"/>
      <c r="X109" s="1" t="n"/>
      <c r="Y109" s="1" t="n"/>
      <c r="Z109" s="1" t="n"/>
      <c r="AA109" s="1" t="n"/>
      <c r="AB109" s="1" t="n"/>
      <c r="AC109" s="1" t="n"/>
      <c r="AD109" s="1" t="n"/>
      <c r="AE109" s="1" t="n"/>
      <c r="AF109" s="1" t="n"/>
      <c r="AG109" s="1" t="n"/>
      <c r="AH109" s="1" t="n"/>
      <c r="AI109" s="1" t="n"/>
      <c r="AJ109" s="1" t="n"/>
    </row>
    <row r="110" ht="12.75" customHeight="1">
      <c r="I110" s="7" t="n"/>
      <c r="J110" s="7" t="n"/>
      <c r="K110" s="7" t="n"/>
      <c r="L110" s="7" t="n"/>
      <c r="M110" s="7" t="n"/>
    </row>
    <row r="111" ht="12.75" customHeight="1">
      <c r="H111" s="7" t="n"/>
      <c r="I111" s="7" t="n"/>
      <c r="J111" s="7" t="n"/>
      <c r="K111" s="7" t="n"/>
      <c r="L111" s="7" t="n"/>
      <c r="M111" s="7" t="n"/>
    </row>
    <row r="112" ht="12.75" customHeight="1">
      <c r="H112" s="7" t="n"/>
      <c r="I112" s="7" t="n"/>
      <c r="J112" s="7" t="n"/>
      <c r="K112" s="7" t="n"/>
      <c r="L112" s="7" t="n"/>
      <c r="M112" s="7" t="n"/>
    </row>
    <row r="113" ht="12.75" customHeight="1">
      <c r="H113" s="7" t="n"/>
      <c r="I113" s="7" t="n"/>
      <c r="J113" s="7" t="n"/>
      <c r="K113" s="7" t="n"/>
      <c r="L113" s="7" t="n"/>
      <c r="M113" s="7" t="n"/>
    </row>
    <row r="114" ht="12.75" customHeight="1">
      <c r="H114" s="7" t="n"/>
      <c r="I114" s="7" t="n"/>
      <c r="J114" s="7" t="n"/>
      <c r="K114" s="7" t="n"/>
      <c r="L114" s="7" t="n"/>
      <c r="M114" s="7" t="n"/>
    </row>
    <row r="115" ht="12.75" customHeight="1">
      <c r="H115" s="7" t="n"/>
      <c r="I115" s="7" t="n"/>
      <c r="J115" s="7" t="n"/>
      <c r="K115" s="7" t="n"/>
      <c r="L115" s="7" t="n"/>
      <c r="M115" s="7" t="n"/>
    </row>
    <row r="116" ht="12.75" customHeight="1">
      <c r="H116" s="7" t="n"/>
      <c r="I116" s="7" t="n"/>
      <c r="J116" s="7" t="n"/>
      <c r="K116" s="7" t="n"/>
      <c r="L116" s="7" t="n"/>
      <c r="M116" s="7" t="n"/>
    </row>
    <row r="117" ht="12.75" customHeight="1">
      <c r="H117" s="7" t="n"/>
      <c r="I117" s="7" t="n"/>
      <c r="J117" s="7" t="n"/>
      <c r="K117" s="7" t="n"/>
      <c r="L117" s="7" t="n"/>
      <c r="M117" s="7" t="n"/>
    </row>
    <row r="118" ht="12.75" customHeight="1">
      <c r="H118" s="7" t="n"/>
      <c r="I118" s="7" t="n"/>
      <c r="J118" s="7" t="n"/>
      <c r="K118" s="7" t="n"/>
      <c r="L118" s="7" t="n"/>
      <c r="M118" s="7" t="n"/>
    </row>
    <row r="119" ht="12.75" customHeight="1">
      <c r="H119" s="7" t="n"/>
      <c r="I119" s="7" t="n"/>
      <c r="J119" s="7" t="n"/>
      <c r="K119" s="7" t="n"/>
      <c r="L119" s="7" t="n"/>
      <c r="M119" s="7" t="n"/>
    </row>
    <row r="120" ht="12.75" customHeight="1">
      <c r="H120" s="7" t="n"/>
      <c r="I120" s="7" t="n"/>
      <c r="J120" s="7" t="n"/>
      <c r="K120" s="7" t="n"/>
      <c r="L120" s="7" t="n"/>
      <c r="M120" s="7" t="n"/>
    </row>
    <row r="121" ht="12.75" customHeight="1">
      <c r="H121" s="7" t="n"/>
      <c r="I121" s="7" t="n"/>
      <c r="J121" s="7" t="n"/>
      <c r="K121" s="7" t="n"/>
      <c r="L121" s="7" t="n"/>
      <c r="M121" s="7" t="n"/>
    </row>
    <row r="122" ht="12.75" customHeight="1">
      <c r="H122" s="7" t="n"/>
      <c r="I122" s="7" t="n"/>
      <c r="J122" s="7" t="n"/>
      <c r="K122" s="7" t="n"/>
      <c r="L122" s="7" t="n"/>
      <c r="M122" s="7" t="n"/>
    </row>
    <row r="123" ht="12.75" customHeight="1">
      <c r="H123" s="7" t="n"/>
      <c r="I123" s="7" t="n"/>
      <c r="J123" s="7" t="n"/>
      <c r="K123" s="7" t="n"/>
      <c r="L123" s="7" t="n"/>
      <c r="M123" s="7" t="n"/>
    </row>
    <row r="124" ht="12.75" customHeight="1">
      <c r="H124" s="7" t="n"/>
      <c r="I124" s="7" t="n"/>
      <c r="J124" s="7" t="n"/>
      <c r="K124" s="7" t="n"/>
      <c r="L124" s="7" t="n"/>
      <c r="M124" s="7" t="n"/>
    </row>
    <row r="125" ht="12.75" customHeight="1">
      <c r="H125" s="7" t="n"/>
      <c r="I125" s="7" t="n"/>
      <c r="J125" s="7" t="n"/>
      <c r="K125" s="7" t="n"/>
      <c r="L125" s="7" t="n"/>
      <c r="M125" s="7" t="n"/>
    </row>
    <row r="126" ht="12.75" customHeight="1">
      <c r="H126" s="7" t="n"/>
      <c r="I126" s="7" t="n"/>
      <c r="J126" s="7" t="n"/>
      <c r="K126" s="7" t="n"/>
      <c r="L126" s="7" t="n"/>
      <c r="M126" s="7" t="n"/>
    </row>
    <row r="127" ht="12.75" customHeight="1">
      <c r="H127" s="7" t="n"/>
      <c r="I127" s="7" t="n"/>
      <c r="J127" s="7" t="n"/>
      <c r="K127" s="7" t="n"/>
      <c r="L127" s="7" t="n"/>
      <c r="M127" s="7" t="n"/>
    </row>
    <row r="128" ht="12.75" customHeight="1">
      <c r="H128" s="7" t="n"/>
      <c r="I128" s="7" t="n"/>
      <c r="J128" s="7" t="n"/>
      <c r="K128" s="7" t="n"/>
      <c r="L128" s="7" t="n"/>
      <c r="M128" s="7" t="n"/>
    </row>
    <row r="129" ht="12.75" customHeight="1">
      <c r="H129" s="7" t="n"/>
      <c r="I129" s="7" t="n"/>
      <c r="J129" s="7" t="n"/>
      <c r="K129" s="7" t="n"/>
      <c r="L129" s="7" t="n"/>
      <c r="M129" s="7" t="n"/>
    </row>
    <row r="130" ht="12.75" customHeight="1">
      <c r="H130" s="7" t="n"/>
      <c r="I130" s="7" t="n"/>
      <c r="J130" s="7" t="n"/>
      <c r="K130" s="7" t="n"/>
      <c r="L130" s="7" t="n"/>
      <c r="M130" s="7" t="n"/>
    </row>
    <row r="131" ht="12.75" customHeight="1">
      <c r="H131" s="7" t="n"/>
      <c r="I131" s="7" t="n"/>
      <c r="J131" s="7" t="n"/>
      <c r="K131" s="7" t="n"/>
      <c r="L131" s="7" t="n"/>
      <c r="M131" s="7" t="n"/>
    </row>
    <row r="132" ht="12.75" customHeight="1">
      <c r="H132" s="7" t="n"/>
      <c r="I132" s="7" t="n"/>
      <c r="J132" s="7" t="n"/>
      <c r="K132" s="7" t="n"/>
      <c r="L132" s="7" t="n"/>
      <c r="M132" s="7" t="n"/>
    </row>
    <row r="133" ht="12.75" customHeight="1">
      <c r="H133" s="7" t="n"/>
      <c r="I133" s="7" t="n"/>
      <c r="J133" s="7" t="n"/>
      <c r="K133" s="7" t="n"/>
      <c r="L133" s="7" t="n"/>
      <c r="M133" s="7" t="n"/>
    </row>
    <row r="134" ht="12.75" customHeight="1">
      <c r="H134" s="7" t="n"/>
      <c r="I134" s="7" t="n"/>
      <c r="J134" s="7" t="n"/>
      <c r="K134" s="7" t="n"/>
      <c r="L134" s="7" t="n"/>
      <c r="M134" s="7" t="n"/>
    </row>
    <row r="135" ht="12.75" customHeight="1">
      <c r="H135" s="7" t="n"/>
      <c r="I135" s="7" t="n"/>
      <c r="J135" s="7" t="n"/>
      <c r="K135" s="7" t="n"/>
      <c r="L135" s="7" t="n"/>
      <c r="M135" s="7" t="n"/>
    </row>
    <row r="136" ht="12.75" customHeight="1">
      <c r="H136" s="7" t="n"/>
      <c r="I136" s="7" t="n"/>
      <c r="J136" s="7" t="n"/>
      <c r="K136" s="7" t="n"/>
      <c r="L136" s="7" t="n"/>
      <c r="M136" s="7" t="n"/>
    </row>
    <row r="137" ht="12.75" customHeight="1">
      <c r="H137" s="7" t="n"/>
      <c r="I137" s="7" t="n"/>
      <c r="J137" s="7" t="n"/>
      <c r="K137" s="7" t="n"/>
      <c r="L137" s="7" t="n"/>
      <c r="M137" s="7" t="n"/>
    </row>
    <row r="138" ht="12.75" customHeight="1">
      <c r="H138" s="7" t="n"/>
      <c r="I138" s="7" t="n"/>
      <c r="J138" s="7" t="n"/>
      <c r="K138" s="7" t="n"/>
      <c r="L138" s="7" t="n"/>
      <c r="M138" s="7" t="n"/>
    </row>
    <row r="139" ht="12.75" customHeight="1">
      <c r="H139" s="7" t="n"/>
      <c r="I139" s="7" t="n"/>
      <c r="J139" s="7" t="n"/>
      <c r="K139" s="7" t="n"/>
      <c r="L139" s="7" t="n"/>
      <c r="M139" s="7" t="n"/>
    </row>
    <row r="140" ht="12.75" customHeight="1">
      <c r="H140" s="7" t="n"/>
      <c r="I140" s="7" t="n"/>
      <c r="J140" s="7" t="n"/>
      <c r="K140" s="7" t="n"/>
      <c r="L140" s="7" t="n"/>
      <c r="M140" s="7" t="n"/>
    </row>
    <row r="141" ht="12.75" customHeight="1">
      <c r="H141" s="7" t="n"/>
      <c r="I141" s="7" t="n"/>
      <c r="J141" s="7" t="n"/>
      <c r="K141" s="7" t="n"/>
      <c r="L141" s="7" t="n"/>
      <c r="M141" s="7" t="n"/>
    </row>
    <row r="142" ht="12.75" customHeight="1">
      <c r="H142" s="7" t="n"/>
      <c r="I142" s="7" t="n"/>
      <c r="J142" s="7" t="n"/>
      <c r="K142" s="7" t="n"/>
      <c r="L142" s="7" t="n"/>
      <c r="M142" s="7" t="n"/>
    </row>
    <row r="143" ht="12.75" customHeight="1">
      <c r="H143" s="7" t="n"/>
      <c r="I143" s="7" t="n"/>
      <c r="J143" s="7" t="n"/>
      <c r="K143" s="7" t="n"/>
      <c r="L143" s="7" t="n"/>
      <c r="M143" s="7" t="n"/>
    </row>
    <row r="144" ht="12.75" customHeight="1">
      <c r="H144" s="7" t="n"/>
      <c r="I144" s="7" t="n"/>
      <c r="J144" s="7" t="n"/>
      <c r="K144" s="7" t="n"/>
      <c r="L144" s="7" t="n"/>
      <c r="M144" s="7" t="n"/>
    </row>
    <row r="145" ht="12.75" customHeight="1">
      <c r="H145" s="7" t="n"/>
      <c r="I145" s="7" t="n"/>
      <c r="J145" s="7" t="n"/>
      <c r="K145" s="7" t="n"/>
      <c r="L145" s="7" t="n"/>
      <c r="M145" s="7" t="n"/>
    </row>
    <row r="146" ht="12.75" customHeight="1">
      <c r="H146" s="7" t="n"/>
      <c r="I146" s="7" t="n"/>
      <c r="J146" s="7" t="n"/>
      <c r="K146" s="7" t="n"/>
      <c r="L146" s="7" t="n"/>
      <c r="M146" s="7" t="n"/>
    </row>
    <row r="147" ht="12.75" customHeight="1">
      <c r="H147" s="7" t="n"/>
      <c r="I147" s="7" t="n"/>
      <c r="J147" s="7" t="n"/>
      <c r="K147" s="7" t="n"/>
      <c r="L147" s="7" t="n"/>
      <c r="M147" s="7" t="n"/>
    </row>
    <row r="148" ht="12.75" customHeight="1">
      <c r="H148" s="7" t="n"/>
      <c r="I148" s="7" t="n"/>
      <c r="J148" s="7" t="n"/>
      <c r="K148" s="7" t="n"/>
      <c r="L148" s="7" t="n"/>
      <c r="M148" s="7" t="n"/>
    </row>
    <row r="149" ht="12.75" customHeight="1">
      <c r="H149" s="7" t="n"/>
      <c r="I149" s="7" t="n"/>
      <c r="J149" s="7" t="n"/>
      <c r="K149" s="7" t="n"/>
      <c r="L149" s="7" t="n"/>
      <c r="M149" s="7" t="n"/>
    </row>
    <row r="150" ht="12.75" customHeight="1">
      <c r="H150" s="7" t="n"/>
      <c r="I150" s="7" t="n"/>
      <c r="J150" s="7" t="n"/>
      <c r="K150" s="7" t="n"/>
      <c r="L150" s="7" t="n"/>
      <c r="M150" s="7" t="n"/>
    </row>
    <row r="151" ht="12.75" customHeight="1">
      <c r="H151" s="7" t="n"/>
      <c r="I151" s="7" t="n"/>
      <c r="J151" s="7" t="n"/>
      <c r="K151" s="7" t="n"/>
      <c r="L151" s="7" t="n"/>
      <c r="M151" s="7" t="n"/>
    </row>
    <row r="152" ht="12.75" customHeight="1">
      <c r="H152" s="7" t="n"/>
      <c r="I152" s="7" t="n"/>
      <c r="J152" s="7" t="n"/>
      <c r="K152" s="7" t="n"/>
      <c r="L152" s="7" t="n"/>
      <c r="M152" s="7" t="n"/>
    </row>
    <row r="153" ht="12.75" customHeight="1">
      <c r="H153" s="7" t="n"/>
      <c r="I153" s="7" t="n"/>
      <c r="J153" s="7" t="n"/>
      <c r="K153" s="7" t="n"/>
      <c r="L153" s="7" t="n"/>
      <c r="M153" s="7" t="n"/>
    </row>
    <row r="154" ht="12.75" customHeight="1">
      <c r="H154" s="7" t="n"/>
      <c r="I154" s="7" t="n"/>
      <c r="J154" s="7" t="n"/>
      <c r="K154" s="7" t="n"/>
      <c r="L154" s="7" t="n"/>
      <c r="M154" s="7" t="n"/>
    </row>
    <row r="155" ht="12.75" customHeight="1">
      <c r="H155" s="7" t="n"/>
      <c r="I155" s="7" t="n"/>
      <c r="J155" s="7" t="n"/>
      <c r="K155" s="7" t="n"/>
      <c r="L155" s="7" t="n"/>
      <c r="M155" s="7" t="n"/>
    </row>
    <row r="156" ht="12.75" customHeight="1">
      <c r="H156" s="7" t="n"/>
      <c r="I156" s="7" t="n"/>
      <c r="J156" s="7" t="n"/>
      <c r="K156" s="7" t="n"/>
      <c r="L156" s="7" t="n"/>
      <c r="M156" s="7" t="n"/>
    </row>
    <row r="157" ht="12.75" customHeight="1">
      <c r="H157" s="7" t="n"/>
      <c r="I157" s="7" t="n"/>
      <c r="J157" s="7" t="n"/>
      <c r="K157" s="7" t="n"/>
      <c r="L157" s="7" t="n"/>
      <c r="M157" s="7" t="n"/>
    </row>
    <row r="158" ht="12.75" customHeight="1">
      <c r="H158" s="7" t="n"/>
      <c r="I158" s="7" t="n"/>
      <c r="J158" s="7" t="n"/>
      <c r="K158" s="7" t="n"/>
      <c r="L158" s="7" t="n"/>
      <c r="M158" s="7" t="n"/>
    </row>
    <row r="159" ht="12.75" customHeight="1">
      <c r="H159" s="7" t="n"/>
      <c r="I159" s="7" t="n"/>
      <c r="J159" s="7" t="n"/>
      <c r="K159" s="7" t="n"/>
      <c r="L159" s="7" t="n"/>
      <c r="M159" s="7" t="n"/>
    </row>
    <row r="160" ht="12.75" customHeight="1">
      <c r="H160" s="7" t="n"/>
      <c r="I160" s="7" t="n"/>
      <c r="J160" s="7" t="n"/>
      <c r="K160" s="7" t="n"/>
      <c r="L160" s="7" t="n"/>
      <c r="M160" s="7" t="n"/>
    </row>
    <row r="161" ht="12.75" customHeight="1">
      <c r="H161" s="7" t="n"/>
      <c r="I161" s="7" t="n"/>
      <c r="J161" s="7" t="n"/>
      <c r="K161" s="7" t="n"/>
      <c r="L161" s="7" t="n"/>
      <c r="M161" s="7" t="n"/>
    </row>
    <row r="162" ht="12.75" customHeight="1">
      <c r="H162" s="7" t="n"/>
      <c r="I162" s="7" t="n"/>
      <c r="J162" s="7" t="n"/>
      <c r="K162" s="7" t="n"/>
      <c r="L162" s="7" t="n"/>
      <c r="M162" s="7" t="n"/>
    </row>
    <row r="163" ht="12.75" customHeight="1">
      <c r="H163" s="7" t="n"/>
      <c r="I163" s="7" t="n"/>
      <c r="J163" s="7" t="n"/>
      <c r="K163" s="7" t="n"/>
      <c r="L163" s="7" t="n"/>
      <c r="M163" s="7" t="n"/>
    </row>
    <row r="164" ht="12.75" customHeight="1">
      <c r="H164" s="7" t="n"/>
      <c r="I164" s="7" t="n"/>
      <c r="J164" s="7" t="n"/>
      <c r="K164" s="7" t="n"/>
      <c r="L164" s="7" t="n"/>
      <c r="M164" s="7" t="n"/>
    </row>
    <row r="165" ht="12.75" customHeight="1">
      <c r="H165" s="7" t="n"/>
      <c r="I165" s="7" t="n"/>
      <c r="J165" s="7" t="n"/>
      <c r="K165" s="7" t="n"/>
      <c r="L165" s="7" t="n"/>
      <c r="M165" s="7" t="n"/>
    </row>
    <row r="166" ht="12.75" customHeight="1">
      <c r="H166" s="7" t="n"/>
      <c r="I166" s="7" t="n"/>
      <c r="J166" s="7" t="n"/>
      <c r="K166" s="7" t="n"/>
      <c r="L166" s="7" t="n"/>
      <c r="M166" s="7" t="n"/>
    </row>
    <row r="167" ht="12.75" customHeight="1">
      <c r="H167" s="7" t="n"/>
      <c r="I167" s="7" t="n"/>
      <c r="J167" s="7" t="n"/>
      <c r="K167" s="7" t="n"/>
      <c r="L167" s="7" t="n"/>
      <c r="M167" s="7" t="n"/>
    </row>
    <row r="168" ht="12.75" customHeight="1">
      <c r="H168" s="7" t="n"/>
      <c r="I168" s="7" t="n"/>
      <c r="J168" s="7" t="n"/>
      <c r="K168" s="7" t="n"/>
      <c r="L168" s="7" t="n"/>
      <c r="M168" s="7" t="n"/>
    </row>
    <row r="169" ht="12.75" customHeight="1">
      <c r="H169" s="7" t="n"/>
      <c r="I169" s="7" t="n"/>
      <c r="J169" s="7" t="n"/>
      <c r="K169" s="7" t="n"/>
      <c r="L169" s="7" t="n"/>
      <c r="M169" s="7" t="n"/>
    </row>
    <row r="170" ht="12.75" customHeight="1">
      <c r="H170" s="7" t="n"/>
      <c r="I170" s="7" t="n"/>
      <c r="J170" s="7" t="n"/>
      <c r="K170" s="7" t="n"/>
      <c r="L170" s="7" t="n"/>
      <c r="M170" s="7" t="n"/>
    </row>
    <row r="171" ht="12.75" customHeight="1">
      <c r="H171" s="7" t="n"/>
      <c r="I171" s="7" t="n"/>
      <c r="J171" s="7" t="n"/>
      <c r="K171" s="7" t="n"/>
      <c r="L171" s="7" t="n"/>
      <c r="M171" s="7" t="n"/>
    </row>
    <row r="172" ht="12.75" customHeight="1">
      <c r="H172" s="7" t="n"/>
      <c r="I172" s="7" t="n"/>
      <c r="J172" s="7" t="n"/>
      <c r="K172" s="7" t="n"/>
      <c r="L172" s="7" t="n"/>
      <c r="M172" s="7" t="n"/>
    </row>
    <row r="173" ht="12.75" customHeight="1">
      <c r="H173" s="7" t="n"/>
      <c r="I173" s="7" t="n"/>
      <c r="J173" s="7" t="n"/>
      <c r="K173" s="7" t="n"/>
      <c r="L173" s="7" t="n"/>
      <c r="M173" s="7" t="n"/>
    </row>
    <row r="174" ht="12.75" customHeight="1">
      <c r="H174" s="7" t="n"/>
      <c r="I174" s="7" t="n"/>
      <c r="J174" s="7" t="n"/>
      <c r="K174" s="7" t="n"/>
      <c r="L174" s="7" t="n"/>
      <c r="M174" s="7" t="n"/>
    </row>
    <row r="175" ht="12.75" customHeight="1">
      <c r="H175" s="7" t="n"/>
      <c r="I175" s="7" t="n"/>
      <c r="J175" s="7" t="n"/>
      <c r="K175" s="7" t="n"/>
      <c r="L175" s="7" t="n"/>
      <c r="M175" s="7" t="n"/>
    </row>
    <row r="176" ht="12.75" customHeight="1">
      <c r="H176" s="7" t="n"/>
      <c r="I176" s="7" t="n"/>
      <c r="J176" s="7" t="n"/>
      <c r="K176" s="7" t="n"/>
      <c r="L176" s="7" t="n"/>
      <c r="M176" s="7" t="n"/>
    </row>
    <row r="177" ht="12.75" customHeight="1">
      <c r="H177" s="7" t="n"/>
      <c r="I177" s="7" t="n"/>
      <c r="J177" s="7" t="n"/>
      <c r="K177" s="7" t="n"/>
      <c r="L177" s="7" t="n"/>
      <c r="M177" s="7" t="n"/>
    </row>
    <row r="178" ht="12.75" customHeight="1">
      <c r="H178" s="7" t="n"/>
      <c r="I178" s="7" t="n"/>
      <c r="J178" s="7" t="n"/>
      <c r="K178" s="7" t="n"/>
      <c r="L178" s="7" t="n"/>
      <c r="M178" s="7" t="n"/>
    </row>
    <row r="179" ht="12.75" customHeight="1">
      <c r="H179" s="7" t="n"/>
      <c r="I179" s="7" t="n"/>
      <c r="J179" s="7" t="n"/>
      <c r="K179" s="7" t="n"/>
      <c r="L179" s="7" t="n"/>
      <c r="M179" s="7" t="n"/>
    </row>
    <row r="180" ht="12.75" customHeight="1">
      <c r="H180" s="7" t="n"/>
      <c r="I180" s="7" t="n"/>
      <c r="J180" s="7" t="n"/>
      <c r="K180" s="7" t="n"/>
      <c r="L180" s="7" t="n"/>
      <c r="M180" s="7" t="n"/>
    </row>
    <row r="181" ht="12.75" customHeight="1">
      <c r="H181" s="7" t="n"/>
      <c r="I181" s="7" t="n"/>
      <c r="J181" s="7" t="n"/>
      <c r="K181" s="7" t="n"/>
      <c r="L181" s="7" t="n"/>
      <c r="M181" s="7" t="n"/>
    </row>
    <row r="182" ht="12.75" customHeight="1">
      <c r="H182" s="7" t="n"/>
      <c r="I182" s="7" t="n"/>
      <c r="J182" s="7" t="n"/>
      <c r="K182" s="7" t="n"/>
      <c r="L182" s="7" t="n"/>
      <c r="M182" s="7" t="n"/>
    </row>
    <row r="183" ht="12.75" customHeight="1">
      <c r="H183" s="7" t="n"/>
      <c r="I183" s="7" t="n"/>
      <c r="J183" s="7" t="n"/>
      <c r="K183" s="7" t="n"/>
      <c r="L183" s="7" t="n"/>
      <c r="M183" s="7" t="n"/>
    </row>
    <row r="184" ht="12.75" customHeight="1">
      <c r="H184" s="7" t="n"/>
      <c r="I184" s="7" t="n"/>
      <c r="J184" s="7" t="n"/>
      <c r="K184" s="7" t="n"/>
      <c r="L184" s="7" t="n"/>
      <c r="M184" s="7" t="n"/>
    </row>
    <row r="185" ht="12.75" customHeight="1">
      <c r="H185" s="7" t="n"/>
      <c r="I185" s="7" t="n"/>
      <c r="J185" s="7" t="n"/>
      <c r="K185" s="7" t="n"/>
      <c r="L185" s="7" t="n"/>
      <c r="M185" s="7" t="n"/>
    </row>
    <row r="186" ht="12.75" customHeight="1">
      <c r="H186" s="7" t="n"/>
      <c r="I186" s="7" t="n"/>
      <c r="J186" s="7" t="n"/>
      <c r="K186" s="7" t="n"/>
      <c r="L186" s="7" t="n"/>
      <c r="M186" s="7" t="n"/>
    </row>
    <row r="187" ht="12.75" customHeight="1">
      <c r="H187" s="7" t="n"/>
      <c r="I187" s="7" t="n"/>
      <c r="J187" s="7" t="n"/>
      <c r="K187" s="7" t="n"/>
      <c r="L187" s="7" t="n"/>
      <c r="M187" s="7" t="n"/>
    </row>
    <row r="188" ht="12.75" customHeight="1">
      <c r="H188" s="7" t="n"/>
      <c r="I188" s="7" t="n"/>
      <c r="J188" s="7" t="n"/>
      <c r="K188" s="7" t="n"/>
      <c r="L188" s="7" t="n"/>
      <c r="M188" s="7" t="n"/>
    </row>
    <row r="189" ht="12.75" customHeight="1">
      <c r="H189" s="7" t="n"/>
      <c r="I189" s="7" t="n"/>
      <c r="J189" s="7" t="n"/>
      <c r="K189" s="7" t="n"/>
      <c r="L189" s="7" t="n"/>
      <c r="M189" s="7" t="n"/>
    </row>
    <row r="190" ht="12.75" customHeight="1">
      <c r="H190" s="7" t="n"/>
      <c r="I190" s="7" t="n"/>
      <c r="J190" s="7" t="n"/>
      <c r="K190" s="7" t="n"/>
      <c r="L190" s="7" t="n"/>
      <c r="M190" s="7" t="n"/>
    </row>
    <row r="191" ht="12.75" customHeight="1">
      <c r="H191" s="7" t="n"/>
      <c r="I191" s="7" t="n"/>
      <c r="J191" s="7" t="n"/>
      <c r="K191" s="7" t="n"/>
      <c r="L191" s="7" t="n"/>
      <c r="M191" s="7" t="n"/>
    </row>
    <row r="192" ht="12.75" customHeight="1">
      <c r="I192" s="7" t="n"/>
      <c r="J192" s="7" t="n"/>
      <c r="K192" s="7" t="n"/>
      <c r="L192" s="7" t="n"/>
      <c r="M192" s="7" t="n"/>
    </row>
    <row r="193" ht="12.75" customHeight="1">
      <c r="I193" s="7" t="n"/>
      <c r="J193" s="7" t="n"/>
      <c r="K193" s="7" t="n"/>
      <c r="L193" s="7" t="n"/>
      <c r="M193" s="7" t="n"/>
    </row>
    <row r="194" ht="12.75" customHeight="1">
      <c r="I194" s="7" t="n"/>
      <c r="J194" s="7" t="n"/>
      <c r="K194" s="7" t="n"/>
      <c r="L194" s="7" t="n"/>
      <c r="M194" s="7" t="n"/>
    </row>
    <row r="195" ht="12.75" customHeight="1">
      <c r="I195" s="7" t="n"/>
      <c r="J195" s="7" t="n"/>
      <c r="K195" s="7" t="n"/>
      <c r="L195" s="7" t="n"/>
      <c r="M195" s="7" t="n"/>
    </row>
    <row r="196" ht="12.75" customHeight="1">
      <c r="I196" s="7" t="n"/>
      <c r="J196" s="7" t="n"/>
      <c r="K196" s="7" t="n"/>
      <c r="L196" s="7" t="n"/>
      <c r="M196" s="7" t="n"/>
    </row>
    <row r="197" ht="12.75" customHeight="1">
      <c r="I197" s="7" t="n"/>
      <c r="J197" s="7" t="n"/>
      <c r="K197" s="7" t="n"/>
      <c r="L197" s="7" t="n"/>
      <c r="M197" s="7" t="n"/>
    </row>
    <row r="198" ht="12.75" customHeight="1">
      <c r="I198" s="7" t="n"/>
      <c r="J198" s="7" t="n"/>
      <c r="K198" s="7" t="n"/>
      <c r="L198" s="7" t="n"/>
      <c r="M198" s="7" t="n"/>
    </row>
    <row r="199" ht="12.75" customHeight="1">
      <c r="I199" s="7" t="n"/>
      <c r="J199" s="7" t="n"/>
      <c r="K199" s="7" t="n"/>
      <c r="L199" s="7" t="n"/>
      <c r="M199" s="7" t="n"/>
    </row>
    <row r="200" ht="12.75" customHeight="1">
      <c r="I200" s="7" t="n"/>
      <c r="J200" s="7" t="n"/>
      <c r="K200" s="7" t="n"/>
      <c r="L200" s="7" t="n"/>
      <c r="M200" s="7" t="n"/>
    </row>
    <row r="201" ht="12.75" customHeight="1">
      <c r="I201" s="7" t="n"/>
      <c r="J201" s="7" t="n"/>
      <c r="K201" s="7" t="n"/>
      <c r="L201" s="7" t="n"/>
      <c r="M201" s="7" t="n"/>
    </row>
    <row r="202" ht="12.75" customHeight="1">
      <c r="I202" s="7" t="n"/>
      <c r="J202" s="7" t="n"/>
      <c r="K202" s="7" t="n"/>
      <c r="L202" s="7" t="n"/>
      <c r="M202" s="7" t="n"/>
    </row>
    <row r="203" ht="12.75" customHeight="1">
      <c r="I203" s="7" t="n"/>
      <c r="J203" s="7" t="n"/>
      <c r="K203" s="7" t="n"/>
      <c r="L203" s="7" t="n"/>
      <c r="M203" s="7" t="n"/>
    </row>
    <row r="204" ht="12.75" customHeight="1">
      <c r="I204" s="7" t="n"/>
      <c r="J204" s="7" t="n"/>
      <c r="K204" s="7" t="n"/>
      <c r="L204" s="7" t="n"/>
      <c r="M204" s="7" t="n"/>
    </row>
    <row r="205" ht="12.75" customHeight="1">
      <c r="I205" s="7" t="n"/>
      <c r="J205" s="7" t="n"/>
      <c r="K205" s="7" t="n"/>
      <c r="L205" s="7" t="n"/>
      <c r="M205" s="7" t="n"/>
    </row>
    <row r="206" ht="12.75" customHeight="1">
      <c r="I206" s="7" t="n"/>
      <c r="J206" s="7" t="n"/>
      <c r="K206" s="7" t="n"/>
      <c r="L206" s="7" t="n"/>
      <c r="M206" s="7" t="n"/>
    </row>
    <row r="207" ht="12.75" customHeight="1">
      <c r="I207" s="7" t="n"/>
      <c r="J207" s="7" t="n"/>
      <c r="K207" s="7" t="n"/>
      <c r="L207" s="7" t="n"/>
      <c r="M207" s="7" t="n"/>
    </row>
    <row r="208" ht="12.75" customHeight="1">
      <c r="I208" s="7" t="n"/>
      <c r="J208" s="7" t="n"/>
      <c r="K208" s="7" t="n"/>
      <c r="L208" s="7" t="n"/>
      <c r="M208" s="7" t="n"/>
    </row>
    <row r="209" ht="12.75" customHeight="1">
      <c r="I209" s="7" t="n"/>
      <c r="J209" s="7" t="n"/>
      <c r="K209" s="7" t="n"/>
      <c r="L209" s="7" t="n"/>
      <c r="M209" s="7" t="n"/>
    </row>
    <row r="210" ht="12.75" customHeight="1">
      <c r="I210" s="7" t="n"/>
      <c r="J210" s="7" t="n"/>
      <c r="K210" s="7" t="n"/>
      <c r="L210" s="7" t="n"/>
      <c r="M210" s="7" t="n"/>
    </row>
    <row r="211" ht="12.75" customHeight="1">
      <c r="I211" s="7" t="n"/>
      <c r="J211" s="7" t="n"/>
      <c r="K211" s="7" t="n"/>
      <c r="L211" s="7" t="n"/>
      <c r="M211" s="7" t="n"/>
    </row>
    <row r="212" ht="12.75" customHeight="1">
      <c r="I212" s="7" t="n"/>
      <c r="J212" s="7" t="n"/>
      <c r="K212" s="7" t="n"/>
      <c r="L212" s="7" t="n"/>
      <c r="M212" s="7" t="n"/>
    </row>
    <row r="213" ht="12.75" customHeight="1">
      <c r="I213" s="7" t="n"/>
      <c r="J213" s="7" t="n"/>
      <c r="K213" s="7" t="n"/>
      <c r="L213" s="7" t="n"/>
      <c r="M213" s="7" t="n"/>
    </row>
    <row r="214" ht="12.75" customHeight="1">
      <c r="I214" s="7" t="n"/>
      <c r="J214" s="7" t="n"/>
      <c r="K214" s="7" t="n"/>
      <c r="L214" s="7" t="n"/>
      <c r="M214" s="7" t="n"/>
    </row>
    <row r="215" ht="12.75" customHeight="1">
      <c r="I215" s="7" t="n"/>
      <c r="J215" s="7" t="n"/>
      <c r="K215" s="7" t="n"/>
      <c r="L215" s="7" t="n"/>
      <c r="M215" s="7" t="n"/>
    </row>
    <row r="216" ht="12.75" customHeight="1">
      <c r="I216" s="7" t="n"/>
      <c r="J216" s="7" t="n"/>
      <c r="K216" s="7" t="n"/>
      <c r="L216" s="7" t="n"/>
      <c r="M216" s="7" t="n"/>
    </row>
    <row r="217" ht="12.75" customHeight="1">
      <c r="I217" s="7" t="n"/>
      <c r="J217" s="7" t="n"/>
      <c r="K217" s="7" t="n"/>
      <c r="L217" s="7" t="n"/>
      <c r="M217" s="7" t="n"/>
    </row>
    <row r="218" ht="12.75" customHeight="1">
      <c r="I218" s="7" t="n"/>
      <c r="J218" s="7" t="n"/>
      <c r="K218" s="7" t="n"/>
      <c r="L218" s="7" t="n"/>
      <c r="M218" s="7" t="n"/>
    </row>
    <row r="219" ht="12.75" customHeight="1">
      <c r="I219" s="7" t="n"/>
      <c r="J219" s="7" t="n"/>
      <c r="K219" s="7" t="n"/>
      <c r="L219" s="7" t="n"/>
      <c r="M219" s="7" t="n"/>
    </row>
    <row r="220" ht="12.75" customHeight="1">
      <c r="I220" s="7" t="n"/>
      <c r="J220" s="7" t="n"/>
      <c r="K220" s="7" t="n"/>
      <c r="L220" s="7" t="n"/>
      <c r="M220" s="7" t="n"/>
    </row>
    <row r="221" ht="12.75" customHeight="1">
      <c r="I221" s="7" t="n"/>
      <c r="J221" s="7" t="n"/>
      <c r="K221" s="7" t="n"/>
      <c r="L221" s="7" t="n"/>
      <c r="M221" s="7" t="n"/>
    </row>
    <row r="222" ht="12.75" customHeight="1">
      <c r="I222" s="7" t="n"/>
      <c r="J222" s="7" t="n"/>
      <c r="K222" s="7" t="n"/>
      <c r="L222" s="7" t="n"/>
      <c r="M222" s="7" t="n"/>
    </row>
    <row r="223" ht="12.75" customHeight="1">
      <c r="I223" s="7" t="n"/>
      <c r="J223" s="7" t="n"/>
      <c r="K223" s="7" t="n"/>
      <c r="L223" s="7" t="n"/>
      <c r="M223" s="7" t="n"/>
    </row>
    <row r="224" ht="12.75" customHeight="1">
      <c r="I224" s="7" t="n"/>
      <c r="J224" s="7" t="n"/>
      <c r="K224" s="7" t="n"/>
      <c r="L224" s="7" t="n"/>
      <c r="M224" s="7" t="n"/>
    </row>
    <row r="225" ht="12.75" customHeight="1">
      <c r="I225" s="7" t="n"/>
      <c r="J225" s="7" t="n"/>
      <c r="K225" s="7" t="n"/>
      <c r="L225" s="7" t="n"/>
      <c r="M225" s="7" t="n"/>
    </row>
    <row r="226" ht="12.75" customHeight="1">
      <c r="I226" s="7" t="n"/>
      <c r="J226" s="7" t="n"/>
      <c r="K226" s="7" t="n"/>
      <c r="L226" s="7" t="n"/>
      <c r="M226" s="7" t="n"/>
    </row>
    <row r="227" ht="12.75" customHeight="1">
      <c r="I227" s="7" t="n"/>
      <c r="J227" s="7" t="n"/>
      <c r="K227" s="7" t="n"/>
      <c r="L227" s="7" t="n"/>
      <c r="M227" s="7" t="n"/>
    </row>
    <row r="228" ht="12.75" customHeight="1">
      <c r="I228" s="7" t="n"/>
      <c r="J228" s="7" t="n"/>
      <c r="K228" s="7" t="n"/>
      <c r="L228" s="7" t="n"/>
      <c r="M228" s="7" t="n"/>
    </row>
    <row r="229" ht="12.75" customHeight="1">
      <c r="I229" s="7" t="n"/>
      <c r="J229" s="7" t="n"/>
      <c r="K229" s="7" t="n"/>
      <c r="L229" s="7" t="n"/>
      <c r="M229" s="7" t="n"/>
    </row>
    <row r="230" ht="12.75" customHeight="1">
      <c r="I230" s="7" t="n"/>
      <c r="J230" s="7" t="n"/>
      <c r="K230" s="7" t="n"/>
      <c r="L230" s="7" t="n"/>
      <c r="M230" s="7" t="n"/>
    </row>
    <row r="231" ht="12.75" customHeight="1">
      <c r="I231" s="7" t="n"/>
      <c r="J231" s="7" t="n"/>
      <c r="K231" s="7" t="n"/>
      <c r="L231" s="7" t="n"/>
      <c r="M231" s="7" t="n"/>
    </row>
    <row r="232" ht="12.75" customHeight="1">
      <c r="I232" s="7" t="n"/>
      <c r="J232" s="7" t="n"/>
      <c r="K232" s="7" t="n"/>
      <c r="L232" s="7" t="n"/>
      <c r="M232" s="7" t="n"/>
    </row>
    <row r="233" ht="12.75" customHeight="1">
      <c r="I233" s="7" t="n"/>
      <c r="J233" s="7" t="n"/>
      <c r="K233" s="7" t="n"/>
      <c r="L233" s="7" t="n"/>
      <c r="M233" s="7" t="n"/>
    </row>
    <row r="234" ht="12.75" customHeight="1">
      <c r="I234" s="7" t="n"/>
      <c r="J234" s="7" t="n"/>
      <c r="K234" s="7" t="n"/>
      <c r="L234" s="7" t="n"/>
      <c r="M234" s="7" t="n"/>
    </row>
    <row r="235" ht="12.75" customHeight="1">
      <c r="I235" s="7" t="n"/>
      <c r="J235" s="7" t="n"/>
      <c r="K235" s="7" t="n"/>
      <c r="L235" s="7" t="n"/>
      <c r="M235" s="7" t="n"/>
    </row>
    <row r="236" ht="12.75" customHeight="1">
      <c r="I236" s="7" t="n"/>
      <c r="J236" s="7" t="n"/>
      <c r="K236" s="7" t="n"/>
      <c r="L236" s="7" t="n"/>
      <c r="M236" s="7" t="n"/>
    </row>
    <row r="237" ht="12.75" customHeight="1">
      <c r="I237" s="7" t="n"/>
      <c r="J237" s="7" t="n"/>
      <c r="K237" s="7" t="n"/>
      <c r="L237" s="7" t="n"/>
      <c r="M237" s="7" t="n"/>
    </row>
    <row r="238" ht="12.75" customHeight="1">
      <c r="I238" s="7" t="n"/>
      <c r="J238" s="7" t="n"/>
      <c r="K238" s="7" t="n"/>
      <c r="L238" s="7" t="n"/>
      <c r="M238" s="7" t="n"/>
    </row>
    <row r="239" ht="12.75" customHeight="1">
      <c r="I239" s="7" t="n"/>
      <c r="J239" s="7" t="n"/>
      <c r="K239" s="7" t="n"/>
      <c r="L239" s="7" t="n"/>
      <c r="M239" s="7" t="n"/>
    </row>
    <row r="240" ht="12.75" customHeight="1">
      <c r="I240" s="7" t="n"/>
      <c r="J240" s="7" t="n"/>
      <c r="K240" s="7" t="n"/>
      <c r="L240" s="7" t="n"/>
      <c r="M240" s="7" t="n"/>
    </row>
    <row r="241" ht="12.75" customHeight="1">
      <c r="I241" s="7" t="n"/>
      <c r="J241" s="7" t="n"/>
      <c r="K241" s="7" t="n"/>
      <c r="L241" s="7" t="n"/>
      <c r="M241" s="7" t="n"/>
    </row>
    <row r="242" ht="12.75" customHeight="1">
      <c r="I242" s="7" t="n"/>
      <c r="J242" s="7" t="n"/>
      <c r="K242" s="7" t="n"/>
      <c r="L242" s="7" t="n"/>
      <c r="M242" s="7" t="n"/>
    </row>
    <row r="243" ht="12.75" customHeight="1">
      <c r="I243" s="7" t="n"/>
      <c r="J243" s="7" t="n"/>
      <c r="K243" s="7" t="n"/>
      <c r="L243" s="7" t="n"/>
      <c r="M243" s="7" t="n"/>
    </row>
    <row r="244" ht="12.75" customHeight="1">
      <c r="I244" s="7" t="n"/>
      <c r="J244" s="7" t="n"/>
      <c r="K244" s="7" t="n"/>
      <c r="L244" s="7" t="n"/>
      <c r="M244" s="7" t="n"/>
    </row>
    <row r="245" ht="12.75" customHeight="1">
      <c r="I245" s="7" t="n"/>
      <c r="J245" s="7" t="n"/>
      <c r="K245" s="7" t="n"/>
      <c r="L245" s="7" t="n"/>
      <c r="M245" s="7" t="n"/>
    </row>
    <row r="246" ht="12.75" customHeight="1">
      <c r="I246" s="7" t="n"/>
      <c r="J246" s="7" t="n"/>
      <c r="K246" s="7" t="n"/>
      <c r="L246" s="7" t="n"/>
      <c r="M246" s="7" t="n"/>
    </row>
    <row r="247" ht="12.75" customHeight="1">
      <c r="I247" s="7" t="n"/>
      <c r="J247" s="7" t="n"/>
      <c r="K247" s="7" t="n"/>
      <c r="L247" s="7" t="n"/>
      <c r="M247" s="7" t="n"/>
    </row>
    <row r="248" ht="12.75" customHeight="1">
      <c r="I248" s="7" t="n"/>
      <c r="J248" s="7" t="n"/>
      <c r="K248" s="7" t="n"/>
      <c r="L248" s="7" t="n"/>
      <c r="M248" s="7" t="n"/>
    </row>
    <row r="249" ht="12.75" customHeight="1">
      <c r="I249" s="7" t="n"/>
      <c r="J249" s="7" t="n"/>
      <c r="K249" s="7" t="n"/>
      <c r="L249" s="7" t="n"/>
      <c r="M249" s="7" t="n"/>
    </row>
    <row r="250" ht="12.75" customHeight="1">
      <c r="I250" s="7" t="n"/>
      <c r="J250" s="7" t="n"/>
      <c r="K250" s="7" t="n"/>
      <c r="L250" s="7" t="n"/>
      <c r="M250" s="7" t="n"/>
    </row>
    <row r="251" ht="12.75" customHeight="1">
      <c r="I251" s="7" t="n"/>
      <c r="J251" s="7" t="n"/>
      <c r="K251" s="7" t="n"/>
      <c r="L251" s="7" t="n"/>
      <c r="M251" s="7" t="n"/>
    </row>
    <row r="252" ht="12.75" customHeight="1">
      <c r="I252" s="7" t="n"/>
      <c r="J252" s="7" t="n"/>
      <c r="K252" s="7" t="n"/>
      <c r="L252" s="7" t="n"/>
      <c r="M252" s="7" t="n"/>
    </row>
    <row r="253" ht="12.75" customHeight="1">
      <c r="I253" s="7" t="n"/>
      <c r="J253" s="7" t="n"/>
      <c r="K253" s="7" t="n"/>
      <c r="L253" s="7" t="n"/>
      <c r="M253" s="7" t="n"/>
    </row>
    <row r="254" ht="12.75" customHeight="1">
      <c r="I254" s="7" t="n"/>
      <c r="J254" s="7" t="n"/>
      <c r="K254" s="7" t="n"/>
      <c r="L254" s="7" t="n"/>
      <c r="M254" s="7" t="n"/>
    </row>
    <row r="255" ht="12.75" customHeight="1">
      <c r="I255" s="7" t="n"/>
      <c r="J255" s="7" t="n"/>
      <c r="K255" s="7" t="n"/>
      <c r="L255" s="7" t="n"/>
      <c r="M255" s="7" t="n"/>
    </row>
    <row r="256" ht="12.75" customHeight="1">
      <c r="I256" s="7" t="n"/>
      <c r="J256" s="7" t="n"/>
      <c r="K256" s="7" t="n"/>
      <c r="L256" s="7" t="n"/>
      <c r="M256" s="7" t="n"/>
    </row>
    <row r="257" ht="12.75" customHeight="1">
      <c r="I257" s="7" t="n"/>
      <c r="J257" s="7" t="n"/>
      <c r="K257" s="7" t="n"/>
      <c r="L257" s="7" t="n"/>
      <c r="M257" s="7" t="n"/>
    </row>
    <row r="258" ht="12.75" customHeight="1">
      <c r="I258" s="7" t="n"/>
      <c r="J258" s="7" t="n"/>
      <c r="K258" s="7" t="n"/>
      <c r="L258" s="7" t="n"/>
      <c r="M258" s="7" t="n"/>
    </row>
    <row r="259" ht="12.75" customHeight="1">
      <c r="I259" s="7" t="n"/>
      <c r="J259" s="7" t="n"/>
      <c r="K259" s="7" t="n"/>
      <c r="L259" s="7" t="n"/>
      <c r="M259" s="7" t="n"/>
    </row>
    <row r="260" ht="12.75" customHeight="1">
      <c r="I260" s="7" t="n"/>
      <c r="J260" s="7" t="n"/>
      <c r="K260" s="7" t="n"/>
      <c r="L260" s="7" t="n"/>
      <c r="M260" s="7" t="n"/>
    </row>
    <row r="261" ht="12.75" customHeight="1">
      <c r="I261" s="7" t="n"/>
      <c r="J261" s="7" t="n"/>
      <c r="K261" s="7" t="n"/>
      <c r="L261" s="7" t="n"/>
      <c r="M261" s="7" t="n"/>
    </row>
    <row r="262" ht="12.75" customHeight="1">
      <c r="I262" s="7" t="n"/>
      <c r="J262" s="7" t="n"/>
      <c r="K262" s="7" t="n"/>
      <c r="L262" s="7" t="n"/>
      <c r="M262" s="7" t="n"/>
    </row>
    <row r="263" ht="12.75" customHeight="1">
      <c r="I263" s="7" t="n"/>
      <c r="J263" s="7" t="n"/>
      <c r="K263" s="7" t="n"/>
      <c r="L263" s="7" t="n"/>
      <c r="M263" s="7" t="n"/>
    </row>
    <row r="264" ht="12.75" customHeight="1">
      <c r="I264" s="7" t="n"/>
      <c r="J264" s="7" t="n"/>
      <c r="K264" s="7" t="n"/>
      <c r="L264" s="7" t="n"/>
      <c r="M264" s="7" t="n"/>
    </row>
    <row r="265" ht="12.75" customHeight="1">
      <c r="I265" s="7" t="n"/>
      <c r="J265" s="7" t="n"/>
      <c r="K265" s="7" t="n"/>
      <c r="L265" s="7" t="n"/>
      <c r="M265" s="7" t="n"/>
    </row>
    <row r="266" ht="12.75" customHeight="1">
      <c r="I266" s="7" t="n"/>
      <c r="J266" s="7" t="n"/>
      <c r="K266" s="7" t="n"/>
      <c r="L266" s="7" t="n"/>
      <c r="M266" s="7" t="n"/>
    </row>
    <row r="267" ht="12.75" customHeight="1">
      <c r="I267" s="7" t="n"/>
      <c r="J267" s="7" t="n"/>
      <c r="K267" s="7" t="n"/>
      <c r="L267" s="7" t="n"/>
      <c r="M267" s="7" t="n"/>
    </row>
    <row r="268" ht="12.75" customHeight="1">
      <c r="I268" s="7" t="n"/>
      <c r="J268" s="7" t="n"/>
      <c r="K268" s="7" t="n"/>
      <c r="L268" s="7" t="n"/>
      <c r="M268" s="7" t="n"/>
    </row>
    <row r="269" ht="12.75" customHeight="1">
      <c r="I269" s="7" t="n"/>
      <c r="J269" s="7" t="n"/>
      <c r="K269" s="7" t="n"/>
      <c r="L269" s="7" t="n"/>
      <c r="M269" s="7" t="n"/>
    </row>
    <row r="270" ht="12.75" customHeight="1">
      <c r="I270" s="7" t="n"/>
      <c r="J270" s="7" t="n"/>
      <c r="K270" s="7" t="n"/>
      <c r="L270" s="7" t="n"/>
      <c r="M270" s="7" t="n"/>
    </row>
    <row r="271" ht="12.75" customHeight="1">
      <c r="I271" s="7" t="n"/>
      <c r="J271" s="7" t="n"/>
      <c r="K271" s="7" t="n"/>
      <c r="L271" s="7" t="n"/>
      <c r="M271" s="7" t="n"/>
    </row>
    <row r="272" ht="12.75" customHeight="1">
      <c r="I272" s="7" t="n"/>
      <c r="J272" s="7" t="n"/>
      <c r="K272" s="7" t="n"/>
      <c r="L272" s="7" t="n"/>
      <c r="M272" s="7" t="n"/>
    </row>
    <row r="273" ht="12.75" customHeight="1">
      <c r="I273" s="7" t="n"/>
      <c r="J273" s="7" t="n"/>
      <c r="K273" s="7" t="n"/>
      <c r="L273" s="7" t="n"/>
      <c r="M273" s="7" t="n"/>
    </row>
    <row r="274" ht="12.75" customHeight="1">
      <c r="I274" s="7" t="n"/>
      <c r="J274" s="7" t="n"/>
      <c r="K274" s="7" t="n"/>
      <c r="L274" s="7" t="n"/>
      <c r="M274" s="7" t="n"/>
    </row>
    <row r="275" ht="12.75" customHeight="1">
      <c r="I275" s="7" t="n"/>
      <c r="J275" s="7" t="n"/>
      <c r="K275" s="7" t="n"/>
      <c r="L275" s="7" t="n"/>
      <c r="M275" s="7" t="n"/>
    </row>
    <row r="276" ht="12.75" customHeight="1">
      <c r="I276" s="7" t="n"/>
      <c r="J276" s="7" t="n"/>
      <c r="K276" s="7" t="n"/>
      <c r="L276" s="7" t="n"/>
      <c r="M276" s="7" t="n"/>
    </row>
    <row r="277" ht="12.75" customHeight="1">
      <c r="I277" s="7" t="n"/>
      <c r="J277" s="7" t="n"/>
      <c r="K277" s="7" t="n"/>
      <c r="L277" s="7" t="n"/>
      <c r="M277" s="7" t="n"/>
    </row>
    <row r="278" ht="12.75" customHeight="1">
      <c r="I278" s="7" t="n"/>
      <c r="J278" s="7" t="n"/>
      <c r="K278" s="7" t="n"/>
      <c r="L278" s="7" t="n"/>
      <c r="M278" s="7" t="n"/>
    </row>
    <row r="279" ht="12.75" customHeight="1">
      <c r="I279" s="7" t="n"/>
      <c r="J279" s="7" t="n"/>
      <c r="K279" s="7" t="n"/>
      <c r="L279" s="7" t="n"/>
      <c r="M279" s="7" t="n"/>
    </row>
    <row r="280" ht="12.75" customHeight="1">
      <c r="I280" s="7" t="n"/>
      <c r="J280" s="7" t="n"/>
      <c r="K280" s="7" t="n"/>
      <c r="L280" s="7" t="n"/>
      <c r="M280" s="7" t="n"/>
    </row>
    <row r="281" ht="12.75" customHeight="1">
      <c r="I281" s="7" t="n"/>
      <c r="J281" s="7" t="n"/>
      <c r="K281" s="7" t="n"/>
      <c r="L281" s="7" t="n"/>
      <c r="M281" s="7" t="n"/>
    </row>
    <row r="282" ht="12.75" customHeight="1">
      <c r="H282" s="6" t="n"/>
      <c r="I282" s="1" t="n"/>
      <c r="J282" s="7" t="n"/>
      <c r="K282" s="7" t="n"/>
      <c r="L282" s="7" t="n"/>
      <c r="M282" s="7" t="n"/>
    </row>
    <row r="283" ht="12.75" customHeight="1">
      <c r="H283" s="6" t="n"/>
      <c r="I283" s="1" t="n"/>
      <c r="J283" s="7" t="n"/>
      <c r="K283" s="7" t="n"/>
      <c r="L283" s="7" t="n"/>
      <c r="M283" s="7" t="n"/>
    </row>
    <row r="284" ht="12.75" customHeight="1">
      <c r="H284" s="6" t="n"/>
      <c r="I284" s="1" t="n"/>
      <c r="J284" s="7" t="n"/>
      <c r="K284" s="7" t="n"/>
      <c r="L284" s="7" t="n"/>
      <c r="M284" s="7" t="n"/>
    </row>
    <row r="285" ht="12.75" customHeight="1">
      <c r="H285" s="6" t="n"/>
      <c r="I285" s="1" t="n"/>
      <c r="J285" s="7" t="n"/>
      <c r="K285" s="7" t="n"/>
      <c r="L285" s="7" t="n"/>
      <c r="M285" s="7" t="n"/>
    </row>
    <row r="286" ht="12.75" customHeight="1">
      <c r="H286" s="6" t="n"/>
      <c r="I286" s="1" t="n"/>
      <c r="J286" s="7" t="n"/>
      <c r="K286" s="7" t="n"/>
      <c r="L286" s="7" t="n"/>
      <c r="M286" s="7" t="n"/>
    </row>
    <row r="287" ht="12.75" customHeight="1">
      <c r="H287" s="6" t="n"/>
      <c r="I287" s="1" t="n"/>
      <c r="J287" s="7" t="n"/>
      <c r="K287" s="7" t="n"/>
      <c r="L287" s="7" t="n"/>
      <c r="M287" s="7" t="n"/>
    </row>
    <row r="288" ht="12.75" customHeight="1">
      <c r="H288" s="6" t="n"/>
      <c r="I288" s="1" t="n"/>
      <c r="J288" s="7" t="n"/>
      <c r="K288" s="7" t="n"/>
      <c r="L288" s="7" t="n"/>
      <c r="M288" s="7" t="n"/>
    </row>
    <row r="289" ht="12.75" customHeight="1">
      <c r="H289" s="6" t="n"/>
      <c r="I289" s="1" t="n"/>
      <c r="J289" s="7" t="n"/>
      <c r="K289" s="7" t="n"/>
      <c r="L289" s="7" t="n"/>
      <c r="M289" s="7" t="n"/>
    </row>
    <row r="290" ht="12.75" customHeight="1">
      <c r="H290" s="6" t="n"/>
      <c r="I290" s="1" t="n"/>
      <c r="J290" s="7" t="n"/>
      <c r="K290" s="7" t="n"/>
      <c r="L290" s="7" t="n"/>
      <c r="M290" s="7" t="n"/>
    </row>
    <row r="291" ht="12.75" customHeight="1">
      <c r="H291" s="6" t="n"/>
      <c r="I291" s="1" t="n"/>
      <c r="J291" s="7" t="n"/>
      <c r="K291" s="7" t="n"/>
      <c r="L291" s="7" t="n"/>
      <c r="M291" s="7" t="n"/>
    </row>
    <row r="292" ht="12.75" customHeight="1">
      <c r="H292" s="6" t="n"/>
      <c r="I292" s="1" t="n"/>
      <c r="J292" s="7" t="n"/>
      <c r="K292" s="7" t="n"/>
      <c r="L292" s="7" t="n"/>
      <c r="M292" s="7" t="n"/>
    </row>
    <row r="293" ht="12.75" customHeight="1">
      <c r="H293" s="6" t="n"/>
      <c r="I293" s="1" t="n"/>
      <c r="J293" s="7" t="n"/>
      <c r="K293" s="7" t="n"/>
      <c r="L293" s="7" t="n"/>
      <c r="M293" s="7" t="n"/>
    </row>
    <row r="294" ht="12.75" customHeight="1">
      <c r="H294" s="5" t="n"/>
      <c r="I294" s="6" t="n"/>
      <c r="J294" s="1" t="n"/>
      <c r="K294" s="7" t="n"/>
      <c r="L294" s="7" t="n"/>
      <c r="M294" s="7" t="n"/>
    </row>
    <row r="295" ht="12.75" customHeight="1">
      <c r="H295" s="5" t="n"/>
      <c r="I295" s="6" t="n"/>
      <c r="J295" s="1" t="n"/>
      <c r="K295" s="7" t="n"/>
      <c r="L295" s="7" t="n"/>
      <c r="M295" s="7" t="n"/>
    </row>
    <row r="296" ht="12.75" customHeight="1">
      <c r="H296" s="5" t="n"/>
      <c r="I296" s="6" t="n"/>
      <c r="J296" s="1" t="n"/>
      <c r="K296" s="7" t="n"/>
      <c r="L296" s="7" t="n"/>
      <c r="M296" s="7" t="n"/>
    </row>
    <row r="297" ht="12.75" customHeight="1">
      <c r="H297" s="5" t="n"/>
      <c r="I297" s="6" t="n"/>
      <c r="J297" s="1" t="n"/>
      <c r="K297" s="7" t="n"/>
      <c r="L297" s="7" t="n"/>
      <c r="M297" s="7" t="n"/>
    </row>
    <row r="298" ht="12.75" customHeight="1">
      <c r="H298" s="5" t="n"/>
      <c r="I298" s="6" t="n"/>
      <c r="J298" s="1" t="n"/>
      <c r="K298" s="7" t="n"/>
      <c r="L298" s="7" t="n"/>
      <c r="M298" s="7" t="n"/>
    </row>
    <row r="299" ht="12.75" customHeight="1">
      <c r="H299" s="5" t="n"/>
      <c r="I299" s="6" t="n"/>
      <c r="J299" s="1" t="n"/>
      <c r="K299" s="7" t="n"/>
      <c r="L299" s="7" t="n"/>
      <c r="M299" s="7" t="n"/>
    </row>
    <row r="300" ht="12.75" customHeight="1">
      <c r="H300" s="5" t="n"/>
      <c r="I300" s="6" t="n"/>
      <c r="J300" s="1" t="n"/>
      <c r="K300" s="7" t="n"/>
      <c r="L300" s="7" t="n"/>
      <c r="M300" s="7" t="n"/>
    </row>
    <row r="301" ht="12.75" customHeight="1">
      <c r="H301" s="5" t="n"/>
      <c r="I301" s="6" t="n"/>
      <c r="J301" s="1" t="n"/>
      <c r="K301" s="7" t="n"/>
      <c r="L301" s="7" t="n"/>
      <c r="M301" s="7" t="n"/>
    </row>
    <row r="302" ht="12.75" customHeight="1">
      <c r="H302" s="5" t="n"/>
      <c r="I302" s="6" t="n"/>
      <c r="J302" s="1" t="n"/>
      <c r="K302" s="7" t="n"/>
      <c r="L302" s="7" t="n"/>
      <c r="M302" s="7" t="n"/>
    </row>
    <row r="303" ht="12.75" customHeight="1">
      <c r="H303" s="5" t="n"/>
      <c r="I303" s="6" t="n"/>
      <c r="J303" s="1" t="n"/>
      <c r="K303" s="7" t="n"/>
      <c r="L303" s="7" t="n"/>
      <c r="M303" s="7" t="n"/>
    </row>
    <row r="304" ht="12.75" customHeight="1">
      <c r="H304" s="5" t="n"/>
      <c r="I304" s="6" t="n"/>
      <c r="J304" s="1" t="n"/>
      <c r="K304" s="7" t="n"/>
      <c r="L304" s="7" t="n"/>
      <c r="M304" s="7" t="n"/>
    </row>
    <row r="305" ht="12.75" customHeight="1">
      <c r="H305" s="5" t="n"/>
      <c r="I305" s="6" t="n"/>
      <c r="J305" s="1" t="n"/>
      <c r="K305" s="7" t="n"/>
      <c r="L305" s="7" t="n"/>
      <c r="M305" s="7" t="n"/>
    </row>
    <row r="306" ht="12.75" customHeight="1">
      <c r="H306" s="5" t="n"/>
      <c r="I306" s="6" t="n"/>
      <c r="J306" s="1" t="n"/>
      <c r="K306" s="7" t="n"/>
      <c r="L306" s="7" t="n"/>
      <c r="M306" s="7" t="n"/>
    </row>
    <row r="307" ht="12.75" customHeight="1">
      <c r="H307" s="5" t="n"/>
      <c r="I307" s="6" t="n"/>
      <c r="J307" s="1" t="n"/>
      <c r="K307" s="7" t="n"/>
      <c r="L307" s="7" t="n"/>
      <c r="M307" s="7" t="n"/>
    </row>
    <row r="308" ht="12.75" customHeight="1">
      <c r="H308" s="5" t="n"/>
      <c r="I308" s="6" t="n"/>
      <c r="J308" s="1" t="n"/>
      <c r="K308" s="7" t="n"/>
      <c r="L308" s="7" t="n"/>
      <c r="M308" s="7" t="n"/>
    </row>
    <row r="309" ht="12.75" customHeight="1">
      <c r="H309" s="5" t="n"/>
      <c r="I309" s="6" t="n"/>
      <c r="J309" s="1" t="n"/>
      <c r="K309" s="7" t="n"/>
      <c r="L309" s="7" t="n"/>
      <c r="M309" s="7" t="n"/>
    </row>
    <row r="310" ht="12.75" customHeight="1">
      <c r="H310" s="5" t="n"/>
      <c r="I310" s="6" t="n"/>
      <c r="J310" s="1" t="n"/>
      <c r="K310" s="7" t="n"/>
      <c r="L310" s="7" t="n"/>
      <c r="M310" s="7" t="n"/>
    </row>
    <row r="311" ht="12.75" customHeight="1">
      <c r="H311" s="5" t="n"/>
      <c r="I311" s="6" t="n"/>
      <c r="J311" s="1" t="n"/>
      <c r="K311" s="7" t="n"/>
      <c r="L311" s="7" t="n"/>
      <c r="M311" s="7" t="n"/>
    </row>
    <row r="312" ht="12.75" customHeight="1">
      <c r="H312" s="5" t="n"/>
      <c r="I312" s="6" t="n"/>
      <c r="J312" s="1" t="n"/>
      <c r="K312" s="7" t="n"/>
      <c r="L312" s="7" t="n"/>
      <c r="M312" s="7" t="n"/>
    </row>
    <row r="313" ht="12.75" customHeight="1">
      <c r="H313" s="5" t="n"/>
      <c r="I313" s="6" t="n"/>
      <c r="J313" s="1" t="n"/>
      <c r="K313" s="7" t="n"/>
      <c r="L313" s="7" t="n"/>
      <c r="M313" s="7" t="n"/>
    </row>
    <row r="314" ht="12.75" customHeight="1">
      <c r="H314" s="5" t="n"/>
      <c r="I314" s="6" t="n"/>
      <c r="J314" s="1" t="n"/>
      <c r="K314" s="7" t="n"/>
      <c r="L314" s="7" t="n"/>
      <c r="M314" s="7" t="n"/>
    </row>
    <row r="315" ht="12.75" customHeight="1">
      <c r="H315" s="5" t="n"/>
      <c r="I315" s="6" t="n"/>
      <c r="J315" s="1" t="n"/>
      <c r="K315" s="7" t="n"/>
      <c r="L315" s="7" t="n"/>
      <c r="M315" s="7" t="n"/>
    </row>
    <row r="316" ht="12.75" customHeight="1">
      <c r="H316" s="5" t="n"/>
      <c r="I316" s="6" t="n"/>
      <c r="J316" s="1" t="n"/>
      <c r="K316" s="7" t="n"/>
      <c r="L316" s="7" t="n"/>
      <c r="M316" s="7" t="n"/>
    </row>
    <row r="317" ht="12.75" customHeight="1">
      <c r="H317" s="5" t="n"/>
      <c r="I317" s="6" t="n"/>
      <c r="J317" s="1" t="n"/>
      <c r="K317" s="7" t="n"/>
      <c r="L317" s="7" t="n"/>
      <c r="M317" s="7" t="n"/>
    </row>
    <row r="318" ht="12.75" customHeight="1">
      <c r="H318" s="5" t="n"/>
      <c r="I318" s="6" t="n"/>
      <c r="J318" s="1" t="n"/>
      <c r="K318" s="7" t="n"/>
      <c r="L318" s="7" t="n"/>
      <c r="M318" s="7" t="n"/>
    </row>
    <row r="319" ht="12.75" customHeight="1">
      <c r="H319" s="5" t="n"/>
      <c r="I319" s="6" t="n"/>
      <c r="J319" s="1" t="n"/>
      <c r="K319" s="7" t="n"/>
      <c r="L319" s="7" t="n"/>
      <c r="M319" s="7" t="n"/>
    </row>
    <row r="320" ht="12.75" customHeight="1">
      <c r="H320" s="5" t="n"/>
      <c r="I320" s="6" t="n"/>
      <c r="J320" s="1" t="n"/>
      <c r="K320" s="7" t="n"/>
      <c r="L320" s="7" t="n"/>
      <c r="M320" s="7" t="n"/>
    </row>
    <row r="321" ht="12.75" customHeight="1">
      <c r="H321" s="5" t="n"/>
      <c r="I321" s="6" t="n"/>
      <c r="J321" s="1" t="n"/>
      <c r="K321" s="7" t="n"/>
      <c r="L321" s="7" t="n"/>
      <c r="M321" s="7" t="n"/>
    </row>
    <row r="322" ht="12.75" customHeight="1">
      <c r="H322" s="5" t="n"/>
      <c r="I322" s="6" t="n"/>
      <c r="J322" s="1" t="n"/>
      <c r="K322" s="7" t="n"/>
      <c r="L322" s="7" t="n"/>
      <c r="M322" s="7" t="n"/>
    </row>
    <row r="323" ht="12.75" customHeight="1">
      <c r="H323" s="5" t="n"/>
      <c r="I323" s="6" t="n"/>
      <c r="J323" s="1" t="n"/>
      <c r="K323" s="7" t="n"/>
      <c r="L323" s="7" t="n"/>
      <c r="M323" s="7" t="n"/>
    </row>
    <row r="324" ht="12.75" customHeight="1">
      <c r="H324" s="5" t="n"/>
      <c r="I324" s="6" t="n"/>
      <c r="J324" s="1" t="n"/>
      <c r="K324" s="7" t="n"/>
      <c r="L324" s="7" t="n"/>
      <c r="M324" s="7" t="n"/>
    </row>
    <row r="325" ht="12.75" customHeight="1">
      <c r="H325" s="5" t="n"/>
      <c r="I325" s="6" t="n"/>
      <c r="J325" s="1" t="n"/>
      <c r="K325" s="7" t="n"/>
      <c r="L325" s="7" t="n"/>
      <c r="M325" s="7" t="n"/>
    </row>
    <row r="326" ht="12.75" customHeight="1">
      <c r="H326" s="5" t="n"/>
      <c r="I326" s="6" t="n"/>
      <c r="J326" s="1" t="n"/>
      <c r="K326" s="7" t="n"/>
      <c r="L326" s="7" t="n"/>
      <c r="M326" s="7" t="n"/>
    </row>
    <row r="327" ht="12.75" customHeight="1">
      <c r="H327" s="5" t="n"/>
      <c r="I327" s="6" t="n"/>
      <c r="J327" s="1" t="n"/>
      <c r="K327" s="7" t="n"/>
      <c r="L327" s="7" t="n"/>
      <c r="M327" s="7" t="n"/>
    </row>
    <row r="328" ht="12.75" customHeight="1">
      <c r="H328" s="5" t="n"/>
      <c r="I328" s="6" t="n"/>
      <c r="J328" s="1" t="n"/>
      <c r="K328" s="7" t="n"/>
      <c r="L328" s="7" t="n"/>
      <c r="M328" s="7" t="n"/>
    </row>
    <row r="329" ht="12.75" customHeight="1">
      <c r="H329" s="5" t="n"/>
      <c r="I329" s="6" t="n"/>
      <c r="J329" s="1" t="n"/>
      <c r="K329" s="7" t="n"/>
      <c r="L329" s="7" t="n"/>
      <c r="M329" s="7" t="n"/>
    </row>
    <row r="330" ht="12.75" customHeight="1">
      <c r="H330" s="5" t="n"/>
      <c r="I330" s="6" t="n"/>
      <c r="J330" s="1" t="n"/>
      <c r="K330" s="7" t="n"/>
      <c r="L330" s="7" t="n"/>
      <c r="M330" s="7" t="n"/>
    </row>
    <row r="331" ht="12.75" customHeight="1">
      <c r="H331" s="5" t="n"/>
      <c r="I331" s="6" t="n"/>
      <c r="J331" s="1" t="n"/>
      <c r="K331" s="7" t="n"/>
      <c r="L331" s="7" t="n"/>
      <c r="M331" s="7" t="n"/>
    </row>
    <row r="332" ht="12.75" customHeight="1">
      <c r="H332" s="5" t="n"/>
      <c r="I332" s="6" t="n"/>
      <c r="J332" s="1" t="n"/>
      <c r="K332" s="7" t="n"/>
      <c r="L332" s="7" t="n"/>
      <c r="M332" s="7" t="n"/>
    </row>
    <row r="333" ht="12.75" customHeight="1">
      <c r="H333" s="5" t="n"/>
      <c r="I333" s="6" t="n"/>
      <c r="J333" s="1" t="n"/>
      <c r="K333" s="7" t="n"/>
      <c r="L333" s="7" t="n"/>
      <c r="M333" s="7" t="n"/>
    </row>
    <row r="334" ht="12.75" customHeight="1">
      <c r="H334" s="5" t="n"/>
      <c r="I334" s="6" t="n"/>
      <c r="J334" s="1" t="n"/>
      <c r="K334" s="7" t="n"/>
      <c r="L334" s="7" t="n"/>
      <c r="M334" s="7" t="n"/>
    </row>
    <row r="335" ht="12.75" customHeight="1">
      <c r="H335" s="5" t="n"/>
      <c r="I335" s="6" t="n"/>
      <c r="J335" s="1" t="n"/>
      <c r="K335" s="7" t="n"/>
      <c r="L335" s="7" t="n"/>
      <c r="M335" s="7" t="n"/>
    </row>
    <row r="336" ht="12.75" customHeight="1">
      <c r="H336" s="5" t="n"/>
      <c r="I336" s="6" t="n"/>
      <c r="J336" s="1" t="n"/>
      <c r="K336" s="7" t="n"/>
      <c r="L336" s="7" t="n"/>
      <c r="M336" s="7" t="n"/>
    </row>
    <row r="337" ht="12.75" customHeight="1">
      <c r="H337" s="5" t="n"/>
      <c r="I337" s="6" t="n"/>
      <c r="J337" s="1" t="n"/>
      <c r="K337" s="7" t="n"/>
      <c r="L337" s="7" t="n"/>
      <c r="M337" s="7" t="n"/>
    </row>
    <row r="338" ht="12.75" customHeight="1">
      <c r="H338" s="5" t="n"/>
      <c r="I338" s="6" t="n"/>
      <c r="J338" s="1" t="n"/>
      <c r="K338" s="7" t="n"/>
      <c r="L338" s="7" t="n"/>
      <c r="M338" s="7" t="n"/>
    </row>
    <row r="339" ht="12.75" customHeight="1">
      <c r="H339" s="5" t="n"/>
      <c r="I339" s="6" t="n"/>
      <c r="J339" s="1" t="n"/>
      <c r="K339" s="7" t="n"/>
      <c r="L339" s="7" t="n"/>
      <c r="M339" s="7" t="n"/>
    </row>
    <row r="340" ht="12.75" customHeight="1">
      <c r="H340" s="5" t="n"/>
      <c r="I340" s="6" t="n"/>
      <c r="J340" s="1" t="n"/>
      <c r="K340" s="7" t="n"/>
      <c r="L340" s="7" t="n"/>
      <c r="M340" s="7" t="n"/>
    </row>
    <row r="341" ht="12.75" customHeight="1">
      <c r="H341" s="5" t="n"/>
      <c r="I341" s="6" t="n"/>
      <c r="J341" s="1" t="n"/>
      <c r="K341" s="7" t="n"/>
      <c r="L341" s="7" t="n"/>
      <c r="M341" s="7" t="n"/>
    </row>
    <row r="342" ht="12.75" customHeight="1">
      <c r="H342" s="5" t="n"/>
      <c r="I342" s="6" t="n"/>
      <c r="J342" s="1" t="n"/>
      <c r="K342" s="7" t="n"/>
      <c r="L342" s="7" t="n"/>
      <c r="M342" s="7" t="n"/>
    </row>
    <row r="343" ht="12.75" customHeight="1">
      <c r="H343" s="5" t="n"/>
      <c r="I343" s="6" t="n"/>
      <c r="J343" s="1" t="n"/>
      <c r="K343" s="7" t="n"/>
      <c r="L343" s="7" t="n"/>
      <c r="M343" s="7" t="n"/>
    </row>
    <row r="344" ht="12.75" customHeight="1">
      <c r="H344" s="5" t="n"/>
      <c r="I344" s="6" t="n"/>
      <c r="J344" s="1" t="n"/>
      <c r="K344" s="7" t="n"/>
      <c r="L344" s="7" t="n"/>
      <c r="M344" s="7" t="n"/>
    </row>
    <row r="345" ht="12.75" customHeight="1">
      <c r="H345" s="5" t="n"/>
      <c r="I345" s="6" t="n"/>
      <c r="J345" s="1" t="n"/>
      <c r="K345" s="7" t="n"/>
      <c r="L345" s="7" t="n"/>
      <c r="M345" s="7" t="n"/>
    </row>
    <row r="346" ht="12.75" customHeight="1">
      <c r="H346" s="5" t="n"/>
      <c r="I346" s="6" t="n"/>
      <c r="J346" s="1" t="n"/>
      <c r="K346" s="7" t="n"/>
      <c r="L346" s="7" t="n"/>
      <c r="M346" s="7" t="n"/>
    </row>
    <row r="347" ht="12.75" customHeight="1">
      <c r="H347" s="5" t="n"/>
      <c r="I347" s="6" t="n"/>
      <c r="J347" s="1" t="n"/>
      <c r="K347" s="7" t="n"/>
      <c r="L347" s="7" t="n"/>
      <c r="M347" s="7" t="n"/>
    </row>
    <row r="348" ht="12.75" customHeight="1">
      <c r="H348" s="5" t="n"/>
      <c r="I348" s="6" t="n"/>
      <c r="J348" s="1" t="n"/>
      <c r="K348" s="7" t="n"/>
      <c r="L348" s="7" t="n"/>
      <c r="M348" s="7" t="n"/>
    </row>
    <row r="349" ht="12.75" customHeight="1">
      <c r="H349" s="5" t="n"/>
      <c r="I349" s="6" t="n"/>
      <c r="J349" s="1" t="n"/>
      <c r="K349" s="7" t="n"/>
      <c r="L349" s="7" t="n"/>
      <c r="M349" s="7" t="n"/>
    </row>
    <row r="350" ht="12.75" customHeight="1">
      <c r="H350" s="5" t="n"/>
      <c r="I350" s="6" t="n"/>
      <c r="J350" s="1" t="n"/>
      <c r="K350" s="7" t="n"/>
      <c r="L350" s="7" t="n"/>
      <c r="M350" s="7" t="n"/>
    </row>
    <row r="351" ht="12.75" customHeight="1">
      <c r="H351" s="5" t="n"/>
      <c r="I351" s="6" t="n"/>
      <c r="J351" s="1" t="n"/>
      <c r="K351" s="7" t="n"/>
      <c r="L351" s="7" t="n"/>
      <c r="M351" s="7" t="n"/>
    </row>
    <row r="352" ht="12.75" customHeight="1">
      <c r="H352" s="5" t="n"/>
      <c r="I352" s="6" t="n"/>
      <c r="J352" s="1" t="n"/>
      <c r="K352" s="7" t="n"/>
      <c r="L352" s="7" t="n"/>
      <c r="M352" s="7" t="n"/>
    </row>
    <row r="353" ht="12.75" customHeight="1">
      <c r="H353" s="5" t="n"/>
      <c r="I353" s="6" t="n"/>
      <c r="J353" s="1" t="n"/>
      <c r="K353" s="7" t="n"/>
      <c r="L353" s="7" t="n"/>
      <c r="M353" s="7" t="n"/>
    </row>
    <row r="354" ht="12.75" customHeight="1">
      <c r="H354" s="5" t="n"/>
      <c r="I354" s="6" t="n"/>
      <c r="J354" s="1" t="n"/>
      <c r="K354" s="7" t="n"/>
      <c r="L354" s="7" t="n"/>
      <c r="M354" s="7" t="n"/>
    </row>
    <row r="355" ht="12.75" customHeight="1">
      <c r="H355" s="5" t="n"/>
      <c r="I355" s="6" t="n"/>
      <c r="J355" s="1" t="n"/>
      <c r="K355" s="7" t="n"/>
      <c r="L355" s="7" t="n"/>
      <c r="M355" s="7" t="n"/>
    </row>
    <row r="356" ht="12.75" customHeight="1">
      <c r="H356" s="5" t="n"/>
      <c r="I356" s="6" t="n"/>
      <c r="J356" s="1" t="n"/>
      <c r="K356" s="7" t="n"/>
      <c r="L356" s="7" t="n"/>
      <c r="M356" s="7" t="n"/>
    </row>
    <row r="357" ht="12.75" customHeight="1">
      <c r="H357" s="5" t="n"/>
      <c r="I357" s="6" t="n"/>
      <c r="J357" s="1" t="n"/>
      <c r="K357" s="7" t="n"/>
      <c r="L357" s="7" t="n"/>
      <c r="M357" s="7" t="n"/>
    </row>
    <row r="358" ht="12.75" customHeight="1">
      <c r="H358" s="5" t="n"/>
      <c r="I358" s="6" t="n"/>
      <c r="J358" s="1" t="n"/>
      <c r="K358" s="7" t="n"/>
      <c r="L358" s="7" t="n"/>
      <c r="M358" s="7" t="n"/>
    </row>
    <row r="359" ht="12.75" customHeight="1">
      <c r="H359" s="5" t="n"/>
      <c r="I359" s="6" t="n"/>
      <c r="J359" s="1" t="n"/>
      <c r="K359" s="7" t="n"/>
      <c r="L359" s="7" t="n"/>
      <c r="M359" s="7" t="n"/>
    </row>
    <row r="360" ht="12.75" customHeight="1">
      <c r="H360" s="5" t="n"/>
      <c r="I360" s="6" t="n"/>
      <c r="J360" s="1" t="n"/>
      <c r="K360" s="7" t="n"/>
      <c r="L360" s="7" t="n"/>
      <c r="M360" s="7" t="n"/>
    </row>
    <row r="361" ht="12.75" customHeight="1">
      <c r="H361" s="5" t="n"/>
      <c r="I361" s="6" t="n"/>
      <c r="J361" s="1" t="n"/>
      <c r="K361" s="7" t="n"/>
      <c r="L361" s="7" t="n"/>
      <c r="M361" s="7" t="n"/>
    </row>
    <row r="362" ht="12.75" customHeight="1">
      <c r="H362" s="5" t="n"/>
      <c r="I362" s="6" t="n"/>
      <c r="J362" s="1" t="n"/>
      <c r="K362" s="7" t="n"/>
      <c r="L362" s="7" t="n"/>
      <c r="M362" s="7" t="n"/>
    </row>
    <row r="363" ht="12.75" customHeight="1">
      <c r="H363" s="5" t="n"/>
      <c r="I363" s="6" t="n"/>
      <c r="J363" s="1" t="n"/>
      <c r="K363" s="7" t="n"/>
      <c r="L363" s="7" t="n"/>
      <c r="M363" s="7" t="n"/>
    </row>
    <row r="364" ht="12.75" customHeight="1">
      <c r="H364" s="5" t="n"/>
      <c r="I364" s="6" t="n"/>
      <c r="J364" s="1" t="n"/>
      <c r="K364" s="7" t="n"/>
      <c r="L364" s="7" t="n"/>
      <c r="M364" s="7" t="n"/>
    </row>
    <row r="365" ht="12.75" customHeight="1">
      <c r="H365" s="5" t="n"/>
      <c r="I365" s="6" t="n"/>
      <c r="J365" s="1" t="n"/>
      <c r="K365" s="7" t="n"/>
      <c r="L365" s="7" t="n"/>
      <c r="M365" s="7" t="n"/>
    </row>
    <row r="366" ht="12.75" customHeight="1">
      <c r="H366" s="5" t="n"/>
      <c r="I366" s="6" t="n"/>
      <c r="J366" s="1" t="n"/>
      <c r="K366" s="7" t="n"/>
      <c r="L366" s="7" t="n"/>
      <c r="M366" s="7" t="n"/>
    </row>
    <row r="367" ht="12.75" customHeight="1">
      <c r="H367" s="5" t="n"/>
      <c r="I367" s="6" t="n"/>
      <c r="J367" s="1" t="n"/>
      <c r="K367" s="7" t="n"/>
      <c r="L367" s="7" t="n"/>
      <c r="M367" s="7" t="n"/>
    </row>
    <row r="368" ht="12.75" customHeight="1">
      <c r="H368" s="5" t="n"/>
      <c r="I368" s="6" t="n"/>
      <c r="J368" s="1" t="n"/>
      <c r="K368" s="7" t="n"/>
      <c r="L368" s="7" t="n"/>
      <c r="M368" s="7" t="n"/>
    </row>
    <row r="369" ht="12.75" customHeight="1">
      <c r="H369" s="5" t="n"/>
      <c r="I369" s="6" t="n"/>
      <c r="J369" s="1" t="n"/>
      <c r="K369" s="7" t="n"/>
      <c r="L369" s="7" t="n"/>
      <c r="M369" s="7" t="n"/>
    </row>
    <row r="370" ht="12.75" customHeight="1">
      <c r="H370" s="5" t="n"/>
      <c r="I370" s="6" t="n"/>
      <c r="J370" s="1" t="n"/>
      <c r="K370" s="7" t="n"/>
      <c r="L370" s="7" t="n"/>
      <c r="M370" s="7" t="n"/>
    </row>
    <row r="371" ht="12.75" customHeight="1">
      <c r="H371" s="5" t="n"/>
      <c r="I371" s="6" t="n"/>
      <c r="J371" s="1" t="n"/>
      <c r="K371" s="7" t="n"/>
      <c r="L371" s="7" t="n"/>
      <c r="M371" s="7" t="n"/>
    </row>
    <row r="372" ht="12.75" customHeight="1">
      <c r="H372" s="5" t="n"/>
      <c r="I372" s="6" t="n"/>
      <c r="J372" s="1" t="n"/>
      <c r="K372" s="7" t="n"/>
      <c r="L372" s="7" t="n"/>
      <c r="M372" s="7" t="n"/>
    </row>
    <row r="373" ht="12.75" customHeight="1">
      <c r="H373" s="5" t="n"/>
      <c r="I373" s="6" t="n"/>
      <c r="J373" s="1" t="n"/>
      <c r="K373" s="7" t="n"/>
      <c r="L373" s="7" t="n"/>
      <c r="M373" s="7" t="n"/>
    </row>
    <row r="374" ht="12.75" customHeight="1">
      <c r="H374" s="5" t="n"/>
      <c r="I374" s="6" t="n"/>
      <c r="J374" s="1" t="n"/>
      <c r="K374" s="7" t="n"/>
      <c r="L374" s="7" t="n"/>
      <c r="M374" s="7" t="n"/>
    </row>
    <row r="375" ht="12.75" customHeight="1">
      <c r="H375" s="5" t="n"/>
      <c r="I375" s="6" t="n"/>
      <c r="J375" s="1" t="n"/>
      <c r="K375" s="7" t="n"/>
      <c r="L375" s="7" t="n"/>
      <c r="M375" s="7" t="n"/>
    </row>
    <row r="376" ht="12.75" customHeight="1">
      <c r="H376" s="5" t="n"/>
      <c r="I376" s="6" t="n"/>
      <c r="J376" s="1" t="n"/>
      <c r="K376" s="7" t="n"/>
      <c r="L376" s="7" t="n"/>
      <c r="M376" s="7" t="n"/>
    </row>
    <row r="377" ht="12.75" customHeight="1">
      <c r="H377" s="5" t="n"/>
      <c r="I377" s="6" t="n"/>
      <c r="J377" s="1" t="n"/>
      <c r="K377" s="7" t="n"/>
      <c r="L377" s="7" t="n"/>
      <c r="M377" s="7" t="n"/>
    </row>
    <row r="378" ht="12.75" customHeight="1">
      <c r="H378" s="5" t="n"/>
      <c r="I378" s="6" t="n"/>
      <c r="J378" s="1" t="n"/>
      <c r="K378" s="7" t="n"/>
      <c r="L378" s="7" t="n"/>
      <c r="M378" s="7" t="n"/>
    </row>
    <row r="379" ht="12.75" customHeight="1">
      <c r="H379" s="5" t="n"/>
      <c r="I379" s="6" t="n"/>
      <c r="J379" s="1" t="n"/>
      <c r="K379" s="7" t="n"/>
      <c r="L379" s="7" t="n"/>
      <c r="M379" s="7" t="n"/>
    </row>
    <row r="380" ht="12.75" customHeight="1">
      <c r="H380" s="5" t="n"/>
      <c r="I380" s="6" t="n"/>
      <c r="J380" s="1" t="n"/>
      <c r="K380" s="7" t="n"/>
      <c r="L380" s="7" t="n"/>
      <c r="M380" s="7" t="n"/>
    </row>
    <row r="381" ht="12.75" customHeight="1">
      <c r="H381" s="5" t="n"/>
      <c r="I381" s="6" t="n"/>
      <c r="J381" s="1" t="n"/>
      <c r="K381" s="7" t="n"/>
      <c r="L381" s="7" t="n"/>
      <c r="M381" s="7" t="n"/>
    </row>
    <row r="382" ht="12.75" customHeight="1">
      <c r="H382" s="5" t="n"/>
      <c r="I382" s="6" t="n"/>
      <c r="J382" s="1" t="n"/>
      <c r="K382" s="7" t="n"/>
      <c r="L382" s="7" t="n"/>
      <c r="M382" s="7" t="n"/>
    </row>
    <row r="383" ht="12.75" customHeight="1">
      <c r="H383" s="5" t="n"/>
      <c r="I383" s="6" t="n"/>
      <c r="J383" s="1" t="n"/>
      <c r="K383" s="7" t="n"/>
      <c r="L383" s="7" t="n"/>
      <c r="M383" s="7" t="n"/>
    </row>
    <row r="384" ht="12.75" customHeight="1">
      <c r="H384" s="5" t="n"/>
      <c r="I384" s="6" t="n"/>
      <c r="J384" s="1" t="n"/>
      <c r="K384" s="7" t="n"/>
      <c r="L384" s="7" t="n"/>
      <c r="M384" s="7" t="n"/>
    </row>
    <row r="385" ht="12.75" customHeight="1">
      <c r="H385" s="5" t="n"/>
      <c r="I385" s="6" t="n"/>
      <c r="J385" s="1" t="n"/>
      <c r="K385" s="7" t="n"/>
      <c r="L385" s="7" t="n"/>
      <c r="M385" s="7" t="n"/>
    </row>
    <row r="386" ht="12.75" customHeight="1">
      <c r="H386" s="5" t="n"/>
      <c r="I386" s="6" t="n"/>
      <c r="J386" s="1" t="n"/>
      <c r="K386" s="7" t="n"/>
      <c r="L386" s="7" t="n"/>
      <c r="M386" s="7" t="n"/>
    </row>
    <row r="387" ht="12.75" customHeight="1">
      <c r="H387" s="5" t="n"/>
      <c r="I387" s="6" t="n"/>
      <c r="J387" s="1" t="n"/>
      <c r="K387" s="7" t="n"/>
      <c r="L387" s="7" t="n"/>
      <c r="M387" s="7" t="n"/>
    </row>
    <row r="388" ht="12.75" customHeight="1">
      <c r="H388" s="5" t="n"/>
      <c r="I388" s="6" t="n"/>
      <c r="J388" s="1" t="n"/>
      <c r="K388" s="7" t="n"/>
      <c r="L388" s="7" t="n"/>
      <c r="M388" s="7" t="n"/>
    </row>
    <row r="389" ht="12.75" customHeight="1">
      <c r="H389" s="5" t="n"/>
      <c r="I389" s="6" t="n"/>
      <c r="J389" s="1" t="n"/>
      <c r="K389" s="7" t="n"/>
      <c r="L389" s="7" t="n"/>
      <c r="M389" s="7" t="n"/>
    </row>
    <row r="390" ht="12.75" customHeight="1">
      <c r="H390" s="5" t="n"/>
      <c r="I390" s="6" t="n"/>
      <c r="J390" s="1" t="n"/>
      <c r="K390" s="7" t="n"/>
      <c r="L390" s="7" t="n"/>
      <c r="M390" s="7" t="n"/>
    </row>
    <row r="391" ht="12.75" customHeight="1">
      <c r="H391" s="5" t="n"/>
      <c r="I391" s="6" t="n"/>
      <c r="J391" s="1" t="n"/>
      <c r="K391" s="7" t="n"/>
      <c r="L391" s="7" t="n"/>
      <c r="M391" s="7" t="n"/>
    </row>
    <row r="392" ht="12.75" customHeight="1">
      <c r="H392" s="5" t="n"/>
      <c r="I392" s="6" t="n"/>
      <c r="J392" s="1" t="n"/>
      <c r="K392" s="7" t="n"/>
      <c r="L392" s="7" t="n"/>
      <c r="M392" s="7" t="n"/>
    </row>
    <row r="393" ht="12.75" customHeight="1">
      <c r="H393" s="5" t="n"/>
      <c r="I393" s="6" t="n"/>
      <c r="J393" s="1" t="n"/>
      <c r="K393" s="7" t="n"/>
      <c r="L393" s="7" t="n"/>
      <c r="M393" s="7" t="n"/>
    </row>
    <row r="394" ht="12.75" customHeight="1">
      <c r="H394" s="5" t="n"/>
      <c r="I394" s="6" t="n"/>
      <c r="J394" s="1" t="n"/>
      <c r="K394" s="7" t="n"/>
      <c r="L394" s="7" t="n"/>
      <c r="M394" s="7" t="n"/>
    </row>
    <row r="395" ht="12.75" customHeight="1">
      <c r="H395" s="5" t="n"/>
      <c r="I395" s="6" t="n"/>
      <c r="J395" s="1" t="n"/>
      <c r="K395" s="7" t="n"/>
      <c r="L395" s="7" t="n"/>
      <c r="M395" s="7" t="n"/>
    </row>
    <row r="396" ht="12.75" customHeight="1">
      <c r="H396" s="5" t="n"/>
      <c r="I396" s="6" t="n"/>
      <c r="J396" s="1" t="n"/>
      <c r="K396" s="7" t="n"/>
      <c r="L396" s="7" t="n"/>
      <c r="M396" s="7" t="n"/>
    </row>
    <row r="397" ht="12.75" customHeight="1">
      <c r="H397" s="5" t="n"/>
      <c r="I397" s="6" t="n"/>
      <c r="J397" s="1" t="n"/>
      <c r="K397" s="7" t="n"/>
      <c r="L397" s="7" t="n"/>
      <c r="M397" s="7" t="n"/>
    </row>
    <row r="398" ht="12.75" customHeight="1">
      <c r="H398" s="5" t="n"/>
      <c r="I398" s="6" t="n"/>
      <c r="J398" s="1" t="n"/>
      <c r="K398" s="7" t="n"/>
      <c r="L398" s="7" t="n"/>
      <c r="M398" s="7" t="n"/>
    </row>
    <row r="399" ht="12.75" customHeight="1">
      <c r="H399" s="5" t="n"/>
      <c r="I399" s="6" t="n"/>
      <c r="J399" s="1" t="n"/>
      <c r="K399" s="7" t="n"/>
      <c r="L399" s="7" t="n"/>
      <c r="M399" s="7" t="n"/>
    </row>
    <row r="400" ht="12.75" customHeight="1">
      <c r="H400" s="5" t="n"/>
      <c r="I400" s="6" t="n"/>
      <c r="J400" s="1" t="n"/>
      <c r="K400" s="7" t="n"/>
      <c r="L400" s="7" t="n"/>
      <c r="M400" s="7" t="n"/>
    </row>
    <row r="401" ht="12.75" customHeight="1">
      <c r="H401" s="5" t="n"/>
      <c r="I401" s="6" t="n"/>
      <c r="J401" s="1" t="n"/>
      <c r="K401" s="7" t="n"/>
      <c r="L401" s="7" t="n"/>
      <c r="M401" s="7" t="n"/>
    </row>
    <row r="402" ht="12.75" customHeight="1">
      <c r="H402" s="5" t="n"/>
      <c r="I402" s="6" t="n"/>
      <c r="J402" s="1" t="n"/>
      <c r="K402" s="7" t="n"/>
      <c r="L402" s="7" t="n"/>
      <c r="M402" s="7" t="n"/>
    </row>
    <row r="403" ht="12.75" customHeight="1">
      <c r="H403" s="5" t="n"/>
      <c r="I403" s="6" t="n"/>
      <c r="J403" s="1" t="n"/>
      <c r="K403" s="7" t="n"/>
      <c r="L403" s="7" t="n"/>
      <c r="M403" s="7" t="n"/>
    </row>
    <row r="404" ht="12.75" customHeight="1">
      <c r="H404" s="5" t="n"/>
      <c r="I404" s="6" t="n"/>
      <c r="J404" s="1" t="n"/>
      <c r="K404" s="7" t="n"/>
      <c r="L404" s="7" t="n"/>
      <c r="M404" s="7" t="n"/>
    </row>
    <row r="405" ht="12.75" customHeight="1">
      <c r="H405" s="5" t="n"/>
      <c r="I405" s="6" t="n"/>
      <c r="J405" s="1" t="n"/>
      <c r="K405" s="7" t="n"/>
      <c r="L405" s="7" t="n"/>
      <c r="M405" s="7" t="n"/>
    </row>
    <row r="406" ht="12.75" customHeight="1">
      <c r="H406" s="5" t="n"/>
      <c r="I406" s="6" t="n"/>
      <c r="J406" s="1" t="n"/>
      <c r="K406" s="7" t="n"/>
      <c r="L406" s="7" t="n"/>
      <c r="M406" s="7" t="n"/>
    </row>
    <row r="407" ht="12.75" customHeight="1">
      <c r="H407" s="5" t="n"/>
      <c r="I407" s="6" t="n"/>
      <c r="J407" s="1" t="n"/>
      <c r="K407" s="7" t="n"/>
      <c r="L407" s="7" t="n"/>
      <c r="M407" s="7" t="n"/>
    </row>
    <row r="408" ht="12.75" customHeight="1">
      <c r="H408" s="5" t="n"/>
      <c r="I408" s="6" t="n"/>
      <c r="J408" s="1" t="n"/>
      <c r="K408" s="7" t="n"/>
      <c r="L408" s="7" t="n"/>
      <c r="M408" s="7" t="n"/>
    </row>
    <row r="409" ht="12.75" customHeight="1">
      <c r="H409" s="5" t="n"/>
      <c r="I409" s="6" t="n"/>
      <c r="J409" s="1" t="n"/>
      <c r="K409" s="7" t="n"/>
      <c r="L409" s="7" t="n"/>
      <c r="M409" s="7" t="n"/>
    </row>
    <row r="410" ht="12.75" customHeight="1">
      <c r="H410" s="5" t="n"/>
      <c r="I410" s="6" t="n"/>
      <c r="J410" s="1" t="n"/>
      <c r="K410" s="7" t="n"/>
      <c r="L410" s="7" t="n"/>
      <c r="M410" s="7" t="n"/>
    </row>
    <row r="411" ht="12.75" customHeight="1">
      <c r="H411" s="5" t="n"/>
      <c r="I411" s="6" t="n"/>
      <c r="J411" s="1" t="n"/>
      <c r="K411" s="7" t="n"/>
      <c r="L411" s="7" t="n"/>
      <c r="M411" s="7" t="n"/>
    </row>
    <row r="412" ht="12.75" customHeight="1">
      <c r="H412" s="5" t="n"/>
      <c r="I412" s="6" t="n"/>
      <c r="J412" s="1" t="n"/>
      <c r="K412" s="7" t="n"/>
      <c r="L412" s="7" t="n"/>
      <c r="M412" s="7" t="n"/>
    </row>
    <row r="413" ht="12.75" customHeight="1">
      <c r="H413" s="5" t="n"/>
      <c r="I413" s="6" t="n"/>
      <c r="J413" s="1" t="n"/>
      <c r="K413" s="7" t="n"/>
      <c r="L413" s="7" t="n"/>
      <c r="M413" s="7" t="n"/>
    </row>
    <row r="414" ht="12.75" customHeight="1">
      <c r="H414" s="5" t="n"/>
      <c r="I414" s="6" t="n"/>
      <c r="J414" s="1" t="n"/>
      <c r="K414" s="7" t="n"/>
      <c r="L414" s="7" t="n"/>
      <c r="M414" s="7" t="n"/>
    </row>
    <row r="415" ht="12.75" customHeight="1">
      <c r="H415" s="5" t="n"/>
      <c r="I415" s="6" t="n"/>
      <c r="J415" s="1" t="n"/>
      <c r="K415" s="7" t="n"/>
      <c r="L415" s="7" t="n"/>
      <c r="M415" s="7" t="n"/>
    </row>
    <row r="416" ht="12.75" customHeight="1">
      <c r="H416" s="5" t="n"/>
      <c r="I416" s="6" t="n"/>
      <c r="J416" s="1" t="n"/>
      <c r="K416" s="7" t="n"/>
      <c r="L416" s="7" t="n"/>
      <c r="M416" s="7" t="n"/>
    </row>
    <row r="417" ht="12.75" customHeight="1">
      <c r="H417" s="5" t="n"/>
      <c r="I417" s="6" t="n"/>
      <c r="J417" s="1" t="n"/>
      <c r="K417" s="7" t="n"/>
      <c r="L417" s="7" t="n"/>
      <c r="M417" s="7" t="n"/>
    </row>
    <row r="418" ht="12.75" customHeight="1">
      <c r="H418" s="5" t="n"/>
      <c r="I418" s="6" t="n"/>
      <c r="J418" s="1" t="n"/>
      <c r="K418" s="7" t="n"/>
      <c r="L418" s="7" t="n"/>
      <c r="M418" s="7" t="n"/>
    </row>
    <row r="419" ht="12.75" customHeight="1">
      <c r="H419" s="5" t="n"/>
      <c r="I419" s="6" t="n"/>
      <c r="J419" s="1" t="n"/>
      <c r="K419" s="7" t="n"/>
      <c r="L419" s="7" t="n"/>
      <c r="M419" s="7" t="n"/>
    </row>
    <row r="420" ht="12.75" customHeight="1">
      <c r="H420" s="5" t="n"/>
      <c r="I420" s="6" t="n"/>
      <c r="J420" s="1" t="n"/>
      <c r="K420" s="7" t="n"/>
      <c r="L420" s="7" t="n"/>
      <c r="M420" s="7" t="n"/>
    </row>
    <row r="421" ht="12.75" customHeight="1">
      <c r="H421" s="5" t="n"/>
      <c r="I421" s="6" t="n"/>
      <c r="J421" s="1" t="n"/>
      <c r="K421" s="7" t="n"/>
      <c r="L421" s="7" t="n"/>
      <c r="M421" s="7" t="n"/>
    </row>
    <row r="422" ht="12.75" customHeight="1">
      <c r="H422" s="5" t="n"/>
      <c r="I422" s="6" t="n"/>
      <c r="J422" s="1" t="n"/>
      <c r="K422" s="7" t="n"/>
      <c r="L422" s="7" t="n"/>
      <c r="M422" s="7" t="n"/>
    </row>
    <row r="423" ht="12.75" customHeight="1">
      <c r="H423" s="5" t="n"/>
      <c r="I423" s="6" t="n"/>
      <c r="J423" s="1" t="n"/>
      <c r="K423" s="7" t="n"/>
      <c r="L423" s="7" t="n"/>
      <c r="M423" s="7" t="n"/>
    </row>
    <row r="424" ht="12.75" customHeight="1">
      <c r="H424" s="5" t="n"/>
      <c r="I424" s="6" t="n"/>
      <c r="J424" s="1" t="n"/>
      <c r="K424" s="7" t="n"/>
      <c r="L424" s="7" t="n"/>
      <c r="M424" s="7" t="n"/>
    </row>
    <row r="425" ht="12.75" customHeight="1">
      <c r="H425" s="5" t="n"/>
      <c r="I425" s="6" t="n"/>
      <c r="J425" s="1" t="n"/>
      <c r="K425" s="7" t="n"/>
      <c r="L425" s="7" t="n"/>
      <c r="M425" s="7" t="n"/>
    </row>
    <row r="426" ht="12.75" customHeight="1">
      <c r="H426" s="5" t="n"/>
      <c r="I426" s="6" t="n"/>
      <c r="J426" s="1" t="n"/>
      <c r="K426" s="7" t="n"/>
      <c r="L426" s="7" t="n"/>
      <c r="M426" s="7" t="n"/>
    </row>
    <row r="427" ht="12.75" customHeight="1">
      <c r="H427" s="5" t="n"/>
      <c r="I427" s="6" t="n"/>
      <c r="J427" s="1" t="n"/>
      <c r="K427" s="7" t="n"/>
      <c r="L427" s="7" t="n"/>
      <c r="M427" s="7" t="n"/>
    </row>
    <row r="428" ht="12.75" customHeight="1">
      <c r="H428" s="5" t="n"/>
      <c r="I428" s="6" t="n"/>
      <c r="J428" s="1" t="n"/>
      <c r="K428" s="7" t="n"/>
      <c r="L428" s="7" t="n"/>
      <c r="M428" s="7" t="n"/>
    </row>
    <row r="429" ht="12.75" customHeight="1">
      <c r="H429" s="5" t="n"/>
      <c r="I429" s="6" t="n"/>
      <c r="J429" s="1" t="n"/>
      <c r="K429" s="7" t="n"/>
      <c r="L429" s="7" t="n"/>
      <c r="M429" s="7" t="n"/>
    </row>
    <row r="430" ht="12.75" customHeight="1">
      <c r="H430" s="5" t="n"/>
      <c r="I430" s="6" t="n"/>
      <c r="J430" s="1" t="n"/>
      <c r="K430" s="7" t="n"/>
      <c r="L430" s="7" t="n"/>
      <c r="M430" s="7" t="n"/>
    </row>
    <row r="431" ht="12.75" customHeight="1">
      <c r="H431" s="5" t="n"/>
      <c r="I431" s="6" t="n"/>
      <c r="J431" s="1" t="n"/>
      <c r="K431" s="7" t="n"/>
      <c r="L431" s="7" t="n"/>
      <c r="M431" s="7" t="n"/>
    </row>
    <row r="432" ht="12.75" customHeight="1">
      <c r="H432" s="5" t="n"/>
      <c r="I432" s="6" t="n"/>
      <c r="J432" s="1" t="n"/>
      <c r="K432" s="7" t="n"/>
      <c r="L432" s="7" t="n"/>
      <c r="M432" s="7" t="n"/>
    </row>
    <row r="433" ht="12.75" customHeight="1">
      <c r="H433" s="5" t="n"/>
      <c r="I433" s="6" t="n"/>
      <c r="J433" s="1" t="n"/>
      <c r="K433" s="7" t="n"/>
      <c r="L433" s="7" t="n"/>
      <c r="M433" s="7" t="n"/>
    </row>
    <row r="434" ht="12.75" customHeight="1">
      <c r="H434" s="5" t="n"/>
      <c r="I434" s="6" t="n"/>
      <c r="J434" s="1" t="n"/>
      <c r="K434" s="7" t="n"/>
      <c r="L434" s="7" t="n"/>
      <c r="M434" s="7" t="n"/>
    </row>
    <row r="435" ht="12.75" customHeight="1">
      <c r="H435" s="5" t="n"/>
      <c r="I435" s="6" t="n"/>
      <c r="J435" s="1" t="n"/>
      <c r="K435" s="7" t="n"/>
      <c r="L435" s="7" t="n"/>
      <c r="M435" s="7" t="n"/>
    </row>
    <row r="436" ht="12.75" customHeight="1">
      <c r="H436" s="5" t="n"/>
      <c r="I436" s="6" t="n"/>
      <c r="J436" s="1" t="n"/>
      <c r="K436" s="7" t="n"/>
      <c r="L436" s="7" t="n"/>
      <c r="M436" s="7" t="n"/>
    </row>
    <row r="437" ht="12.75" customHeight="1">
      <c r="H437" s="5" t="n"/>
      <c r="I437" s="6" t="n"/>
      <c r="J437" s="1" t="n"/>
      <c r="K437" s="7" t="n"/>
      <c r="L437" s="7" t="n"/>
      <c r="M437" s="7" t="n"/>
    </row>
    <row r="438" ht="12.75" customHeight="1">
      <c r="H438" s="5" t="n"/>
      <c r="I438" s="6" t="n"/>
      <c r="J438" s="1" t="n"/>
      <c r="K438" s="7" t="n"/>
      <c r="L438" s="7" t="n"/>
      <c r="M438" s="7" t="n"/>
    </row>
    <row r="439" ht="12.75" customHeight="1">
      <c r="H439" s="5" t="n"/>
      <c r="I439" s="6" t="n"/>
      <c r="J439" s="1" t="n"/>
      <c r="K439" s="7" t="n"/>
      <c r="L439" s="7" t="n"/>
      <c r="M439" s="7" t="n"/>
    </row>
    <row r="440" ht="12.75" customHeight="1">
      <c r="H440" s="5" t="n"/>
      <c r="I440" s="6" t="n"/>
      <c r="J440" s="1" t="n"/>
      <c r="K440" s="7" t="n"/>
      <c r="L440" s="7" t="n"/>
      <c r="M440" s="7" t="n"/>
    </row>
    <row r="441" ht="12.75" customHeight="1">
      <c r="H441" s="5" t="n"/>
      <c r="I441" s="6" t="n"/>
      <c r="J441" s="1" t="n"/>
      <c r="K441" s="7" t="n"/>
      <c r="L441" s="7" t="n"/>
      <c r="M441" s="7" t="n"/>
    </row>
    <row r="442" ht="12.75" customHeight="1">
      <c r="H442" s="5" t="n"/>
      <c r="I442" s="6" t="n"/>
      <c r="J442" s="1" t="n"/>
      <c r="K442" s="7" t="n"/>
      <c r="L442" s="7" t="n"/>
      <c r="M442" s="7" t="n"/>
    </row>
    <row r="443" ht="12.75" customHeight="1">
      <c r="H443" s="5" t="n"/>
      <c r="I443" s="6" t="n"/>
      <c r="J443" s="1" t="n"/>
      <c r="K443" s="7" t="n"/>
      <c r="L443" s="7" t="n"/>
      <c r="M443" s="7" t="n"/>
    </row>
    <row r="444" ht="12.75" customHeight="1">
      <c r="H444" s="5" t="n"/>
      <c r="I444" s="6" t="n"/>
      <c r="J444" s="1" t="n"/>
      <c r="K444" s="7" t="n"/>
      <c r="L444" s="7" t="n"/>
      <c r="M444" s="7" t="n"/>
    </row>
    <row r="445" ht="12.75" customHeight="1">
      <c r="H445" s="5" t="n"/>
      <c r="I445" s="6" t="n"/>
      <c r="J445" s="1" t="n"/>
      <c r="K445" s="7" t="n"/>
      <c r="L445" s="7" t="n"/>
      <c r="M445" s="7" t="n"/>
    </row>
    <row r="446" ht="12.75" customHeight="1">
      <c r="H446" s="5" t="n"/>
      <c r="I446" s="6" t="n"/>
      <c r="J446" s="1" t="n"/>
      <c r="K446" s="7" t="n"/>
      <c r="L446" s="7" t="n"/>
      <c r="M446" s="7" t="n"/>
    </row>
    <row r="447" ht="12.75" customHeight="1">
      <c r="H447" s="5" t="n"/>
      <c r="I447" s="6" t="n"/>
      <c r="J447" s="1" t="n"/>
      <c r="K447" s="7" t="n"/>
      <c r="L447" s="7" t="n"/>
      <c r="M447" s="7" t="n"/>
    </row>
    <row r="448" ht="12.75" customHeight="1">
      <c r="H448" s="5" t="n"/>
      <c r="I448" s="6" t="n"/>
      <c r="J448" s="1" t="n"/>
      <c r="K448" s="7" t="n"/>
      <c r="L448" s="7" t="n"/>
      <c r="M448" s="7" t="n"/>
    </row>
    <row r="449" ht="12.75" customHeight="1">
      <c r="H449" s="5" t="n"/>
      <c r="I449" s="6" t="n"/>
      <c r="J449" s="1" t="n"/>
      <c r="K449" s="7" t="n"/>
      <c r="L449" s="7" t="n"/>
      <c r="M449" s="7" t="n"/>
    </row>
    <row r="450" ht="12.75" customHeight="1">
      <c r="H450" s="5" t="n"/>
      <c r="I450" s="6" t="n"/>
      <c r="J450" s="1" t="n"/>
      <c r="K450" s="7" t="n"/>
      <c r="L450" s="7" t="n"/>
      <c r="M450" s="7" t="n"/>
    </row>
    <row r="451" ht="12.75" customHeight="1">
      <c r="H451" s="5" t="n"/>
      <c r="I451" s="6" t="n"/>
      <c r="J451" s="1" t="n"/>
      <c r="K451" s="7" t="n"/>
      <c r="L451" s="7" t="n"/>
      <c r="M451" s="7" t="n"/>
    </row>
    <row r="452" ht="12.75" customHeight="1">
      <c r="H452" s="5" t="n"/>
      <c r="I452" s="6" t="n"/>
      <c r="J452" s="1" t="n"/>
      <c r="K452" s="7" t="n"/>
      <c r="L452" s="7" t="n"/>
      <c r="M452" s="7" t="n"/>
    </row>
    <row r="453" ht="12.75" customHeight="1">
      <c r="H453" s="5" t="n"/>
      <c r="I453" s="6" t="n"/>
      <c r="J453" s="1" t="n"/>
      <c r="K453" s="7" t="n"/>
      <c r="L453" s="7" t="n"/>
      <c r="M453" s="7" t="n"/>
    </row>
    <row r="454" ht="12.75" customHeight="1">
      <c r="H454" s="5" t="n"/>
      <c r="I454" s="6" t="n"/>
      <c r="J454" s="1" t="n"/>
      <c r="K454" s="7" t="n"/>
      <c r="L454" s="7" t="n"/>
      <c r="M454" s="7" t="n"/>
    </row>
    <row r="455" ht="12.75" customHeight="1">
      <c r="H455" s="5" t="n"/>
      <c r="I455" s="6" t="n"/>
      <c r="J455" s="1" t="n"/>
      <c r="K455" s="7" t="n"/>
      <c r="L455" s="7" t="n"/>
      <c r="M455" s="7" t="n"/>
    </row>
    <row r="456" ht="12.75" customHeight="1">
      <c r="H456" s="5" t="n"/>
      <c r="I456" s="6" t="n"/>
      <c r="J456" s="1" t="n"/>
      <c r="K456" s="7" t="n"/>
      <c r="L456" s="7" t="n"/>
      <c r="M456" s="7" t="n"/>
    </row>
    <row r="457" ht="12.75" customHeight="1">
      <c r="H457" s="5" t="n"/>
      <c r="I457" s="6" t="n"/>
      <c r="J457" s="1" t="n"/>
      <c r="K457" s="7" t="n"/>
      <c r="L457" s="7" t="n"/>
      <c r="M457" s="7" t="n"/>
    </row>
    <row r="458" ht="12.75" customHeight="1">
      <c r="H458" s="5" t="n"/>
      <c r="I458" s="6" t="n"/>
      <c r="J458" s="1" t="n"/>
      <c r="K458" s="7" t="n"/>
      <c r="L458" s="7" t="n"/>
      <c r="M458" s="7" t="n"/>
    </row>
    <row r="459" ht="12.75" customHeight="1">
      <c r="H459" s="5" t="n"/>
      <c r="I459" s="6" t="n"/>
      <c r="J459" s="1" t="n"/>
      <c r="K459" s="7" t="n"/>
      <c r="L459" s="7" t="n"/>
      <c r="M459" s="7" t="n"/>
    </row>
    <row r="460" ht="12.75" customHeight="1">
      <c r="H460" s="5" t="n"/>
      <c r="I460" s="6" t="n"/>
      <c r="J460" s="1" t="n"/>
      <c r="K460" s="7" t="n"/>
      <c r="L460" s="7" t="n"/>
      <c r="M460" s="7" t="n"/>
    </row>
    <row r="461" ht="12.75" customHeight="1">
      <c r="H461" s="5" t="n"/>
      <c r="I461" s="6" t="n"/>
      <c r="J461" s="1" t="n"/>
      <c r="K461" s="7" t="n"/>
      <c r="L461" s="7" t="n"/>
      <c r="M461" s="7" t="n"/>
    </row>
    <row r="462" ht="12.75" customHeight="1">
      <c r="H462" s="5" t="n"/>
      <c r="I462" s="6" t="n"/>
      <c r="J462" s="1" t="n"/>
      <c r="K462" s="7" t="n"/>
      <c r="L462" s="7" t="n"/>
      <c r="M462" s="7" t="n"/>
    </row>
    <row r="463" ht="12.75" customHeight="1">
      <c r="H463" s="5" t="n"/>
      <c r="I463" s="6" t="n"/>
      <c r="J463" s="1" t="n"/>
      <c r="K463" s="7" t="n"/>
      <c r="L463" s="7" t="n"/>
      <c r="M463" s="7" t="n"/>
    </row>
    <row r="464" ht="12.75" customHeight="1">
      <c r="H464" s="5" t="n"/>
      <c r="I464" s="6" t="n"/>
      <c r="J464" s="1" t="n"/>
      <c r="K464" s="7" t="n"/>
      <c r="L464" s="7" t="n"/>
      <c r="M464" s="7" t="n"/>
    </row>
    <row r="465" ht="12.75" customHeight="1">
      <c r="H465" s="5" t="n"/>
      <c r="I465" s="6" t="n"/>
      <c r="J465" s="1" t="n"/>
      <c r="K465" s="7" t="n"/>
      <c r="L465" s="7" t="n"/>
      <c r="M465" s="7" t="n"/>
    </row>
    <row r="466" ht="12.75" customHeight="1">
      <c r="H466" s="5" t="n"/>
      <c r="I466" s="6" t="n"/>
      <c r="J466" s="1" t="n"/>
      <c r="K466" s="7" t="n"/>
      <c r="L466" s="7" t="n"/>
      <c r="M466" s="7" t="n"/>
    </row>
    <row r="467" ht="12.75" customHeight="1">
      <c r="H467" s="5" t="n"/>
      <c r="I467" s="6" t="n"/>
      <c r="J467" s="1" t="n"/>
      <c r="K467" s="7" t="n"/>
      <c r="L467" s="7" t="n"/>
      <c r="M467" s="7" t="n"/>
    </row>
    <row r="468" ht="12.75" customHeight="1">
      <c r="H468" s="5" t="n"/>
      <c r="I468" s="6" t="n"/>
      <c r="J468" s="1" t="n"/>
      <c r="K468" s="7" t="n"/>
      <c r="L468" s="7" t="n"/>
      <c r="M468" s="7" t="n"/>
    </row>
    <row r="469" ht="12.75" customHeight="1">
      <c r="H469" s="5" t="n"/>
      <c r="I469" s="6" t="n"/>
      <c r="J469" s="1" t="n"/>
      <c r="K469" s="7" t="n"/>
      <c r="L469" s="7" t="n"/>
      <c r="M469" s="7" t="n"/>
    </row>
    <row r="470" ht="12.75" customHeight="1">
      <c r="H470" s="5" t="n"/>
      <c r="I470" s="6" t="n"/>
      <c r="J470" s="1" t="n"/>
      <c r="K470" s="7" t="n"/>
      <c r="L470" s="7" t="n"/>
      <c r="M470" s="7" t="n"/>
    </row>
    <row r="471" ht="12.75" customHeight="1">
      <c r="H471" s="5" t="n"/>
      <c r="I471" s="6" t="n"/>
      <c r="J471" s="1" t="n"/>
      <c r="K471" s="7" t="n"/>
      <c r="L471" s="7" t="n"/>
      <c r="M471" s="7" t="n"/>
    </row>
    <row r="472" ht="12.75" customHeight="1">
      <c r="H472" s="5" t="n"/>
      <c r="I472" s="6" t="n"/>
      <c r="J472" s="1" t="n"/>
      <c r="K472" s="7" t="n"/>
      <c r="L472" s="7" t="n"/>
      <c r="M472" s="7" t="n"/>
    </row>
    <row r="473" ht="12.75" customHeight="1">
      <c r="H473" s="5" t="n"/>
      <c r="I473" s="6" t="n"/>
      <c r="J473" s="1" t="n"/>
      <c r="K473" s="7" t="n"/>
      <c r="L473" s="7" t="n"/>
      <c r="M473" s="7" t="n"/>
    </row>
    <row r="474" ht="12.75" customHeight="1">
      <c r="H474" s="5" t="n"/>
      <c r="I474" s="6" t="n"/>
      <c r="J474" s="1" t="n"/>
      <c r="K474" s="7" t="n"/>
      <c r="L474" s="7" t="n"/>
      <c r="M474" s="7" t="n"/>
    </row>
    <row r="475" ht="12.75" customHeight="1">
      <c r="H475" s="5" t="n"/>
      <c r="I475" s="6" t="n"/>
      <c r="J475" s="1" t="n"/>
      <c r="K475" s="7" t="n"/>
      <c r="L475" s="7" t="n"/>
      <c r="M475" s="7" t="n"/>
    </row>
    <row r="476" ht="12.75" customHeight="1">
      <c r="H476" s="5" t="n"/>
      <c r="I476" s="6" t="n"/>
      <c r="J476" s="1" t="n"/>
      <c r="K476" s="7" t="n"/>
      <c r="L476" s="7" t="n"/>
      <c r="M476" s="7" t="n"/>
    </row>
    <row r="477" ht="12.75" customHeight="1">
      <c r="H477" s="5" t="n"/>
      <c r="I477" s="6" t="n"/>
      <c r="J477" s="1" t="n"/>
      <c r="K477" s="7" t="n"/>
      <c r="L477" s="7" t="n"/>
      <c r="M477" s="7" t="n"/>
    </row>
    <row r="478" ht="12.75" customHeight="1">
      <c r="H478" s="5" t="n"/>
      <c r="I478" s="6" t="n"/>
      <c r="J478" s="1" t="n"/>
      <c r="K478" s="7" t="n"/>
      <c r="L478" s="7" t="n"/>
      <c r="M478" s="7" t="n"/>
    </row>
    <row r="479" ht="12.75" customHeight="1">
      <c r="H479" s="5" t="n"/>
      <c r="I479" s="6" t="n"/>
      <c r="J479" s="1" t="n"/>
      <c r="K479" s="7" t="n"/>
      <c r="L479" s="7" t="n"/>
      <c r="M479" s="7" t="n"/>
    </row>
    <row r="480" ht="12.75" customHeight="1">
      <c r="H480" s="5" t="n"/>
      <c r="I480" s="6" t="n"/>
      <c r="J480" s="1" t="n"/>
      <c r="K480" s="7" t="n"/>
      <c r="L480" s="7" t="n"/>
      <c r="M480" s="7" t="n"/>
    </row>
    <row r="481" ht="12.75" customHeight="1">
      <c r="H481" s="5" t="n"/>
      <c r="I481" s="6" t="n"/>
      <c r="J481" s="1" t="n"/>
      <c r="K481" s="7" t="n"/>
      <c r="L481" s="7" t="n"/>
      <c r="M481" s="7" t="n"/>
    </row>
    <row r="482" ht="12.75" customHeight="1">
      <c r="H482" s="5" t="n"/>
      <c r="I482" s="6" t="n"/>
      <c r="J482" s="1" t="n"/>
      <c r="K482" s="7" t="n"/>
      <c r="L482" s="7" t="n"/>
      <c r="M482" s="7" t="n"/>
    </row>
    <row r="483" ht="12.75" customHeight="1">
      <c r="H483" s="5" t="n"/>
      <c r="I483" s="6" t="n"/>
      <c r="J483" s="1" t="n"/>
      <c r="K483" s="7" t="n"/>
      <c r="L483" s="7" t="n"/>
      <c r="M483" s="7" t="n"/>
    </row>
    <row r="484" ht="12.75" customHeight="1">
      <c r="H484" s="5" t="n"/>
      <c r="I484" s="6" t="n"/>
      <c r="J484" s="1" t="n"/>
      <c r="K484" s="7" t="n"/>
      <c r="L484" s="7" t="n"/>
      <c r="M484" s="7" t="n"/>
    </row>
    <row r="485" ht="12.75" customHeight="1">
      <c r="H485" s="5" t="n"/>
      <c r="I485" s="6" t="n"/>
      <c r="J485" s="1" t="n"/>
      <c r="K485" s="7" t="n"/>
      <c r="L485" s="7" t="n"/>
      <c r="M485" s="7" t="n"/>
    </row>
    <row r="486" ht="12.75" customHeight="1">
      <c r="H486" s="5" t="n"/>
      <c r="I486" s="6" t="n"/>
      <c r="J486" s="1" t="n"/>
      <c r="K486" s="7" t="n"/>
      <c r="L486" s="7" t="n"/>
      <c r="M486" s="7" t="n"/>
    </row>
    <row r="487" ht="12.75" customHeight="1">
      <c r="H487" s="5" t="n"/>
      <c r="I487" s="6" t="n"/>
      <c r="J487" s="1" t="n"/>
      <c r="K487" s="7" t="n"/>
      <c r="L487" s="7" t="n"/>
      <c r="M487" s="7" t="n"/>
    </row>
    <row r="488" ht="12.75" customHeight="1">
      <c r="H488" s="5" t="n"/>
      <c r="I488" s="6" t="n"/>
      <c r="J488" s="1" t="n"/>
      <c r="K488" s="7" t="n"/>
      <c r="L488" s="7" t="n"/>
      <c r="M488" s="7" t="n"/>
    </row>
    <row r="489" ht="12.75" customHeight="1">
      <c r="H489" s="5" t="n"/>
      <c r="I489" s="6" t="n"/>
      <c r="J489" s="1" t="n"/>
      <c r="K489" s="7" t="n"/>
      <c r="L489" s="7" t="n"/>
      <c r="M489" s="7" t="n"/>
    </row>
    <row r="490" ht="12.75" customHeight="1">
      <c r="H490" s="5" t="n"/>
      <c r="I490" s="6" t="n"/>
      <c r="J490" s="1" t="n"/>
      <c r="K490" s="7" t="n"/>
      <c r="L490" s="7" t="n"/>
      <c r="M490" s="7" t="n"/>
    </row>
    <row r="491" ht="12.75" customHeight="1">
      <c r="H491" s="5" t="n"/>
      <c r="I491" s="6" t="n"/>
      <c r="J491" s="1" t="n"/>
      <c r="K491" s="7" t="n"/>
      <c r="L491" s="7" t="n"/>
      <c r="M491" s="7" t="n"/>
    </row>
    <row r="492" ht="12.75" customHeight="1">
      <c r="H492" s="5" t="n"/>
      <c r="I492" s="6" t="n"/>
      <c r="J492" s="1" t="n"/>
      <c r="K492" s="7" t="n"/>
      <c r="L492" s="7" t="n"/>
      <c r="M492" s="7" t="n"/>
    </row>
    <row r="493" ht="12.75" customHeight="1">
      <c r="H493" s="5" t="n"/>
      <c r="I493" s="6" t="n"/>
      <c r="J493" s="1" t="n"/>
      <c r="K493" s="7" t="n"/>
      <c r="L493" s="7" t="n"/>
      <c r="M493" s="7" t="n"/>
    </row>
    <row r="494" ht="12.75" customHeight="1">
      <c r="H494" s="5" t="n"/>
      <c r="I494" s="6" t="n"/>
      <c r="J494" s="1" t="n"/>
      <c r="K494" s="7" t="n"/>
      <c r="L494" s="7" t="n"/>
      <c r="M494" s="7" t="n"/>
    </row>
    <row r="495" ht="12.75" customHeight="1">
      <c r="H495" s="5" t="n"/>
      <c r="I495" s="6" t="n"/>
      <c r="J495" s="1" t="n"/>
      <c r="K495" s="7" t="n"/>
      <c r="L495" s="7" t="n"/>
      <c r="M495" s="7" t="n"/>
    </row>
    <row r="496" ht="12.75" customHeight="1">
      <c r="H496" s="5" t="n"/>
      <c r="I496" s="6" t="n"/>
      <c r="J496" s="1" t="n"/>
      <c r="K496" s="7" t="n"/>
      <c r="L496" s="7" t="n"/>
      <c r="M496" s="7" t="n"/>
    </row>
    <row r="497" ht="12.75" customHeight="1">
      <c r="H497" s="5" t="n"/>
      <c r="I497" s="6" t="n"/>
      <c r="J497" s="1" t="n"/>
      <c r="K497" s="7" t="n"/>
      <c r="L497" s="7" t="n"/>
      <c r="M497" s="7" t="n"/>
    </row>
    <row r="498" ht="12.75" customHeight="1">
      <c r="H498" s="5" t="n"/>
      <c r="I498" s="6" t="n"/>
      <c r="J498" s="1" t="n"/>
      <c r="K498" s="7" t="n"/>
      <c r="L498" s="7" t="n"/>
      <c r="M498" s="7" t="n"/>
    </row>
    <row r="499" ht="12.75" customHeight="1">
      <c r="H499" s="5" t="n"/>
      <c r="I499" s="6" t="n"/>
      <c r="J499" s="1" t="n"/>
      <c r="K499" s="7" t="n"/>
      <c r="L499" s="7" t="n"/>
      <c r="M499" s="7" t="n"/>
    </row>
    <row r="500" ht="12.75" customHeight="1">
      <c r="H500" s="5" t="n"/>
      <c r="I500" s="6" t="n"/>
      <c r="J500" s="1" t="n"/>
      <c r="K500" s="7" t="n"/>
      <c r="L500" s="7" t="n"/>
      <c r="M500" s="7" t="n"/>
    </row>
    <row r="501" ht="12.75" customHeight="1">
      <c r="H501" s="5" t="n"/>
      <c r="I501" s="6" t="n"/>
      <c r="J501" s="1" t="n"/>
      <c r="K501" s="7" t="n"/>
      <c r="L501" s="7" t="n"/>
      <c r="M501" s="7" t="n"/>
    </row>
    <row r="502" ht="12.75" customHeight="1">
      <c r="H502" s="6" t="n"/>
      <c r="I502" s="6" t="n"/>
      <c r="J502" s="1" t="n"/>
      <c r="K502" s="7" t="n"/>
      <c r="L502" s="7" t="n"/>
      <c r="M502" s="7" t="n"/>
    </row>
    <row r="503" ht="12.75" customHeight="1">
      <c r="H503" s="6" t="n"/>
      <c r="I503" s="6" t="n"/>
      <c r="J503" s="1" t="n"/>
      <c r="K503" s="7" t="n"/>
      <c r="L503" s="7" t="n"/>
      <c r="M503" s="7" t="n"/>
    </row>
    <row r="504" ht="12.75" customHeight="1">
      <c r="H504" s="6" t="n"/>
      <c r="I504" s="6" t="n"/>
      <c r="J504" s="1" t="n"/>
      <c r="K504" s="7" t="n"/>
      <c r="L504" s="7" t="n"/>
      <c r="M504" s="7" t="n"/>
    </row>
    <row r="505" ht="12.75" customHeight="1">
      <c r="H505" s="6" t="n"/>
      <c r="I505" s="6" t="n"/>
      <c r="J505" s="1" t="n"/>
      <c r="K505" s="7" t="n"/>
      <c r="L505" s="7" t="n"/>
      <c r="M505" s="7" t="n"/>
    </row>
    <row r="506" ht="12.75" customHeight="1">
      <c r="H506" s="6" t="n"/>
      <c r="I506" s="6" t="n"/>
      <c r="J506" s="1" t="n"/>
      <c r="K506" s="7" t="n"/>
      <c r="L506" s="7" t="n"/>
      <c r="M506" s="7" t="n"/>
    </row>
    <row r="507" ht="12.75" customHeight="1">
      <c r="H507" s="6" t="n"/>
      <c r="I507" s="6" t="n"/>
      <c r="J507" s="1" t="n"/>
      <c r="K507" s="7" t="n"/>
      <c r="L507" s="7" t="n"/>
      <c r="M507" s="7" t="n"/>
    </row>
    <row r="508" ht="12.75" customHeight="1">
      <c r="H508" s="6" t="n"/>
      <c r="I508" s="6" t="n"/>
      <c r="J508" s="1" t="n"/>
      <c r="K508" s="7" t="n"/>
      <c r="L508" s="7" t="n"/>
      <c r="M508" s="7" t="n"/>
    </row>
    <row r="509" ht="12.75" customHeight="1">
      <c r="H509" s="6" t="n"/>
      <c r="I509" s="6" t="n"/>
      <c r="J509" s="1" t="n"/>
      <c r="K509" s="7" t="n"/>
      <c r="L509" s="7" t="n"/>
      <c r="M509" s="7" t="n"/>
    </row>
    <row r="510" ht="12.75" customHeight="1">
      <c r="H510" s="6" t="n"/>
      <c r="I510" s="6" t="n"/>
      <c r="J510" s="1" t="n"/>
      <c r="K510" s="7" t="n"/>
      <c r="L510" s="7" t="n"/>
      <c r="M510" s="7" t="n"/>
    </row>
    <row r="511" ht="12.75" customHeight="1">
      <c r="H511" s="6" t="n"/>
      <c r="I511" s="6" t="n"/>
      <c r="J511" s="1" t="n"/>
      <c r="K511" s="7" t="n"/>
      <c r="L511" s="7" t="n"/>
      <c r="M511" s="7" t="n"/>
    </row>
    <row r="512" ht="12.75" customHeight="1">
      <c r="H512" s="6" t="n"/>
      <c r="I512" s="6" t="n"/>
      <c r="J512" s="1" t="n"/>
      <c r="K512" s="7" t="n"/>
      <c r="L512" s="7" t="n"/>
      <c r="M512" s="7" t="n"/>
    </row>
    <row r="513" ht="12.75" customHeight="1">
      <c r="H513" s="6" t="n"/>
      <c r="I513" s="6" t="n"/>
      <c r="J513" s="1" t="n"/>
      <c r="K513" s="7" t="n"/>
      <c r="L513" s="7" t="n"/>
      <c r="M513" s="7" t="n"/>
    </row>
    <row r="514" ht="12.75" customHeight="1">
      <c r="H514" s="6" t="n"/>
      <c r="I514" s="6" t="n"/>
      <c r="J514" s="1" t="n"/>
      <c r="K514" s="7" t="n"/>
      <c r="L514" s="7" t="n"/>
      <c r="M514" s="7" t="n"/>
    </row>
    <row r="515" ht="12.75" customHeight="1">
      <c r="H515" s="6" t="n"/>
      <c r="I515" s="6" t="n"/>
      <c r="J515" s="1" t="n"/>
      <c r="K515" s="7" t="n"/>
      <c r="L515" s="7" t="n"/>
      <c r="M515" s="7" t="n"/>
    </row>
    <row r="516" ht="12.75" customHeight="1">
      <c r="H516" s="6" t="n"/>
      <c r="I516" s="6" t="n"/>
      <c r="J516" s="1" t="n"/>
      <c r="K516" s="7" t="n"/>
      <c r="L516" s="7" t="n"/>
      <c r="M516" s="7" t="n"/>
    </row>
    <row r="517" ht="12.75" customHeight="1">
      <c r="H517" s="6" t="n"/>
      <c r="I517" s="6" t="n"/>
      <c r="J517" s="1" t="n"/>
      <c r="K517" s="7" t="n"/>
      <c r="L517" s="7" t="n"/>
      <c r="M517" s="7" t="n"/>
    </row>
    <row r="518" ht="12.75" customHeight="1">
      <c r="H518" s="6" t="n"/>
      <c r="I518" s="6" t="n"/>
      <c r="J518" s="1" t="n"/>
      <c r="K518" s="7" t="n"/>
      <c r="L518" s="7" t="n"/>
      <c r="M518" s="7" t="n"/>
    </row>
    <row r="519" ht="12.75" customHeight="1">
      <c r="H519" s="6" t="n"/>
      <c r="I519" s="1" t="n"/>
      <c r="J519" s="7" t="n"/>
      <c r="K519" s="7" t="n"/>
      <c r="L519" s="7" t="n"/>
      <c r="M519" s="7" t="n"/>
    </row>
    <row r="520" ht="12.75" customHeight="1">
      <c r="H520" s="6" t="n"/>
      <c r="I520" s="1" t="n"/>
      <c r="J520" s="7" t="n"/>
      <c r="K520" s="7" t="n"/>
      <c r="L520" s="7" t="n"/>
      <c r="M520" s="7" t="n"/>
    </row>
    <row r="521" ht="12.75" customHeight="1">
      <c r="H521" s="6" t="n"/>
      <c r="I521" s="1" t="n"/>
      <c r="J521" s="7" t="n"/>
      <c r="K521" s="7" t="n"/>
      <c r="L521" s="7" t="n"/>
      <c r="M521" s="7" t="n"/>
    </row>
    <row r="522" ht="12.75" customHeight="1">
      <c r="H522" s="5" t="n"/>
      <c r="I522" s="1" t="n"/>
      <c r="J522" s="7" t="n"/>
      <c r="K522" s="7" t="n"/>
      <c r="L522" s="7" t="n"/>
      <c r="M522" s="7" t="n"/>
    </row>
    <row r="523" ht="12.75" customHeight="1">
      <c r="H523" s="5" t="n"/>
      <c r="I523" s="1" t="n"/>
      <c r="J523" s="7" t="n"/>
      <c r="K523" s="7" t="n"/>
      <c r="L523" s="7" t="n"/>
      <c r="M523" s="7" t="n"/>
    </row>
    <row r="524" ht="12.75" customHeight="1">
      <c r="H524" s="5" t="n"/>
      <c r="I524" s="1" t="n"/>
      <c r="J524" s="7" t="n"/>
      <c r="K524" s="7" t="n"/>
      <c r="L524" s="7" t="n"/>
      <c r="M524" s="7" t="n"/>
    </row>
    <row r="525" ht="12.75" customHeight="1">
      <c r="H525" s="5" t="n"/>
      <c r="I525" s="1" t="n"/>
      <c r="J525" s="7" t="n"/>
      <c r="K525" s="7" t="n"/>
      <c r="L525" s="7" t="n"/>
      <c r="M525" s="7" t="n"/>
    </row>
    <row r="526" ht="12.75" customHeight="1">
      <c r="H526" s="5" t="n"/>
      <c r="I526" s="1" t="n"/>
      <c r="J526" s="7" t="n"/>
      <c r="K526" s="7" t="n"/>
      <c r="L526" s="7" t="n"/>
      <c r="M526" s="7" t="n"/>
    </row>
    <row r="527" ht="12.75" customHeight="1">
      <c r="H527" s="5" t="n"/>
      <c r="I527" s="1" t="n"/>
      <c r="J527" s="7" t="n"/>
      <c r="K527" s="7" t="n"/>
      <c r="L527" s="7" t="n"/>
      <c r="M527" s="7" t="n"/>
    </row>
    <row r="528" ht="12.75" customHeight="1">
      <c r="H528" s="5" t="n"/>
      <c r="I528" s="1" t="n"/>
      <c r="J528" s="7" t="n"/>
      <c r="K528" s="7" t="n"/>
      <c r="L528" s="7" t="n"/>
      <c r="M528" s="7" t="n"/>
    </row>
    <row r="529" ht="12.75" customHeight="1">
      <c r="H529" s="5" t="n"/>
      <c r="I529" s="1" t="n"/>
      <c r="J529" s="7" t="n"/>
      <c r="K529" s="7" t="n"/>
      <c r="L529" s="7" t="n"/>
      <c r="M529" s="7" t="n"/>
    </row>
    <row r="530" ht="12.75" customHeight="1">
      <c r="H530" s="5" t="n"/>
      <c r="I530" s="1" t="n"/>
      <c r="J530" s="7" t="n"/>
      <c r="K530" s="7" t="n"/>
      <c r="L530" s="7" t="n"/>
      <c r="M530" s="7" t="n"/>
    </row>
    <row r="531" ht="12.75" customHeight="1">
      <c r="H531" s="5" t="n"/>
      <c r="I531" s="1" t="n"/>
      <c r="J531" s="7" t="n"/>
      <c r="K531" s="7" t="n"/>
      <c r="L531" s="7" t="n"/>
      <c r="M531" s="7" t="n"/>
    </row>
    <row r="532" ht="12.75" customHeight="1">
      <c r="I532" s="1" t="n"/>
      <c r="J532" s="7" t="n"/>
      <c r="K532" s="7" t="n"/>
      <c r="L532" s="7" t="n"/>
      <c r="M532" s="7" t="n"/>
    </row>
    <row r="533" ht="12.75" customHeight="1">
      <c r="I533" s="1" t="n"/>
      <c r="J533" s="7" t="n"/>
      <c r="K533" s="7" t="n"/>
      <c r="L533" s="7" t="n"/>
      <c r="M533" s="7" t="n"/>
    </row>
    <row r="534" ht="12.75" customHeight="1">
      <c r="I534" s="1" t="n"/>
      <c r="J534" s="7" t="n"/>
      <c r="K534" s="7" t="n"/>
      <c r="L534" s="7" t="n"/>
      <c r="M534" s="7" t="n"/>
    </row>
    <row r="535" ht="12.75" customHeight="1">
      <c r="I535" s="1" t="n"/>
      <c r="J535" s="7" t="n"/>
      <c r="K535" s="7" t="n"/>
      <c r="L535" s="7" t="n"/>
      <c r="M535" s="7" t="n"/>
    </row>
    <row r="536" ht="12.75" customHeight="1">
      <c r="I536" s="1" t="n"/>
      <c r="J536" s="7" t="n"/>
      <c r="K536" s="7" t="n"/>
      <c r="L536" s="7" t="n"/>
      <c r="M536" s="7" t="n"/>
    </row>
    <row r="537" ht="12.75" customHeight="1">
      <c r="I537" s="1" t="n"/>
      <c r="J537" s="7" t="n"/>
      <c r="K537" s="7" t="n"/>
      <c r="L537" s="7" t="n"/>
      <c r="M537" s="7" t="n"/>
    </row>
    <row r="538" ht="12.75" customHeight="1">
      <c r="I538" s="1" t="n"/>
      <c r="J538" s="7" t="n"/>
      <c r="K538" s="7" t="n"/>
      <c r="L538" s="7" t="n"/>
      <c r="M538" s="7" t="n"/>
    </row>
    <row r="539" ht="12.75" customHeight="1">
      <c r="I539" s="6" t="n"/>
      <c r="J539" s="1" t="n"/>
      <c r="K539" s="7" t="n"/>
      <c r="L539" s="7" t="n"/>
      <c r="M539" s="7" t="n"/>
    </row>
    <row r="540" ht="12.75" customHeight="1">
      <c r="I540" s="6" t="n"/>
      <c r="J540" s="1" t="n"/>
      <c r="K540" s="7" t="n"/>
      <c r="L540" s="7" t="n"/>
      <c r="M540" s="7" t="n"/>
    </row>
    <row r="541" ht="12.75" customHeight="1">
      <c r="I541" s="6" t="n"/>
      <c r="J541" s="1" t="n"/>
      <c r="K541" s="7" t="n"/>
      <c r="L541" s="7" t="n"/>
      <c r="M541" s="7" t="n"/>
    </row>
    <row r="542" ht="12.75" customHeight="1">
      <c r="I542" s="6" t="n"/>
      <c r="J542" s="1" t="n"/>
      <c r="K542" s="7" t="n"/>
      <c r="L542" s="7" t="n"/>
      <c r="M542" s="7" t="n"/>
    </row>
    <row r="543" ht="12.75" customHeight="1">
      <c r="I543" s="6" t="n"/>
      <c r="J543" s="1" t="n"/>
      <c r="K543" s="7" t="n"/>
      <c r="L543" s="7" t="n"/>
      <c r="M543" s="7" t="n"/>
    </row>
    <row r="544" ht="12.75" customHeight="1">
      <c r="I544" s="6" t="n"/>
      <c r="J544" s="1" t="n"/>
      <c r="K544" s="7" t="n"/>
      <c r="L544" s="7" t="n"/>
      <c r="M544" s="7" t="n"/>
    </row>
    <row r="545" ht="12.75" customHeight="1">
      <c r="I545" s="6" t="n"/>
      <c r="J545" s="1" t="n"/>
      <c r="K545" s="7" t="n"/>
      <c r="L545" s="7" t="n"/>
      <c r="M545" s="7" t="n"/>
    </row>
    <row r="546" ht="12.75" customHeight="1">
      <c r="I546" s="6" t="n"/>
      <c r="J546" s="1" t="n"/>
      <c r="K546" s="7" t="n"/>
      <c r="L546" s="7" t="n"/>
      <c r="M546" s="7" t="n"/>
    </row>
    <row r="547" ht="12.75" customHeight="1">
      <c r="I547" s="6" t="n"/>
      <c r="J547" s="1" t="n"/>
      <c r="K547" s="7" t="n"/>
      <c r="L547" s="7" t="n"/>
      <c r="M547" s="7" t="n"/>
    </row>
    <row r="548" ht="12.75" customHeight="1">
      <c r="I548" s="6" t="n"/>
      <c r="J548" s="1" t="n"/>
      <c r="K548" s="7" t="n"/>
      <c r="L548" s="7" t="n"/>
      <c r="M548" s="7" t="n"/>
    </row>
    <row r="549" ht="12.75" customHeight="1">
      <c r="I549" s="5" t="n"/>
      <c r="J549" s="6" t="n"/>
      <c r="K549" s="1" t="n"/>
      <c r="L549" s="7" t="n"/>
      <c r="M549" s="7" t="n"/>
    </row>
    <row r="550" ht="12.75" customHeight="1">
      <c r="I550" s="5" t="n"/>
      <c r="J550" s="6" t="n"/>
      <c r="K550" s="1" t="n"/>
      <c r="L550" s="7" t="n"/>
      <c r="M550" s="7" t="n"/>
    </row>
    <row r="551" ht="12.75" customHeight="1">
      <c r="I551" s="5" t="n"/>
      <c r="J551" s="6" t="n"/>
      <c r="K551" s="1" t="n"/>
      <c r="L551" s="7" t="n"/>
      <c r="M551" s="7" t="n"/>
    </row>
    <row r="552" ht="12.75" customHeight="1">
      <c r="I552" s="5" t="n"/>
      <c r="J552" s="6" t="n"/>
      <c r="K552" s="1" t="n"/>
      <c r="L552" s="7" t="n"/>
      <c r="M552" s="7" t="n"/>
    </row>
    <row r="553" ht="12.75" customHeight="1">
      <c r="I553" s="5" t="n"/>
      <c r="J553" s="6" t="n"/>
      <c r="K553" s="1" t="n"/>
      <c r="L553" s="7" t="n"/>
      <c r="M553" s="7" t="n"/>
    </row>
    <row r="554" ht="12.75" customHeight="1">
      <c r="I554" s="5" t="n"/>
      <c r="J554" s="6" t="n"/>
      <c r="K554" s="1" t="n"/>
      <c r="L554" s="7" t="n"/>
      <c r="M554" s="7" t="n"/>
    </row>
    <row r="555" ht="12.75" customHeight="1">
      <c r="I555" s="5" t="n"/>
      <c r="J555" s="6" t="n"/>
      <c r="K555" s="1" t="n"/>
      <c r="L555" s="7" t="n"/>
      <c r="M555" s="7" t="n"/>
    </row>
    <row r="556" ht="12.75" customHeight="1">
      <c r="I556" s="5" t="n"/>
      <c r="J556" s="6" t="n"/>
      <c r="K556" s="1" t="n"/>
      <c r="L556" s="7" t="n"/>
      <c r="M556" s="7" t="n"/>
    </row>
    <row r="557" ht="12.75" customHeight="1">
      <c r="I557" s="5" t="n"/>
      <c r="J557" s="6" t="n"/>
      <c r="K557" s="1" t="n"/>
      <c r="L557" s="7" t="n"/>
      <c r="M557" s="7" t="n"/>
    </row>
    <row r="558" ht="12.75" customHeight="1">
      <c r="I558" s="5" t="n"/>
      <c r="J558" s="6" t="n"/>
      <c r="K558" s="1" t="n"/>
      <c r="L558" s="7" t="n"/>
      <c r="M558" s="7" t="n"/>
    </row>
    <row r="559" ht="12.75" customHeight="1">
      <c r="I559" s="5" t="n"/>
      <c r="J559" s="6" t="n"/>
      <c r="K559" s="1" t="n"/>
      <c r="L559" s="7" t="n"/>
      <c r="M559" s="7" t="n"/>
    </row>
    <row r="560" ht="12.75" customHeight="1">
      <c r="I560" s="5" t="n"/>
      <c r="J560" s="6" t="n"/>
      <c r="K560" s="1" t="n"/>
      <c r="L560" s="7" t="n"/>
      <c r="M560" s="7" t="n"/>
    </row>
    <row r="561" ht="12.75" customHeight="1">
      <c r="I561" s="492" t="n"/>
      <c r="J561" s="5" t="n"/>
      <c r="K561" s="6" t="n"/>
      <c r="L561" s="1" t="n"/>
      <c r="M561" s="7" t="n"/>
    </row>
    <row r="562" ht="12.75" customHeight="1">
      <c r="M562" s="7" t="n"/>
    </row>
    <row r="563" ht="12.75" customHeight="1">
      <c r="M563" s="7" t="n"/>
    </row>
    <row r="564" ht="12.75" customHeight="1">
      <c r="M564" s="7" t="n"/>
    </row>
    <row r="565" ht="12.75" customHeight="1">
      <c r="M565" s="7" t="n"/>
    </row>
  </sheetData>
  <mergeCells count="64">
    <mergeCell ref="O7:P7"/>
    <mergeCell ref="D89:D98"/>
    <mergeCell ref="O3:P3"/>
    <mergeCell ref="A30:A44"/>
    <mergeCell ref="B62:B63"/>
    <mergeCell ref="C30:C44"/>
    <mergeCell ref="B12:B13"/>
    <mergeCell ref="B68:B79"/>
    <mergeCell ref="D99:D100"/>
    <mergeCell ref="O10:P10"/>
    <mergeCell ref="O6:P6"/>
    <mergeCell ref="D16:D24"/>
    <mergeCell ref="D25:D27"/>
    <mergeCell ref="N1:P1"/>
    <mergeCell ref="B55:B57"/>
    <mergeCell ref="D68:D79"/>
    <mergeCell ref="D55:D57"/>
    <mergeCell ref="A68:A79"/>
    <mergeCell ref="B58:B59"/>
    <mergeCell ref="D102:D106"/>
    <mergeCell ref="B14:B15"/>
    <mergeCell ref="B45:B47"/>
    <mergeCell ref="A12:A13"/>
    <mergeCell ref="O5:P5"/>
    <mergeCell ref="C12:C13"/>
    <mergeCell ref="C68:C79"/>
    <mergeCell ref="A99:A100"/>
    <mergeCell ref="C99:C100"/>
    <mergeCell ref="B25:B27"/>
    <mergeCell ref="C89:C98"/>
    <mergeCell ref="D12:D13"/>
    <mergeCell ref="A102:A106"/>
    <mergeCell ref="B28:B29"/>
    <mergeCell ref="C102:C106"/>
    <mergeCell ref="D28:D29"/>
    <mergeCell ref="A14:A15"/>
    <mergeCell ref="D62:D63"/>
    <mergeCell ref="A45:A47"/>
    <mergeCell ref="C45:C47"/>
    <mergeCell ref="A16:A24"/>
    <mergeCell ref="B99:B100"/>
    <mergeCell ref="D58:D59"/>
    <mergeCell ref="B16:B24"/>
    <mergeCell ref="B102:B106"/>
    <mergeCell ref="A62:A63"/>
    <mergeCell ref="A89:A98"/>
    <mergeCell ref="C62:C63"/>
    <mergeCell ref="O8:P8"/>
    <mergeCell ref="D14:D15"/>
    <mergeCell ref="D45:D47"/>
    <mergeCell ref="B30:B44"/>
    <mergeCell ref="D30:D44"/>
    <mergeCell ref="C25:C27"/>
    <mergeCell ref="A28:A29"/>
    <mergeCell ref="A25:A27"/>
    <mergeCell ref="C28:C29"/>
    <mergeCell ref="A1:L1"/>
    <mergeCell ref="C14:C15"/>
    <mergeCell ref="A55:A57"/>
    <mergeCell ref="C55:C57"/>
    <mergeCell ref="A58:A59"/>
    <mergeCell ref="C58:C59"/>
    <mergeCell ref="C16:C24"/>
    <mergeCell ref="B89:B98"/>
  </mergeCells>
  <conditionalFormatting sqref="D1:D11 D48:D54 D60:D61 D64:D67 D108:D1048576">
    <cfRule type="cellIs" priority="290" operator="lessThan" dxfId="0">
      <formula>0</formula>
    </cfRule>
  </conditionalFormatting>
  <conditionalFormatting sqref="D80:D88 D101">
    <cfRule type="cellIs" priority="31" operator="lessThan" dxfId="0">
      <formula>0</formula>
    </cfRule>
  </conditionalFormatting>
  <pageMargins left="0.25" right="0.25" top="0.75" bottom="0.75" header="0.511811023622047" footer="0.3"/>
  <pageSetup orientation="landscape" paperSize="8" fitToHeight="0" horizontalDpi="300" verticalDpi="300"/>
  <headerFooter>
    <oddHeader/>
    <oddFooter>&amp;C&amp;F</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39"/>
  <sheetViews>
    <sheetView topLeftCell="A37" zoomScale="90" zoomScaleNormal="90" workbookViewId="0">
      <selection activeCell="I78" sqref="I78"/>
    </sheetView>
  </sheetViews>
  <sheetFormatPr baseColWidth="8" defaultRowHeight="14.25"/>
  <cols>
    <col width="6.125" bestFit="1" customWidth="1" min="1" max="1"/>
    <col width="23.375" bestFit="1" customWidth="1" min="2" max="2"/>
    <col width="8.25" bestFit="1" customWidth="1" min="3" max="3"/>
    <col width="7.25" bestFit="1" customWidth="1" min="4" max="4"/>
    <col width="8.75" bestFit="1" customWidth="1" min="5" max="5"/>
    <col width="9" bestFit="1" customWidth="1" min="6" max="6"/>
    <col width="15.375" bestFit="1" customWidth="1" min="7" max="7"/>
    <col width="27" bestFit="1" customWidth="1" min="8" max="8"/>
  </cols>
  <sheetData>
    <row r="1" ht="30" customHeight="1" thickBot="1">
      <c r="A1" s="489" t="inlineStr">
        <is>
          <t>WV 5&amp;6 - Operations Manpower</t>
        </is>
      </c>
      <c r="B1" s="422" t="n"/>
      <c r="C1" s="422" t="n"/>
      <c r="D1" s="422" t="n"/>
      <c r="E1" s="422" t="n"/>
      <c r="F1" s="422" t="n"/>
      <c r="G1" s="422" t="n"/>
      <c r="H1" s="423" t="n"/>
    </row>
    <row r="2" ht="30" customHeight="1">
      <c r="A2" s="233" t="inlineStr">
        <is>
          <t>Sl No.</t>
        </is>
      </c>
      <c r="B2" s="233" t="inlineStr">
        <is>
          <t>Service Description</t>
        </is>
      </c>
      <c r="C2" s="233" t="inlineStr">
        <is>
          <t>Quantity</t>
        </is>
      </c>
      <c r="D2" s="233" t="inlineStr">
        <is>
          <t xml:space="preserve">Onsite </t>
        </is>
      </c>
      <c r="E2" s="233" t="inlineStr">
        <is>
          <t xml:space="preserve">Pending </t>
        </is>
      </c>
      <c r="F2" s="234" t="inlineStr">
        <is>
          <t xml:space="preserve">Releiver </t>
        </is>
      </c>
      <c r="G2" s="235" t="inlineStr">
        <is>
          <t>Site Remark</t>
        </is>
      </c>
      <c r="H2" s="235" t="inlineStr">
        <is>
          <t>HO Operation Remark</t>
        </is>
      </c>
    </row>
    <row r="3" ht="30" customHeight="1">
      <c r="A3" s="236" t="inlineStr">
        <is>
          <t>A</t>
        </is>
      </c>
      <c r="B3" s="237" t="inlineStr">
        <is>
          <t>Camp Management</t>
        </is>
      </c>
      <c r="C3" s="236">
        <f>SUM(C4:C8)</f>
        <v/>
      </c>
      <c r="D3" s="236">
        <f>SUM(D4:D8)</f>
        <v/>
      </c>
      <c r="E3" s="236">
        <f>SUM(E4:E8)</f>
        <v/>
      </c>
      <c r="F3" s="238" t="n"/>
      <c r="G3" s="238" t="n"/>
      <c r="H3" s="238" t="n"/>
    </row>
    <row r="4" ht="30" customHeight="1">
      <c r="A4" s="486" t="n">
        <v>1</v>
      </c>
      <c r="B4" s="488" t="inlineStr">
        <is>
          <t>Project Manager</t>
        </is>
      </c>
      <c r="C4" s="486" t="n">
        <v>1</v>
      </c>
      <c r="D4" s="486" t="n">
        <v>0</v>
      </c>
      <c r="E4" s="486">
        <f>C4-D4</f>
        <v/>
      </c>
      <c r="F4" s="241" t="n"/>
      <c r="G4" s="242" t="n"/>
      <c r="H4" s="242" t="n"/>
    </row>
    <row r="5" ht="30" customHeight="1">
      <c r="A5" s="486" t="n">
        <v>2</v>
      </c>
      <c r="B5" s="488" t="inlineStr">
        <is>
          <t>Accommodation Admin</t>
        </is>
      </c>
      <c r="C5" s="486" t="n">
        <v>1</v>
      </c>
      <c r="D5" s="486" t="n">
        <v>0</v>
      </c>
      <c r="E5" s="486">
        <f>C5-D5</f>
        <v/>
      </c>
      <c r="F5" s="241" t="n"/>
      <c r="G5" s="243" t="inlineStr">
        <is>
          <t>MRF To be raised</t>
        </is>
      </c>
      <c r="H5" s="243" t="n"/>
    </row>
    <row r="6" ht="30" customHeight="1">
      <c r="A6" s="486" t="n">
        <v>3</v>
      </c>
      <c r="B6" s="488" t="inlineStr">
        <is>
          <t>Warehouse Incharge</t>
        </is>
      </c>
      <c r="C6" s="486" t="n">
        <v>1</v>
      </c>
      <c r="D6" s="486" t="n">
        <v>1</v>
      </c>
      <c r="E6" s="486">
        <f>C6-D6</f>
        <v/>
      </c>
      <c r="F6" s="241" t="n"/>
      <c r="G6" s="243" t="n"/>
      <c r="H6" s="243" t="n"/>
    </row>
    <row r="7" ht="30" customHeight="1">
      <c r="A7" s="486" t="n">
        <v>4</v>
      </c>
      <c r="B7" s="488" t="inlineStr">
        <is>
          <t>CAFM Operator/Admin</t>
        </is>
      </c>
      <c r="C7" s="486" t="n">
        <v>1</v>
      </c>
      <c r="D7" s="486" t="n">
        <v>1</v>
      </c>
      <c r="E7" s="486">
        <f>C7-D7</f>
        <v/>
      </c>
      <c r="F7" s="241" t="n"/>
      <c r="G7" s="242" t="n"/>
      <c r="H7" s="242" t="n"/>
    </row>
    <row r="8" ht="30" customHeight="1">
      <c r="A8" s="486" t="n">
        <v>5</v>
      </c>
      <c r="B8" s="488" t="inlineStr">
        <is>
          <t>Document Controller</t>
        </is>
      </c>
      <c r="C8" s="486" t="n">
        <v>1</v>
      </c>
      <c r="D8" s="486" t="n">
        <v>1</v>
      </c>
      <c r="E8" s="486">
        <f>C8-D8</f>
        <v/>
      </c>
      <c r="F8" s="241" t="n"/>
      <c r="G8" s="242" t="n"/>
      <c r="H8" s="242" t="n"/>
    </row>
    <row r="9" ht="30" customHeight="1">
      <c r="A9" s="236" t="inlineStr">
        <is>
          <t>B</t>
        </is>
      </c>
      <c r="B9" s="237" t="inlineStr">
        <is>
          <t>Soft Services</t>
        </is>
      </c>
      <c r="C9" s="236">
        <f>SUM(C10:C18)</f>
        <v/>
      </c>
      <c r="D9" s="236">
        <f>SUM(D10:D18)</f>
        <v/>
      </c>
      <c r="E9" s="236">
        <f>SUM(E10:E18)</f>
        <v/>
      </c>
      <c r="F9" s="238" t="n"/>
      <c r="G9" s="238" t="n"/>
      <c r="H9" s="238" t="n"/>
    </row>
    <row r="10" ht="30" customHeight="1">
      <c r="A10" s="486" t="n">
        <v>1</v>
      </c>
      <c r="B10" s="488" t="inlineStr">
        <is>
          <t>Soft Service Manager</t>
        </is>
      </c>
      <c r="C10" s="486" t="n">
        <v>1</v>
      </c>
      <c r="D10" s="486" t="n">
        <v>1</v>
      </c>
      <c r="E10" s="486">
        <f>C10-D10</f>
        <v/>
      </c>
      <c r="F10" s="241" t="n"/>
      <c r="G10" s="243" t="n"/>
      <c r="H10" s="244" t="n"/>
    </row>
    <row r="11" ht="30" customHeight="1">
      <c r="A11" s="486" t="n">
        <v>2</v>
      </c>
      <c r="B11" s="245" t="inlineStr">
        <is>
          <t>Housekeeping Supervisor</t>
        </is>
      </c>
      <c r="C11" s="241" t="n">
        <v>2</v>
      </c>
      <c r="D11" s="486" t="n">
        <v>1</v>
      </c>
      <c r="E11" s="486">
        <f>C11-D11</f>
        <v/>
      </c>
      <c r="F11" s="241" t="n"/>
      <c r="G11" s="243" t="inlineStr">
        <is>
          <t>MRF To be raised</t>
        </is>
      </c>
      <c r="H11" s="243" t="n"/>
    </row>
    <row r="12" ht="30" customHeight="1">
      <c r="A12" s="486" t="n">
        <v>3</v>
      </c>
      <c r="B12" s="245" t="inlineStr">
        <is>
          <t>Landscape Supervisor</t>
        </is>
      </c>
      <c r="C12" s="241" t="n">
        <v>2</v>
      </c>
      <c r="D12" s="486" t="n">
        <v>2</v>
      </c>
      <c r="E12" s="486">
        <f>C12-D12</f>
        <v/>
      </c>
      <c r="F12" s="241" t="n"/>
      <c r="G12" s="243" t="n"/>
      <c r="H12" s="243" t="n"/>
    </row>
    <row r="13" ht="30" customHeight="1">
      <c r="A13" s="486" t="n">
        <v>4</v>
      </c>
      <c r="B13" s="245" t="inlineStr">
        <is>
          <t>Housekeepers - Male</t>
        </is>
      </c>
      <c r="C13" s="241" t="n">
        <v>9</v>
      </c>
      <c r="D13" s="486" t="n">
        <v>9</v>
      </c>
      <c r="E13" s="486">
        <f>C13-D13</f>
        <v/>
      </c>
      <c r="F13" s="241" t="n"/>
      <c r="G13" s="242" t="n"/>
      <c r="H13" s="242" t="n"/>
    </row>
    <row r="14" ht="30" customHeight="1">
      <c r="A14" s="486" t="n">
        <v>5</v>
      </c>
      <c r="B14" s="245" t="inlineStr">
        <is>
          <t>External Cleaners</t>
        </is>
      </c>
      <c r="C14" s="241" t="n">
        <v>3</v>
      </c>
      <c r="D14" s="486" t="n">
        <v>3</v>
      </c>
      <c r="E14" s="486">
        <f>C14-D14</f>
        <v/>
      </c>
      <c r="F14" s="241" t="n"/>
      <c r="G14" s="242" t="n"/>
      <c r="H14" s="242" t="n"/>
    </row>
    <row r="15" ht="30" customHeight="1">
      <c r="A15" s="486" t="n">
        <v>6</v>
      </c>
      <c r="B15" s="245" t="inlineStr">
        <is>
          <t>Litter Picker</t>
        </is>
      </c>
      <c r="C15" s="241" t="n">
        <v>2</v>
      </c>
      <c r="D15" s="486" t="n">
        <v>2</v>
      </c>
      <c r="E15" s="486">
        <f>C15-D15</f>
        <v/>
      </c>
      <c r="F15" s="241" t="n"/>
      <c r="G15" s="242" t="n"/>
      <c r="H15" s="242" t="n"/>
    </row>
    <row r="16" ht="30" customHeight="1">
      <c r="A16" s="486" t="n">
        <v>7</v>
      </c>
      <c r="B16" s="245" t="inlineStr">
        <is>
          <t>Gardener</t>
        </is>
      </c>
      <c r="C16" s="241" t="n">
        <v>15</v>
      </c>
      <c r="D16" s="486" t="n">
        <v>15</v>
      </c>
      <c r="E16" s="486">
        <f>C16-D16</f>
        <v/>
      </c>
      <c r="F16" s="241" t="n"/>
      <c r="G16" s="243" t="n"/>
      <c r="H16" s="243" t="n"/>
    </row>
    <row r="17" ht="30" customHeight="1">
      <c r="A17" s="486" t="n">
        <v>8</v>
      </c>
      <c r="B17" s="245" t="inlineStr">
        <is>
          <t>Laundry Operator</t>
        </is>
      </c>
      <c r="C17" s="241" t="n">
        <v>3</v>
      </c>
      <c r="D17" s="486" t="n">
        <v>0</v>
      </c>
      <c r="E17" s="486">
        <f>C17-D17</f>
        <v/>
      </c>
      <c r="F17" s="241" t="n"/>
      <c r="G17" s="243" t="inlineStr">
        <is>
          <t>MRF To be raised</t>
        </is>
      </c>
      <c r="H17" s="243" t="inlineStr">
        <is>
          <t>The laundry is not in operational</t>
        </is>
      </c>
    </row>
    <row r="18" ht="30" customHeight="1">
      <c r="A18" s="486" t="n">
        <v>9</v>
      </c>
      <c r="B18" s="245" t="inlineStr">
        <is>
          <t>Pest Control Technician</t>
        </is>
      </c>
      <c r="C18" s="241" t="n">
        <v>1</v>
      </c>
      <c r="D18" s="486" t="n">
        <v>1</v>
      </c>
      <c r="E18" s="486">
        <f>C18-D18</f>
        <v/>
      </c>
      <c r="F18" s="241" t="n"/>
      <c r="G18" s="243" t="n"/>
      <c r="H18" s="243" t="n"/>
    </row>
    <row r="19" ht="30" customHeight="1">
      <c r="A19" s="236" t="inlineStr">
        <is>
          <t>C</t>
        </is>
      </c>
      <c r="B19" s="237" t="inlineStr">
        <is>
          <t>Hard Services</t>
        </is>
      </c>
      <c r="C19" s="238">
        <f>SUM(C20:C33)</f>
        <v/>
      </c>
      <c r="D19" s="238">
        <f>SUM(D20:D33)</f>
        <v/>
      </c>
      <c r="E19" s="238">
        <f>SUM(E20:E33)</f>
        <v/>
      </c>
      <c r="F19" s="238" t="n"/>
      <c r="G19" s="238" t="n"/>
      <c r="H19" s="238" t="n"/>
    </row>
    <row r="20" ht="30" customHeight="1">
      <c r="A20" s="486" t="n">
        <v>1</v>
      </c>
      <c r="B20" s="488" t="inlineStr">
        <is>
          <t>HS Manager</t>
        </is>
      </c>
      <c r="C20" s="241" t="n">
        <v>1</v>
      </c>
      <c r="D20" s="486" t="n">
        <v>1</v>
      </c>
      <c r="E20" s="486">
        <f>C20-D20</f>
        <v/>
      </c>
      <c r="F20" s="241" t="n"/>
      <c r="G20" s="242" t="n"/>
      <c r="H20" s="242" t="n"/>
    </row>
    <row r="21" ht="30" customHeight="1">
      <c r="A21" s="486" t="n">
        <v>2</v>
      </c>
      <c r="B21" s="245" t="inlineStr">
        <is>
          <t>Facilities Engineer</t>
        </is>
      </c>
      <c r="C21" s="241" t="n">
        <v>1</v>
      </c>
      <c r="D21" s="486" t="n">
        <v>1</v>
      </c>
      <c r="E21" s="486">
        <f>C21-D21</f>
        <v/>
      </c>
      <c r="F21" s="241" t="n"/>
      <c r="G21" s="242" t="n"/>
      <c r="H21" s="242" t="n"/>
    </row>
    <row r="22" ht="30" customHeight="1">
      <c r="A22" s="486" t="n">
        <v>3</v>
      </c>
      <c r="B22" s="245" t="inlineStr">
        <is>
          <t>FLS Specialist</t>
        </is>
      </c>
      <c r="C22" s="241" t="n">
        <v>1</v>
      </c>
      <c r="D22" s="486" t="n">
        <v>1</v>
      </c>
      <c r="E22" s="486">
        <f>C22-D22</f>
        <v/>
      </c>
      <c r="F22" s="241" t="n"/>
      <c r="G22" s="242" t="n"/>
      <c r="H22" s="242" t="n"/>
    </row>
    <row r="23" ht="30" customHeight="1">
      <c r="A23" s="486" t="n">
        <v>4</v>
      </c>
      <c r="B23" s="245" t="inlineStr">
        <is>
          <t>Electrical Supervisor</t>
        </is>
      </c>
      <c r="C23" s="486" t="n">
        <v>1</v>
      </c>
      <c r="D23" s="486" t="n">
        <v>1</v>
      </c>
      <c r="E23" s="486">
        <f>C23-D23</f>
        <v/>
      </c>
      <c r="F23" s="241" t="n"/>
      <c r="G23" s="242" t="n"/>
      <c r="H23" s="242" t="n"/>
    </row>
    <row r="24" ht="30" customHeight="1">
      <c r="A24" s="486" t="n">
        <v>5</v>
      </c>
      <c r="B24" s="245" t="inlineStr">
        <is>
          <t>MEP Supervisor</t>
        </is>
      </c>
      <c r="C24" s="486" t="n">
        <v>1</v>
      </c>
      <c r="D24" s="486" t="n">
        <v>1</v>
      </c>
      <c r="E24" s="486">
        <f>C24-D24</f>
        <v/>
      </c>
      <c r="F24" s="241" t="n"/>
      <c r="G24" s="242" t="n"/>
      <c r="H24" s="242" t="n"/>
    </row>
    <row r="25" ht="30" customFormat="1" customHeight="1" s="118">
      <c r="A25" s="486" t="n">
        <v>6</v>
      </c>
      <c r="B25" s="488" t="inlineStr">
        <is>
          <t>Civil Supervisor</t>
        </is>
      </c>
      <c r="C25" s="486" t="n">
        <v>1</v>
      </c>
      <c r="D25" s="486" t="n">
        <v>1</v>
      </c>
      <c r="E25" s="486">
        <f>C25-D25</f>
        <v/>
      </c>
      <c r="F25" s="241" t="n"/>
      <c r="G25" s="243" t="n"/>
      <c r="H25" s="243" t="n"/>
    </row>
    <row r="26" ht="30" customHeight="1">
      <c r="A26" s="486" t="n">
        <v>7</v>
      </c>
      <c r="B26" s="245" t="inlineStr">
        <is>
          <t>HVAC Technician</t>
        </is>
      </c>
      <c r="C26" s="246" t="n">
        <v>3</v>
      </c>
      <c r="D26" s="486" t="n">
        <v>2</v>
      </c>
      <c r="E26" s="486">
        <f>C26-D26</f>
        <v/>
      </c>
      <c r="F26" s="241" t="n"/>
      <c r="G26" s="243" t="inlineStr">
        <is>
          <t>MRF To be raised</t>
        </is>
      </c>
      <c r="H26" s="243" t="n"/>
    </row>
    <row r="27" ht="30" customHeight="1">
      <c r="A27" s="486" t="n">
        <v>8</v>
      </c>
      <c r="B27" s="245" t="inlineStr">
        <is>
          <t>Electrician</t>
        </is>
      </c>
      <c r="C27" s="486" t="n">
        <v>2</v>
      </c>
      <c r="D27" s="486" t="n">
        <v>2</v>
      </c>
      <c r="E27" s="486">
        <f>C27-D27</f>
        <v/>
      </c>
      <c r="F27" s="241" t="n"/>
      <c r="G27" s="242" t="n"/>
      <c r="H27" s="244" t="n"/>
    </row>
    <row r="28" ht="30" customHeight="1">
      <c r="A28" s="486" t="n">
        <v>9</v>
      </c>
      <c r="B28" s="245" t="inlineStr">
        <is>
          <t>Multi Skilled Technician</t>
        </is>
      </c>
      <c r="C28" s="486" t="n">
        <v>1</v>
      </c>
      <c r="D28" s="486" t="n">
        <v>1</v>
      </c>
      <c r="E28" s="486">
        <f>C28-D28</f>
        <v/>
      </c>
      <c r="F28" s="241" t="n"/>
      <c r="G28" s="243" t="n"/>
      <c r="H28" s="243" t="n"/>
    </row>
    <row r="29" ht="30" customHeight="1">
      <c r="A29" s="486" t="n">
        <v>10</v>
      </c>
      <c r="B29" s="245" t="inlineStr">
        <is>
          <t>IT Technician</t>
        </is>
      </c>
      <c r="C29" s="486" t="n">
        <v>1</v>
      </c>
      <c r="D29" s="486" t="n">
        <v>1</v>
      </c>
      <c r="E29" s="486">
        <f>C29-D29</f>
        <v/>
      </c>
      <c r="F29" s="241" t="n"/>
      <c r="G29" s="244" t="n"/>
      <c r="H29" s="244" t="n"/>
    </row>
    <row r="30" ht="30" customHeight="1">
      <c r="A30" s="486" t="n">
        <v>11</v>
      </c>
      <c r="B30" s="245" t="inlineStr">
        <is>
          <t>Mechanical Technician</t>
        </is>
      </c>
      <c r="C30" s="486" t="n">
        <v>2</v>
      </c>
      <c r="D30" s="486" t="n">
        <v>0</v>
      </c>
      <c r="E30" s="486">
        <f>C30-D30</f>
        <v/>
      </c>
      <c r="F30" s="241" t="n"/>
      <c r="G30" s="243" t="inlineStr">
        <is>
          <t>MRF To be raised</t>
        </is>
      </c>
      <c r="H30" s="243" t="n"/>
    </row>
    <row r="31" ht="30" customHeight="1">
      <c r="A31" s="486" t="n">
        <v>12</v>
      </c>
      <c r="B31" s="245" t="inlineStr">
        <is>
          <t>Civil Technician</t>
        </is>
      </c>
      <c r="C31" s="486" t="n">
        <v>1</v>
      </c>
      <c r="D31" s="486" t="n">
        <v>1</v>
      </c>
      <c r="E31" s="486">
        <f>C31-D31</f>
        <v/>
      </c>
      <c r="F31" s="241" t="n"/>
      <c r="G31" s="243" t="n"/>
      <c r="H31" s="243" t="n"/>
    </row>
    <row r="32" ht="30" customFormat="1" customHeight="1" s="250">
      <c r="A32" s="247" t="n">
        <v>13</v>
      </c>
      <c r="B32" s="248" t="inlineStr">
        <is>
          <t>Swimming Pool Technician</t>
        </is>
      </c>
      <c r="C32" s="247" t="n">
        <v>1</v>
      </c>
      <c r="D32" s="247" t="n">
        <v>1</v>
      </c>
      <c r="E32" s="247">
        <f>C32-D32</f>
        <v/>
      </c>
      <c r="F32" s="249" t="n"/>
      <c r="G32" s="247" t="n"/>
      <c r="H32" s="247" t="n"/>
    </row>
    <row r="33" ht="30" customHeight="1">
      <c r="A33" s="486" t="n">
        <v>14</v>
      </c>
      <c r="B33" s="245" t="inlineStr">
        <is>
          <t>FLS Technician</t>
        </is>
      </c>
      <c r="C33" s="486" t="n">
        <v>1</v>
      </c>
      <c r="D33" s="486" t="n">
        <v>1</v>
      </c>
      <c r="E33" s="486">
        <f>C33-D33</f>
        <v/>
      </c>
      <c r="F33" s="241" t="n"/>
      <c r="G33" s="242" t="n"/>
      <c r="H33" s="242" t="n"/>
    </row>
    <row r="34" ht="30" customHeight="1">
      <c r="A34" s="236" t="inlineStr">
        <is>
          <t>D</t>
        </is>
      </c>
      <c r="B34" s="237" t="inlineStr">
        <is>
          <t>Security</t>
        </is>
      </c>
      <c r="C34" s="236" t="n">
        <v>13</v>
      </c>
      <c r="D34" s="238" t="n">
        <v>12</v>
      </c>
      <c r="E34" s="236" t="n">
        <v>1</v>
      </c>
      <c r="F34" s="238" t="n"/>
      <c r="G34" s="238" t="n"/>
      <c r="H34" s="238" t="n"/>
    </row>
    <row r="35" ht="30" customHeight="1">
      <c r="A35" s="486" t="n">
        <v>1</v>
      </c>
      <c r="B35" s="488" t="inlineStr">
        <is>
          <t>Security Supervisor</t>
        </is>
      </c>
      <c r="C35" s="486" t="n">
        <v>1</v>
      </c>
      <c r="D35" s="486" t="n">
        <v>1</v>
      </c>
      <c r="E35" s="486">
        <f>C35-D35</f>
        <v/>
      </c>
      <c r="F35" s="241" t="n"/>
      <c r="G35" s="242" t="n"/>
      <c r="H35" s="244" t="n"/>
    </row>
    <row r="36" ht="30" customHeight="1">
      <c r="A36" s="486" t="n">
        <v>2</v>
      </c>
      <c r="B36" s="488" t="inlineStr">
        <is>
          <t>Security Guard</t>
        </is>
      </c>
      <c r="C36" s="486" t="n">
        <v>12</v>
      </c>
      <c r="D36" s="486" t="n">
        <v>11</v>
      </c>
      <c r="E36" s="486">
        <f>C36-D36</f>
        <v/>
      </c>
      <c r="F36" s="241" t="n"/>
      <c r="G36" s="242" t="n"/>
      <c r="H36" s="243" t="n"/>
    </row>
    <row r="37" ht="30" customHeight="1">
      <c r="A37" s="236" t="inlineStr">
        <is>
          <t>E</t>
        </is>
      </c>
      <c r="B37" s="251" t="inlineStr">
        <is>
          <t>HSE</t>
        </is>
      </c>
      <c r="C37" s="236">
        <f>SUM(C38)</f>
        <v/>
      </c>
      <c r="D37" s="236">
        <f>SUM(D38)</f>
        <v/>
      </c>
      <c r="E37" s="236">
        <f>SUM(E38)</f>
        <v/>
      </c>
      <c r="F37" s="238" t="n"/>
      <c r="G37" s="238" t="n"/>
      <c r="H37" s="238" t="n"/>
    </row>
    <row r="38" ht="30" customHeight="1">
      <c r="A38" s="486" t="n">
        <v>1</v>
      </c>
      <c r="B38" s="488" t="inlineStr">
        <is>
          <t>Safety Officer</t>
        </is>
      </c>
      <c r="C38" s="486" t="n">
        <v>1</v>
      </c>
      <c r="D38" s="486" t="n">
        <v>1</v>
      </c>
      <c r="E38" s="486">
        <f>C38-D38</f>
        <v/>
      </c>
      <c r="F38" s="241" t="n"/>
      <c r="G38" s="242" t="n"/>
      <c r="H38" s="242" t="n"/>
    </row>
    <row r="39" ht="30" customHeight="1">
      <c r="B39" s="252" t="inlineStr">
        <is>
          <t>Total Manpower</t>
        </is>
      </c>
      <c r="C39" s="253">
        <f>SUM(C3+C9+C19+C34+C37)</f>
        <v/>
      </c>
      <c r="D39" s="253">
        <f>SUM(D3+D9+D19+D34+D37)</f>
        <v/>
      </c>
      <c r="E39" s="253">
        <f>SUM(E3+E9+E19+E34+E37)</f>
        <v/>
      </c>
      <c r="F39" s="253" t="n"/>
    </row>
  </sheetData>
  <mergeCells count="1">
    <mergeCell ref="A1:H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M35"/>
  <sheetViews>
    <sheetView tabSelected="1" workbookViewId="0">
      <selection activeCell="N8" sqref="N8"/>
    </sheetView>
  </sheetViews>
  <sheetFormatPr baseColWidth="8" defaultColWidth="9.375" defaultRowHeight="12.75"/>
  <cols>
    <col width="5.625" bestFit="1" customWidth="1" style="1" min="1" max="1"/>
    <col width="23.5" bestFit="1" customWidth="1" style="2" min="2" max="2"/>
    <col width="27.375" customWidth="1" style="2" min="3" max="3"/>
    <col width="13.875" customWidth="1" style="3" min="4" max="4"/>
    <col width="7.625" bestFit="1" customWidth="1" style="4" min="5" max="5"/>
    <col width="20.5" bestFit="1" customWidth="1" style="1" min="6" max="6"/>
    <col width="8.5" bestFit="1" customWidth="1" style="1" min="7" max="7"/>
    <col width="30.875" bestFit="1" customWidth="1" style="1" min="8" max="8"/>
    <col width="9.375" customWidth="1" style="5" min="9" max="9"/>
    <col width="6.75" customWidth="1" style="1" min="10" max="10"/>
    <col width="9.625" customWidth="1" style="7" min="11" max="11"/>
    <col width="23.625" customWidth="1" style="7" min="12" max="12"/>
    <col width="15.625" customWidth="1" style="7" min="13" max="13"/>
    <col width="9.375" customWidth="1" style="7" min="14" max="16384"/>
  </cols>
  <sheetData>
    <row r="1" ht="15.75" customHeight="1" thickBot="1">
      <c r="A1" s="312" t="inlineStr">
        <is>
          <t>Sr.no</t>
        </is>
      </c>
      <c r="B1" s="306" t="inlineStr">
        <is>
          <t>Name</t>
        </is>
      </c>
      <c r="C1" s="306" t="inlineStr">
        <is>
          <t xml:space="preserve">Position </t>
        </is>
      </c>
      <c r="D1" s="306" t="inlineStr">
        <is>
          <t>Department</t>
        </is>
      </c>
      <c r="E1" s="306" t="inlineStr">
        <is>
          <t>FMCO ID</t>
        </is>
      </c>
      <c r="F1" s="306" t="inlineStr">
        <is>
          <t>Iqama number / Passport</t>
        </is>
      </c>
      <c r="G1" s="306" t="inlineStr">
        <is>
          <t xml:space="preserve">Status </t>
        </is>
      </c>
      <c r="H1" s="313" t="inlineStr">
        <is>
          <t>Status</t>
        </is>
      </c>
      <c r="I1" s="263" t="n"/>
      <c r="K1" s="490" t="inlineStr">
        <is>
          <t>PGC MANPOWER</t>
        </is>
      </c>
      <c r="L1" s="422" t="n"/>
      <c r="M1" s="423" t="n"/>
    </row>
    <row r="2" ht="15.75" customHeight="1" thickBot="1">
      <c r="A2" s="307" t="n">
        <v>1</v>
      </c>
      <c r="B2" s="299" t="inlineStr">
        <is>
          <t xml:space="preserve">Danish Rasheed </t>
        </is>
      </c>
      <c r="C2" s="299" t="inlineStr">
        <is>
          <t>Project Lead</t>
        </is>
      </c>
      <c r="D2" s="299" t="inlineStr">
        <is>
          <t xml:space="preserve">Management </t>
        </is>
      </c>
      <c r="E2" s="299" t="n">
        <v>704527</v>
      </c>
      <c r="F2" s="299" t="n">
        <v>2595856010</v>
      </c>
      <c r="G2" s="308" t="inlineStr">
        <is>
          <t xml:space="preserve">Accepted </t>
        </is>
      </c>
      <c r="H2" s="299" t="inlineStr">
        <is>
          <t>Reporting in office</t>
        </is>
      </c>
      <c r="I2" s="263" t="n"/>
      <c r="K2" s="264" t="n">
        <v>1</v>
      </c>
      <c r="L2" s="265" t="inlineStr">
        <is>
          <t>Project Lead</t>
        </is>
      </c>
      <c r="M2" s="266" t="n">
        <v>1</v>
      </c>
    </row>
    <row r="3" ht="15.75" customHeight="1" thickBot="1">
      <c r="A3" s="309" t="n">
        <v>2</v>
      </c>
      <c r="B3" s="300" t="inlineStr">
        <is>
          <t>Munwar Ali Shah</t>
        </is>
      </c>
      <c r="C3" s="300" t="inlineStr">
        <is>
          <t xml:space="preserve">Facility Engineer </t>
        </is>
      </c>
      <c r="D3" s="300" t="inlineStr">
        <is>
          <t>HS</t>
        </is>
      </c>
      <c r="E3" s="300" t="n"/>
      <c r="F3" s="300" t="n">
        <v>2643267970</v>
      </c>
      <c r="G3" s="310" t="inlineStr">
        <is>
          <t xml:space="preserve">Accepted </t>
        </is>
      </c>
      <c r="H3" s="300" t="inlineStr">
        <is>
          <t>Reporting in office</t>
        </is>
      </c>
      <c r="I3" s="263" t="n"/>
      <c r="K3" s="264" t="n">
        <v>2</v>
      </c>
      <c r="L3" s="265" t="inlineStr">
        <is>
          <t>QHSE Officer</t>
        </is>
      </c>
      <c r="M3" s="266" t="n">
        <v>1</v>
      </c>
    </row>
    <row r="4" ht="15.75" customHeight="1" thickBot="1">
      <c r="A4" s="307" t="n">
        <v>3</v>
      </c>
      <c r="B4" s="300" t="inlineStr">
        <is>
          <t>Md umair sheik</t>
        </is>
      </c>
      <c r="C4" s="300" t="inlineStr">
        <is>
          <t xml:space="preserve">Electrician </t>
        </is>
      </c>
      <c r="D4" s="300" t="inlineStr">
        <is>
          <t>HS</t>
        </is>
      </c>
      <c r="E4" s="300" t="n"/>
      <c r="F4" s="300" t="inlineStr">
        <is>
          <t>RO179040</t>
        </is>
      </c>
      <c r="G4" s="310" t="inlineStr">
        <is>
          <t>Accepted</t>
        </is>
      </c>
      <c r="H4" s="300" t="inlineStr">
        <is>
          <t>Reporting in office</t>
        </is>
      </c>
      <c r="I4" s="263" t="n"/>
      <c r="K4" s="264" t="n">
        <v>2</v>
      </c>
      <c r="L4" s="265" t="inlineStr">
        <is>
          <t>Cleaning Supervisors</t>
        </is>
      </c>
      <c r="M4" s="266" t="n">
        <v>2</v>
      </c>
    </row>
    <row r="5" ht="15.75" customHeight="1" thickBot="1">
      <c r="A5" s="307" t="n">
        <v>4</v>
      </c>
      <c r="B5" s="300" t="inlineStr">
        <is>
          <t>Salman Molla</t>
        </is>
      </c>
      <c r="C5" s="300" t="inlineStr">
        <is>
          <t>Civil ( Painter)</t>
        </is>
      </c>
      <c r="D5" s="300" t="inlineStr">
        <is>
          <t>HS</t>
        </is>
      </c>
      <c r="E5" s="300" t="n"/>
      <c r="F5" s="300" t="n">
        <v>260915115</v>
      </c>
      <c r="G5" s="310" t="inlineStr">
        <is>
          <t>Accepted</t>
        </is>
      </c>
      <c r="H5" s="300" t="inlineStr">
        <is>
          <t>Reporting in office</t>
        </is>
      </c>
      <c r="I5" s="263" t="n"/>
      <c r="K5" s="264" t="n">
        <v>3</v>
      </c>
      <c r="L5" s="265" t="inlineStr">
        <is>
          <t>Cleaner - Male</t>
        </is>
      </c>
      <c r="M5" s="266" t="n">
        <v>4</v>
      </c>
    </row>
    <row r="6" ht="15.75" customHeight="1" thickBot="1">
      <c r="A6" s="309" t="n">
        <v>5</v>
      </c>
      <c r="B6" s="300" t="inlineStr">
        <is>
          <t xml:space="preserve">Sohel Rana </t>
        </is>
      </c>
      <c r="C6" s="300" t="inlineStr">
        <is>
          <t xml:space="preserve">Cleaning Supervisor </t>
        </is>
      </c>
      <c r="D6" s="300" t="inlineStr">
        <is>
          <t>SS</t>
        </is>
      </c>
      <c r="E6" s="300" t="n"/>
      <c r="F6" s="300" t="n">
        <v>2643067115</v>
      </c>
      <c r="G6" s="310" t="inlineStr">
        <is>
          <t xml:space="preserve">Accepted </t>
        </is>
      </c>
      <c r="H6" s="300" t="inlineStr">
        <is>
          <t>Reporting in office</t>
        </is>
      </c>
      <c r="I6" s="263" t="n"/>
      <c r="K6" s="264" t="n">
        <v>3</v>
      </c>
      <c r="L6" s="265" t="inlineStr">
        <is>
          <t>Cleaner - Female</t>
        </is>
      </c>
      <c r="M6" s="266" t="n">
        <v>4</v>
      </c>
    </row>
    <row r="7" ht="15.75" customHeight="1" thickBot="1">
      <c r="A7" s="307" t="n">
        <v>6</v>
      </c>
      <c r="B7" s="300" t="inlineStr">
        <is>
          <t>Shakeeb Ahmed</t>
        </is>
      </c>
      <c r="C7" s="300" t="inlineStr">
        <is>
          <t xml:space="preserve">Cleaning Supervisor </t>
        </is>
      </c>
      <c r="D7" s="300" t="inlineStr">
        <is>
          <t>SS</t>
        </is>
      </c>
      <c r="E7" s="300" t="n"/>
      <c r="F7" s="300" t="n">
        <v>2644128585</v>
      </c>
      <c r="G7" s="310" t="inlineStr">
        <is>
          <t xml:space="preserve">Accepted </t>
        </is>
      </c>
      <c r="H7" s="300" t="inlineStr">
        <is>
          <t>Reporting in office</t>
        </is>
      </c>
      <c r="I7" s="263" t="n"/>
      <c r="K7" s="264" t="n">
        <v>4</v>
      </c>
      <c r="L7" s="267" t="inlineStr">
        <is>
          <t>Waste Collector</t>
        </is>
      </c>
      <c r="M7" s="266" t="n">
        <v>2</v>
      </c>
    </row>
    <row r="8" ht="15.75" customHeight="1" thickBot="1">
      <c r="A8" s="309" t="n">
        <v>7</v>
      </c>
      <c r="B8" s="300" t="inlineStr">
        <is>
          <t>Shamin Haider</t>
        </is>
      </c>
      <c r="C8" s="300" t="inlineStr">
        <is>
          <t xml:space="preserve">Male Cleaner </t>
        </is>
      </c>
      <c r="D8" s="300" t="inlineStr">
        <is>
          <t>SS</t>
        </is>
      </c>
      <c r="E8" s="300" t="n"/>
      <c r="F8" s="300" t="inlineStr">
        <is>
          <t>C7836021</t>
        </is>
      </c>
      <c r="G8" s="310" t="inlineStr">
        <is>
          <t>Accepted</t>
        </is>
      </c>
      <c r="H8" s="300" t="inlineStr">
        <is>
          <t>Reporting in office</t>
        </is>
      </c>
      <c r="I8" s="263" t="n"/>
      <c r="K8" s="264" t="n">
        <v>4</v>
      </c>
      <c r="L8" s="267" t="inlineStr">
        <is>
          <t>Pest Control Supervior</t>
        </is>
      </c>
      <c r="M8" s="266" t="n">
        <v>1</v>
      </c>
    </row>
    <row r="9" ht="15.75" customHeight="1" thickBot="1">
      <c r="A9" s="307" t="n">
        <v>8</v>
      </c>
      <c r="B9" s="300" t="inlineStr">
        <is>
          <t>Sohrab hossain fahad</t>
        </is>
      </c>
      <c r="C9" s="300" t="inlineStr">
        <is>
          <t xml:space="preserve">Male Cleaner </t>
        </is>
      </c>
      <c r="D9" s="300" t="inlineStr">
        <is>
          <t>SS</t>
        </is>
      </c>
      <c r="E9" s="300" t="n"/>
      <c r="F9" s="300" t="n">
        <v>2643038124</v>
      </c>
      <c r="G9" s="310" t="inlineStr">
        <is>
          <t xml:space="preserve">Accepted </t>
        </is>
      </c>
      <c r="H9" s="300" t="inlineStr">
        <is>
          <t>Reporting in office</t>
        </is>
      </c>
      <c r="I9" s="263" t="n"/>
      <c r="K9" s="264" t="n">
        <v>5</v>
      </c>
      <c r="L9" s="267" t="inlineStr">
        <is>
          <t>Pest Control Technicians</t>
        </is>
      </c>
      <c r="M9" s="266" t="n">
        <v>2</v>
      </c>
    </row>
    <row r="10" ht="15.75" customHeight="1" thickBot="1">
      <c r="A10" s="307" t="n">
        <v>9</v>
      </c>
      <c r="B10" s="300" t="inlineStr">
        <is>
          <t>Shake Naeem</t>
        </is>
      </c>
      <c r="C10" s="300" t="inlineStr">
        <is>
          <t xml:space="preserve">Male Cleaner </t>
        </is>
      </c>
      <c r="D10" s="300" t="inlineStr">
        <is>
          <t>SS</t>
        </is>
      </c>
      <c r="E10" s="300" t="n"/>
      <c r="F10" s="300" t="n">
        <v>2621897921</v>
      </c>
      <c r="G10" s="310" t="inlineStr">
        <is>
          <t xml:space="preserve">Accepted </t>
        </is>
      </c>
      <c r="H10" s="300" t="inlineStr">
        <is>
          <t>Reporting in office</t>
        </is>
      </c>
      <c r="I10" s="263" t="n"/>
      <c r="K10" s="264" t="n">
        <v>5</v>
      </c>
      <c r="L10" s="267" t="inlineStr">
        <is>
          <t>Supervisor MEP</t>
        </is>
      </c>
      <c r="M10" s="266" t="n">
        <v>1</v>
      </c>
    </row>
    <row r="11" ht="15.75" customHeight="1" thickBot="1">
      <c r="A11" s="309" t="n">
        <v>10</v>
      </c>
      <c r="B11" s="316" t="n"/>
      <c r="C11" s="316" t="inlineStr">
        <is>
          <t xml:space="preserve">Male Cleaner </t>
        </is>
      </c>
      <c r="D11" s="316" t="inlineStr">
        <is>
          <t>SS</t>
        </is>
      </c>
      <c r="E11" s="316" t="n"/>
      <c r="F11" s="316" t="n"/>
      <c r="G11" s="316" t="n"/>
      <c r="H11" s="316" t="n"/>
      <c r="I11" s="263" t="n"/>
      <c r="K11" s="264" t="n">
        <v>6</v>
      </c>
      <c r="L11" s="267" t="inlineStr">
        <is>
          <t>Utility/Gen</t>
        </is>
      </c>
      <c r="M11" s="266" t="n">
        <v>2</v>
      </c>
    </row>
    <row r="12" ht="15.75" customHeight="1" thickBot="1">
      <c r="A12" s="307" t="n">
        <v>11</v>
      </c>
      <c r="B12" s="300" t="inlineStr">
        <is>
          <t xml:space="preserve">Feiroz Khan </t>
        </is>
      </c>
      <c r="C12" s="300" t="inlineStr">
        <is>
          <t>Trade Helper</t>
        </is>
      </c>
      <c r="D12" s="300" t="inlineStr">
        <is>
          <t>HS</t>
        </is>
      </c>
      <c r="E12" s="300" t="n"/>
      <c r="F12" s="300" t="n"/>
      <c r="G12" s="310" t="inlineStr">
        <is>
          <t>Accepted</t>
        </is>
      </c>
      <c r="H12" s="300" t="inlineStr">
        <is>
          <t>Reporting in office</t>
        </is>
      </c>
      <c r="I12" s="263" t="n"/>
      <c r="K12" s="264" t="n">
        <v>6</v>
      </c>
      <c r="L12" s="267" t="inlineStr">
        <is>
          <t>Multi-Skilled Technicians</t>
        </is>
      </c>
      <c r="M12" s="266" t="n">
        <v>2</v>
      </c>
    </row>
    <row r="13" ht="15.75" customHeight="1" thickBot="1">
      <c r="A13" s="309" t="n">
        <v>12</v>
      </c>
      <c r="B13" s="300" t="inlineStr">
        <is>
          <t xml:space="preserve">Kifayat khan </t>
        </is>
      </c>
      <c r="C13" s="300" t="inlineStr">
        <is>
          <t>AC Tech</t>
        </is>
      </c>
      <c r="D13" s="300" t="inlineStr">
        <is>
          <t>HS</t>
        </is>
      </c>
      <c r="E13" s="300" t="n"/>
      <c r="F13" s="300" t="n"/>
      <c r="G13" s="310" t="inlineStr">
        <is>
          <t>Accepted</t>
        </is>
      </c>
      <c r="H13" s="300" t="inlineStr">
        <is>
          <t xml:space="preserve">Interview done, Not reporting on Site </t>
        </is>
      </c>
      <c r="I13" s="263" t="n"/>
      <c r="K13" s="264" t="n">
        <v>7</v>
      </c>
      <c r="L13" s="267" t="inlineStr">
        <is>
          <t>Ac Technicians</t>
        </is>
      </c>
      <c r="M13" s="266" t="n">
        <v>2</v>
      </c>
    </row>
    <row r="14" ht="15.75" customHeight="1" thickBot="1">
      <c r="A14" s="307" t="n">
        <v>13</v>
      </c>
      <c r="B14" s="316" t="n"/>
      <c r="C14" s="316" t="inlineStr">
        <is>
          <t>AC Tech</t>
        </is>
      </c>
      <c r="D14" s="316" t="inlineStr">
        <is>
          <t>HS</t>
        </is>
      </c>
      <c r="E14" s="316" t="n"/>
      <c r="F14" s="316" t="n"/>
      <c r="G14" s="316" t="n"/>
      <c r="H14" s="316" t="n"/>
      <c r="I14" s="263" t="n"/>
      <c r="K14" s="264" t="n">
        <v>7</v>
      </c>
      <c r="L14" s="267" t="inlineStr">
        <is>
          <t>Plumber</t>
        </is>
      </c>
      <c r="M14" s="266" t="n">
        <v>1</v>
      </c>
    </row>
    <row r="15" ht="15.75" customHeight="1" thickBot="1">
      <c r="A15" s="307" t="n">
        <v>14</v>
      </c>
      <c r="B15" s="300" t="inlineStr">
        <is>
          <t>MD Aamer Sohail</t>
        </is>
      </c>
      <c r="C15" s="300" t="inlineStr">
        <is>
          <t xml:space="preserve">MEP Supervisor </t>
        </is>
      </c>
      <c r="D15" s="300" t="inlineStr">
        <is>
          <t>HS</t>
        </is>
      </c>
      <c r="E15" s="300" t="n"/>
      <c r="F15" s="300" t="n">
        <v>2643255637</v>
      </c>
      <c r="G15" s="310" t="inlineStr">
        <is>
          <t xml:space="preserve">Accepted </t>
        </is>
      </c>
      <c r="H15" s="300" t="inlineStr">
        <is>
          <t>Reporting in office</t>
        </is>
      </c>
      <c r="I15" s="263" t="n"/>
      <c r="K15" s="264" t="n">
        <v>8</v>
      </c>
      <c r="L15" s="267" t="inlineStr">
        <is>
          <t>Trade Helper</t>
        </is>
      </c>
      <c r="M15" s="266" t="n">
        <v>1</v>
      </c>
    </row>
    <row r="16" ht="15.75" customHeight="1" thickBot="1">
      <c r="A16" s="309" t="n">
        <v>15</v>
      </c>
      <c r="B16" s="300" t="inlineStr">
        <is>
          <t>Faisal  Majeed Abdul Majeed</t>
        </is>
      </c>
      <c r="C16" s="300" t="inlineStr">
        <is>
          <t>MEP Tech</t>
        </is>
      </c>
      <c r="D16" s="300" t="inlineStr">
        <is>
          <t>HS</t>
        </is>
      </c>
      <c r="E16" s="300" t="n"/>
      <c r="F16" s="300" t="n"/>
      <c r="G16" s="310" t="inlineStr">
        <is>
          <t>Accepted</t>
        </is>
      </c>
      <c r="H16" s="300" t="inlineStr">
        <is>
          <t xml:space="preserve">Interview done, Not reporting on Site </t>
        </is>
      </c>
      <c r="I16" s="263" t="n"/>
      <c r="K16" s="264" t="n">
        <v>8</v>
      </c>
      <c r="L16" s="267" t="inlineStr">
        <is>
          <t>Electrician</t>
        </is>
      </c>
      <c r="M16" s="266" t="n">
        <v>1</v>
      </c>
    </row>
    <row r="17" ht="15.75" customHeight="1" thickBot="1">
      <c r="A17" s="307" t="n">
        <v>16</v>
      </c>
      <c r="B17" s="300" t="inlineStr">
        <is>
          <t>Shohrab Sheikh</t>
        </is>
      </c>
      <c r="C17" s="300" t="inlineStr">
        <is>
          <t>MEP Tech</t>
        </is>
      </c>
      <c r="D17" s="300" t="inlineStr">
        <is>
          <t>HS</t>
        </is>
      </c>
      <c r="E17" s="300" t="n"/>
      <c r="F17" s="300" t="n">
        <v>2643267814</v>
      </c>
      <c r="G17" s="310" t="inlineStr">
        <is>
          <t xml:space="preserve">Accepted </t>
        </is>
      </c>
      <c r="H17" s="300" t="inlineStr">
        <is>
          <t>Reporting in office</t>
        </is>
      </c>
      <c r="I17" s="263" t="n"/>
      <c r="K17" s="264" t="n">
        <v>9</v>
      </c>
      <c r="L17" s="267" t="inlineStr">
        <is>
          <t>Painter/Handyman (civil)</t>
        </is>
      </c>
      <c r="M17" s="266" t="n">
        <v>1</v>
      </c>
    </row>
    <row r="18" ht="15.75" customHeight="1" thickBot="1">
      <c r="A18" s="309" t="n">
        <v>17</v>
      </c>
      <c r="B18" s="300" t="inlineStr">
        <is>
          <t>Sohrab Anwar</t>
        </is>
      </c>
      <c r="C18" s="300" t="inlineStr">
        <is>
          <t>QSHE</t>
        </is>
      </c>
      <c r="D18" s="300" t="inlineStr">
        <is>
          <t>SAFETY</t>
        </is>
      </c>
      <c r="E18" s="300" t="n"/>
      <c r="F18" s="300" t="n">
        <v>2723606700</v>
      </c>
      <c r="G18" s="310" t="inlineStr">
        <is>
          <t xml:space="preserve">Accepted </t>
        </is>
      </c>
      <c r="H18" s="300" t="inlineStr">
        <is>
          <t>Reporting in office</t>
        </is>
      </c>
      <c r="I18" s="263" t="n"/>
      <c r="K18" s="264" t="n">
        <v>9</v>
      </c>
      <c r="L18" s="267" t="inlineStr">
        <is>
          <t>Admin</t>
        </is>
      </c>
      <c r="M18" s="266" t="n">
        <v>1</v>
      </c>
    </row>
    <row r="19" ht="15.75" customHeight="1" thickBot="1">
      <c r="A19" s="307" t="n">
        <v>18</v>
      </c>
      <c r="B19" s="300" t="inlineStr">
        <is>
          <t>Srinivasanmurthy</t>
        </is>
      </c>
      <c r="C19" s="300" t="inlineStr">
        <is>
          <t>Utility/ Gen</t>
        </is>
      </c>
      <c r="D19" s="300" t="inlineStr">
        <is>
          <t>HS</t>
        </is>
      </c>
      <c r="E19" s="300" t="n"/>
      <c r="F19" s="300" t="inlineStr">
        <is>
          <t>C8121409</t>
        </is>
      </c>
      <c r="G19" s="310" t="inlineStr">
        <is>
          <t>Accepted</t>
        </is>
      </c>
      <c r="H19" s="300" t="inlineStr">
        <is>
          <t>Reporting in office</t>
        </is>
      </c>
      <c r="I19" s="263" t="n"/>
      <c r="K19" s="268" t="n">
        <v>10</v>
      </c>
      <c r="L19" s="269" t="inlineStr">
        <is>
          <t>Drivers</t>
        </is>
      </c>
      <c r="M19" s="270" t="n">
        <v>1</v>
      </c>
    </row>
    <row r="20" ht="15.75" customHeight="1" thickBot="1">
      <c r="A20" s="307" t="n">
        <v>19</v>
      </c>
      <c r="B20" s="300" t="inlineStr">
        <is>
          <t>Anowarul</t>
        </is>
      </c>
      <c r="C20" s="300" t="inlineStr">
        <is>
          <t>Utility/ Gen</t>
        </is>
      </c>
      <c r="D20" s="300" t="inlineStr">
        <is>
          <t>HS</t>
        </is>
      </c>
      <c r="E20" s="300" t="n"/>
      <c r="F20" s="300" t="inlineStr">
        <is>
          <t>A20349249</t>
        </is>
      </c>
      <c r="G20" s="310" t="inlineStr">
        <is>
          <t>Accepted</t>
        </is>
      </c>
      <c r="H20" s="300" t="inlineStr">
        <is>
          <t>Reporting in office</t>
        </is>
      </c>
      <c r="I20" s="263" t="n"/>
      <c r="K20" s="491" t="inlineStr">
        <is>
          <t>TOTAL</t>
        </is>
      </c>
      <c r="L20" s="422" t="n"/>
      <c r="M20" s="271" t="n">
        <v>30</v>
      </c>
    </row>
    <row r="21" ht="15.75" customHeight="1" thickBot="1">
      <c r="A21" s="309" t="n">
        <v>20</v>
      </c>
      <c r="B21" s="300" t="inlineStr">
        <is>
          <t>Arslan Aamir</t>
        </is>
      </c>
      <c r="C21" s="300" t="inlineStr">
        <is>
          <t>Admin</t>
        </is>
      </c>
      <c r="D21" s="300" t="inlineStr">
        <is>
          <t xml:space="preserve">Management </t>
        </is>
      </c>
      <c r="E21" s="300" t="n"/>
      <c r="F21" s="300" t="n">
        <v>2643266584</v>
      </c>
      <c r="G21" s="310" t="inlineStr">
        <is>
          <t xml:space="preserve">Accepted </t>
        </is>
      </c>
      <c r="H21" s="300" t="inlineStr">
        <is>
          <t>Reporting in office</t>
        </is>
      </c>
      <c r="I21" s="263" t="n"/>
    </row>
    <row r="22" ht="15.75" customHeight="1" thickBot="1">
      <c r="A22" s="307" t="n">
        <v>21</v>
      </c>
      <c r="B22" s="300" t="inlineStr">
        <is>
          <t>MD ALI BABU</t>
        </is>
      </c>
      <c r="C22" s="300" t="inlineStr">
        <is>
          <t>Plumber</t>
        </is>
      </c>
      <c r="D22" s="300" t="inlineStr">
        <is>
          <t>HS</t>
        </is>
      </c>
      <c r="E22" s="300" t="n"/>
      <c r="F22" s="300" t="n">
        <v>2600259044</v>
      </c>
      <c r="G22" s="310" t="inlineStr">
        <is>
          <t xml:space="preserve">Accepted </t>
        </is>
      </c>
      <c r="H22" s="300" t="inlineStr">
        <is>
          <t>Reporting in office</t>
        </is>
      </c>
      <c r="I22" s="263" t="n"/>
    </row>
    <row r="23" ht="15.75" customHeight="1" thickBot="1">
      <c r="A23" s="309" t="n">
        <v>22</v>
      </c>
      <c r="B23" s="300" t="inlineStr">
        <is>
          <t>MD Abdullah Molla</t>
        </is>
      </c>
      <c r="C23" s="300" t="inlineStr">
        <is>
          <t>Waste Collector</t>
        </is>
      </c>
      <c r="D23" s="300" t="inlineStr">
        <is>
          <t>SS</t>
        </is>
      </c>
      <c r="E23" s="300" t="n"/>
      <c r="F23" s="300" t="n">
        <v>2499440192</v>
      </c>
      <c r="G23" s="310" t="inlineStr">
        <is>
          <t xml:space="preserve">Accepted </t>
        </is>
      </c>
      <c r="H23" s="300" t="inlineStr">
        <is>
          <t>Reporting in office</t>
        </is>
      </c>
      <c r="I23" s="263" t="n"/>
    </row>
    <row r="24" ht="15.75" customHeight="1" thickBot="1">
      <c r="A24" s="307" t="n">
        <v>23</v>
      </c>
      <c r="B24" s="300" t="inlineStr">
        <is>
          <t>Suraj Kumar</t>
        </is>
      </c>
      <c r="C24" s="300" t="inlineStr">
        <is>
          <t>Waste Collector</t>
        </is>
      </c>
      <c r="D24" s="300" t="inlineStr">
        <is>
          <t>SS</t>
        </is>
      </c>
      <c r="E24" s="300" t="n"/>
      <c r="F24" s="300" t="inlineStr">
        <is>
          <t>PA1286924</t>
        </is>
      </c>
      <c r="G24" s="310" t="inlineStr">
        <is>
          <t xml:space="preserve">Accepted </t>
        </is>
      </c>
      <c r="H24" s="300" t="inlineStr">
        <is>
          <t>Reporting in office</t>
        </is>
      </c>
      <c r="I24" s="263" t="n"/>
    </row>
    <row r="25" ht="15.75" customHeight="1" thickBot="1">
      <c r="A25" s="307" t="n">
        <v>24</v>
      </c>
      <c r="B25" s="300" t="inlineStr">
        <is>
          <t>MD Shabbir Alam</t>
        </is>
      </c>
      <c r="C25" s="302" t="inlineStr">
        <is>
          <t xml:space="preserve">Pest Control Supervisor </t>
        </is>
      </c>
      <c r="D25" s="302" t="inlineStr">
        <is>
          <t>SS</t>
        </is>
      </c>
      <c r="E25" s="302" t="n"/>
      <c r="F25" s="300" t="n">
        <v>2643256767</v>
      </c>
      <c r="G25" s="310" t="inlineStr">
        <is>
          <t xml:space="preserve">Accepted </t>
        </is>
      </c>
      <c r="H25" s="300" t="inlineStr">
        <is>
          <t>Reporting in office</t>
        </is>
      </c>
      <c r="I25" s="263" t="n"/>
    </row>
    <row r="26" ht="15.75" customHeight="1" thickBot="1">
      <c r="A26" s="309" t="n">
        <v>25</v>
      </c>
      <c r="B26" s="301" t="inlineStr">
        <is>
          <t>kamlesh Ray</t>
        </is>
      </c>
      <c r="C26" s="303" t="inlineStr">
        <is>
          <t xml:space="preserve">Pest Control Tech </t>
        </is>
      </c>
      <c r="D26" s="303" t="inlineStr">
        <is>
          <t>SS</t>
        </is>
      </c>
      <c r="E26" s="303" t="n"/>
      <c r="F26" s="303" t="inlineStr">
        <is>
          <t>PA3964254</t>
        </is>
      </c>
      <c r="G26" s="310" t="inlineStr">
        <is>
          <t>Accepted</t>
        </is>
      </c>
      <c r="H26" s="300" t="inlineStr">
        <is>
          <t>Reporting in office</t>
        </is>
      </c>
      <c r="I26" s="263" t="n"/>
    </row>
    <row r="27" ht="15.75" customHeight="1" thickBot="1">
      <c r="A27" s="307" t="n">
        <v>26</v>
      </c>
      <c r="B27" s="314" t="n"/>
      <c r="C27" s="304" t="inlineStr">
        <is>
          <t xml:space="preserve">Pest Control Tech </t>
        </is>
      </c>
      <c r="D27" s="304" t="inlineStr">
        <is>
          <t>SS</t>
        </is>
      </c>
      <c r="E27" s="304" t="n"/>
      <c r="F27" s="304" t="n"/>
      <c r="G27" s="316" t="n"/>
      <c r="H27" s="316" t="n"/>
      <c r="I27" s="263" t="n"/>
    </row>
    <row r="28" ht="15.75" customHeight="1" thickBot="1">
      <c r="A28" s="309" t="n">
        <v>27</v>
      </c>
      <c r="B28" s="301" t="inlineStr">
        <is>
          <t xml:space="preserve">Katelyn  </t>
        </is>
      </c>
      <c r="C28" s="303" t="inlineStr">
        <is>
          <t xml:space="preserve">Female Cleaner </t>
        </is>
      </c>
      <c r="D28" s="303" t="inlineStr">
        <is>
          <t>SS</t>
        </is>
      </c>
      <c r="E28" s="303" t="n"/>
      <c r="F28" s="303" t="n">
        <v>2578705499</v>
      </c>
      <c r="G28" s="311" t="inlineStr">
        <is>
          <t xml:space="preserve">Accepted </t>
        </is>
      </c>
      <c r="H28" s="300" t="inlineStr">
        <is>
          <t>Reporting in office</t>
        </is>
      </c>
      <c r="I28" s="263" t="n"/>
    </row>
    <row r="29" ht="15.75" customHeight="1" thickBot="1">
      <c r="A29" s="307" t="n">
        <v>28</v>
      </c>
      <c r="B29" s="300" t="inlineStr">
        <is>
          <t>Janice Pasco</t>
        </is>
      </c>
      <c r="C29" s="302" t="inlineStr">
        <is>
          <t xml:space="preserve">Female Cleaner </t>
        </is>
      </c>
      <c r="D29" s="302" t="inlineStr">
        <is>
          <t>SS</t>
        </is>
      </c>
      <c r="E29" s="305" t="n"/>
      <c r="F29" s="305" t="n"/>
      <c r="G29" s="311" t="inlineStr">
        <is>
          <t xml:space="preserve">Accepted </t>
        </is>
      </c>
      <c r="H29" s="300" t="inlineStr">
        <is>
          <t>Reporting in office</t>
        </is>
      </c>
      <c r="I29" s="263" t="n"/>
    </row>
    <row r="30" ht="15.75" customHeight="1" thickBot="1">
      <c r="A30" s="307" t="n">
        <v>29</v>
      </c>
      <c r="B30" s="314" t="n"/>
      <c r="C30" s="304" t="inlineStr">
        <is>
          <t xml:space="preserve">Female Cleaner </t>
        </is>
      </c>
      <c r="D30" s="304" t="inlineStr">
        <is>
          <t>SS</t>
        </is>
      </c>
      <c r="E30" s="304" t="n"/>
      <c r="F30" s="304" t="n"/>
      <c r="G30" s="315" t="n"/>
      <c r="H30" s="316" t="n"/>
      <c r="I30" s="263" t="n"/>
    </row>
    <row r="31" ht="15.75" customHeight="1" thickBot="1">
      <c r="A31" s="309" t="n">
        <v>30</v>
      </c>
      <c r="B31" s="314" t="n"/>
      <c r="C31" s="304" t="inlineStr">
        <is>
          <t xml:space="preserve">Female Cleaner </t>
        </is>
      </c>
      <c r="D31" s="304" t="inlineStr">
        <is>
          <t>SS</t>
        </is>
      </c>
      <c r="E31" s="304" t="n"/>
      <c r="F31" s="304" t="n"/>
      <c r="G31" s="315" t="n"/>
      <c r="H31" s="316" t="n"/>
      <c r="I31" s="263" t="n"/>
    </row>
    <row r="32" ht="15.75" customHeight="1" thickBot="1">
      <c r="A32" s="307" t="n">
        <v>31</v>
      </c>
      <c r="B32" s="314" t="n"/>
      <c r="C32" s="304" t="inlineStr">
        <is>
          <t xml:space="preserve">Driver </t>
        </is>
      </c>
      <c r="D32" s="304" t="inlineStr">
        <is>
          <t>LOGISTIC</t>
        </is>
      </c>
      <c r="E32" s="304" t="n"/>
      <c r="F32" s="304" t="n"/>
      <c r="G32" s="316" t="n"/>
      <c r="H32" s="316" t="n"/>
      <c r="I32" s="263" t="n"/>
    </row>
    <row r="33" ht="15" customHeight="1">
      <c r="A33" s="317" t="n"/>
      <c r="I33" s="263" t="n"/>
    </row>
    <row r="34" ht="15" customHeight="1">
      <c r="I34" s="263" t="n"/>
    </row>
    <row r="35" ht="15" customHeight="1">
      <c r="I35" s="263" t="n"/>
    </row>
  </sheetData>
  <mergeCells count="2">
    <mergeCell ref="K20:L20"/>
    <mergeCell ref="K1:M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D21"/>
  <sheetViews>
    <sheetView workbookViewId="0">
      <selection activeCell="T22" sqref="T22"/>
    </sheetView>
  </sheetViews>
  <sheetFormatPr baseColWidth="8" defaultRowHeight="14.25"/>
  <cols>
    <col width="9.125" customWidth="1" min="2" max="2"/>
    <col width="24.375" customWidth="1" min="3" max="3"/>
    <col width="14.875" customWidth="1" min="4" max="4"/>
  </cols>
  <sheetData>
    <row r="1" ht="15" customHeight="1" thickBot="1"/>
    <row r="2" ht="15.75" customHeight="1" thickBot="1">
      <c r="B2" s="490" t="inlineStr">
        <is>
          <t>PGC MANPOWER</t>
        </is>
      </c>
      <c r="C2" s="422" t="n"/>
      <c r="D2" s="423" t="n"/>
    </row>
    <row r="3" ht="15" customHeight="1">
      <c r="B3" s="264" t="n">
        <v>1</v>
      </c>
      <c r="C3" s="265" t="inlineStr">
        <is>
          <t>Project Lead</t>
        </is>
      </c>
      <c r="D3" s="266" t="n">
        <v>1</v>
      </c>
    </row>
    <row r="4" ht="15" customHeight="1">
      <c r="B4" s="264" t="n">
        <v>2</v>
      </c>
      <c r="C4" s="265" t="inlineStr">
        <is>
          <t>QHSE Officer</t>
        </is>
      </c>
      <c r="D4" s="266" t="n">
        <v>1</v>
      </c>
    </row>
    <row r="5" ht="15" customHeight="1">
      <c r="B5" s="264" t="n">
        <v>2</v>
      </c>
      <c r="C5" s="265" t="inlineStr">
        <is>
          <t>Cleaning Supervisors</t>
        </is>
      </c>
      <c r="D5" s="266" t="n">
        <v>2</v>
      </c>
    </row>
    <row r="6" ht="15" customHeight="1">
      <c r="B6" s="264" t="n">
        <v>3</v>
      </c>
      <c r="C6" s="265" t="inlineStr">
        <is>
          <t>Cleaner - Male</t>
        </is>
      </c>
      <c r="D6" s="266" t="n">
        <v>4</v>
      </c>
    </row>
    <row r="7" ht="15" customHeight="1">
      <c r="B7" s="264" t="n">
        <v>3</v>
      </c>
      <c r="C7" s="265" t="inlineStr">
        <is>
          <t>Cleaner - Female</t>
        </is>
      </c>
      <c r="D7" s="266" t="n">
        <v>4</v>
      </c>
    </row>
    <row r="8" ht="15" customHeight="1">
      <c r="B8" s="264" t="n">
        <v>4</v>
      </c>
      <c r="C8" s="267" t="inlineStr">
        <is>
          <t>Waste Collector</t>
        </is>
      </c>
      <c r="D8" s="266" t="n">
        <v>2</v>
      </c>
    </row>
    <row r="9" ht="15" customHeight="1">
      <c r="B9" s="264" t="n">
        <v>4</v>
      </c>
      <c r="C9" s="267" t="inlineStr">
        <is>
          <t>Pest Control Supervior</t>
        </is>
      </c>
      <c r="D9" s="266" t="n">
        <v>1</v>
      </c>
    </row>
    <row r="10" ht="15" customHeight="1">
      <c r="B10" s="264" t="n">
        <v>5</v>
      </c>
      <c r="C10" s="267" t="inlineStr">
        <is>
          <t>Pest Control Technicians</t>
        </is>
      </c>
      <c r="D10" s="266" t="n">
        <v>2</v>
      </c>
    </row>
    <row r="11" ht="15" customHeight="1">
      <c r="B11" s="264" t="n">
        <v>5</v>
      </c>
      <c r="C11" s="267" t="inlineStr">
        <is>
          <t>Supervisor MEP</t>
        </is>
      </c>
      <c r="D11" s="266" t="n">
        <v>1</v>
      </c>
    </row>
    <row r="12" ht="15" customHeight="1">
      <c r="B12" s="264" t="n">
        <v>6</v>
      </c>
      <c r="C12" s="267" t="inlineStr">
        <is>
          <t>Utility/Gen</t>
        </is>
      </c>
      <c r="D12" s="266" t="n">
        <v>2</v>
      </c>
    </row>
    <row r="13" ht="15" customHeight="1">
      <c r="B13" s="264" t="n">
        <v>6</v>
      </c>
      <c r="C13" s="267" t="inlineStr">
        <is>
          <t>Multi-Skilled Technicians</t>
        </is>
      </c>
      <c r="D13" s="266" t="n">
        <v>2</v>
      </c>
    </row>
    <row r="14" ht="15" customHeight="1">
      <c r="B14" s="264" t="n">
        <v>7</v>
      </c>
      <c r="C14" s="267" t="inlineStr">
        <is>
          <t>Ac Technicians</t>
        </is>
      </c>
      <c r="D14" s="266" t="n">
        <v>2</v>
      </c>
    </row>
    <row r="15" ht="15" customHeight="1">
      <c r="B15" s="264" t="n">
        <v>7</v>
      </c>
      <c r="C15" s="267" t="inlineStr">
        <is>
          <t>Plumber</t>
        </is>
      </c>
      <c r="D15" s="266" t="n">
        <v>1</v>
      </c>
    </row>
    <row r="16" ht="15" customHeight="1">
      <c r="B16" s="264" t="n">
        <v>8</v>
      </c>
      <c r="C16" s="267" t="inlineStr">
        <is>
          <t>Trade Helper</t>
        </is>
      </c>
      <c r="D16" s="266" t="n">
        <v>1</v>
      </c>
    </row>
    <row r="17" ht="15" customHeight="1">
      <c r="B17" s="264" t="n">
        <v>8</v>
      </c>
      <c r="C17" s="267" t="inlineStr">
        <is>
          <t>Electrician</t>
        </is>
      </c>
      <c r="D17" s="266" t="n">
        <v>1</v>
      </c>
    </row>
    <row r="18" ht="15" customHeight="1">
      <c r="B18" s="264" t="n">
        <v>9</v>
      </c>
      <c r="C18" s="267" t="inlineStr">
        <is>
          <t>Painter/Handyman (civil)</t>
        </is>
      </c>
      <c r="D18" s="266" t="n">
        <v>1</v>
      </c>
    </row>
    <row r="19" ht="15" customHeight="1">
      <c r="B19" s="264" t="n">
        <v>9</v>
      </c>
      <c r="C19" s="267" t="inlineStr">
        <is>
          <t>Admin</t>
        </is>
      </c>
      <c r="D19" s="266" t="n">
        <v>1</v>
      </c>
    </row>
    <row r="20" ht="15.75" customHeight="1" thickBot="1">
      <c r="B20" s="268" t="n">
        <v>10</v>
      </c>
      <c r="C20" s="269" t="inlineStr">
        <is>
          <t>Drivers</t>
        </is>
      </c>
      <c r="D20" s="270" t="n">
        <v>1</v>
      </c>
    </row>
    <row r="21" ht="17.25" customHeight="1" thickBot="1">
      <c r="B21" s="491" t="inlineStr">
        <is>
          <t>TOTAL</t>
        </is>
      </c>
      <c r="C21" s="422" t="n"/>
      <c r="D21" s="271" t="n">
        <v>30</v>
      </c>
    </row>
  </sheetData>
  <mergeCells count="2">
    <mergeCell ref="B21:C21"/>
    <mergeCell ref="B2:D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C6:E45"/>
  <sheetViews>
    <sheetView topLeftCell="A29" zoomScaleNormal="100" workbookViewId="0">
      <selection activeCell="C13" sqref="C13"/>
    </sheetView>
  </sheetViews>
  <sheetFormatPr baseColWidth="8" defaultColWidth="8.375" defaultRowHeight="14.25"/>
  <cols>
    <col width="31.625" customWidth="1" style="223" min="3" max="3"/>
    <col width="0.375" customWidth="1" min="4" max="4"/>
    <col width="17.375" customWidth="1" min="5" max="5"/>
  </cols>
  <sheetData>
    <row r="6" ht="15" customHeight="1">
      <c r="C6" s="224" t="inlineStr">
        <is>
          <t>Position</t>
        </is>
      </c>
      <c r="D6" s="225" t="n"/>
      <c r="E6" s="226" t="inlineStr">
        <is>
          <t>Decipline</t>
        </is>
      </c>
    </row>
    <row r="7" ht="15" customHeight="1">
      <c r="C7" s="227" t="inlineStr">
        <is>
          <t>Regional Manager</t>
        </is>
      </c>
      <c r="D7" s="225" t="n"/>
      <c r="E7" s="228" t="n"/>
    </row>
    <row r="8" ht="15" customHeight="1">
      <c r="C8" s="227" t="inlineStr">
        <is>
          <t>On-Site Operation Manager</t>
        </is>
      </c>
      <c r="D8" s="225" t="n"/>
      <c r="E8" s="228" t="n"/>
    </row>
    <row r="9" ht="15" customHeight="1">
      <c r="C9" s="227" t="inlineStr">
        <is>
          <t>Project Manager</t>
        </is>
      </c>
      <c r="D9" s="225" t="n"/>
      <c r="E9" s="228" t="n"/>
    </row>
    <row r="10" ht="15" customHeight="1">
      <c r="C10" s="227" t="inlineStr">
        <is>
          <t>Hard Service Manager</t>
        </is>
      </c>
      <c r="D10" s="225" t="n"/>
      <c r="E10" s="228" t="n"/>
    </row>
    <row r="11" ht="15" customHeight="1">
      <c r="C11" s="227" t="inlineStr">
        <is>
          <t>Soft Service Manager</t>
        </is>
      </c>
      <c r="D11" s="225" t="n"/>
      <c r="E11" s="228" t="n"/>
    </row>
    <row r="12" ht="15" customHeight="1">
      <c r="C12" s="229" t="n"/>
      <c r="D12" s="225" t="n"/>
      <c r="E12" s="228" t="n"/>
    </row>
    <row r="13" ht="15" customHeight="1">
      <c r="C13" s="229" t="n"/>
      <c r="D13" s="225" t="n"/>
      <c r="E13" s="228" t="n"/>
    </row>
    <row r="14" ht="15" customHeight="1">
      <c r="C14" s="229" t="n"/>
      <c r="D14" s="225" t="n"/>
      <c r="E14" s="228" t="n"/>
    </row>
    <row r="15" ht="15" customHeight="1">
      <c r="C15" s="229" t="n"/>
      <c r="D15" s="225" t="n"/>
      <c r="E15" s="228" t="n"/>
    </row>
    <row r="16" ht="15" customHeight="1">
      <c r="C16" s="229" t="n"/>
      <c r="D16" s="225" t="n"/>
      <c r="E16" s="228" t="n"/>
    </row>
    <row r="17" ht="15" customHeight="1">
      <c r="C17" s="229" t="n"/>
      <c r="D17" s="225" t="n"/>
      <c r="E17" s="228" t="n"/>
    </row>
    <row r="18" ht="15" customHeight="1">
      <c r="C18" s="229" t="n"/>
      <c r="D18" s="225" t="n"/>
      <c r="E18" s="228" t="n"/>
    </row>
    <row r="19" ht="15" customHeight="1">
      <c r="C19" s="229" t="n"/>
      <c r="D19" s="225" t="n"/>
      <c r="E19" s="228" t="n"/>
    </row>
    <row r="20" ht="15" customHeight="1">
      <c r="C20" s="229" t="n"/>
      <c r="D20" s="225" t="n"/>
      <c r="E20" s="228" t="n"/>
    </row>
    <row r="21" ht="15" customHeight="1">
      <c r="C21" s="229" t="n"/>
      <c r="D21" s="225" t="n"/>
      <c r="E21" s="228" t="n"/>
    </row>
    <row r="22" ht="15" customHeight="1">
      <c r="C22" s="229" t="n"/>
      <c r="D22" s="225" t="n"/>
      <c r="E22" s="228" t="n"/>
    </row>
    <row r="23" ht="15" customHeight="1">
      <c r="C23" s="229" t="n"/>
      <c r="D23" s="225" t="n"/>
      <c r="E23" s="225" t="n"/>
    </row>
    <row r="24" ht="15" customHeight="1">
      <c r="C24" s="229" t="n"/>
      <c r="D24" s="225" t="n"/>
      <c r="E24" s="225" t="n"/>
    </row>
    <row r="25" ht="15" customHeight="1">
      <c r="C25" s="229" t="n"/>
      <c r="D25" s="225" t="n"/>
      <c r="E25" s="225" t="n"/>
    </row>
    <row r="26" ht="15" customHeight="1">
      <c r="C26" s="229" t="n"/>
      <c r="D26" s="225" t="n"/>
      <c r="E26" s="225" t="n"/>
    </row>
    <row r="27" ht="15" customHeight="1">
      <c r="C27" s="229" t="n"/>
      <c r="D27" s="225" t="n"/>
      <c r="E27" s="225" t="n"/>
    </row>
    <row r="28" ht="15" customHeight="1">
      <c r="C28" s="229" t="n"/>
      <c r="D28" s="225" t="n"/>
      <c r="E28" s="225" t="n"/>
    </row>
    <row r="29" ht="15" customHeight="1">
      <c r="C29" s="229" t="n"/>
      <c r="D29" s="225" t="n"/>
      <c r="E29" s="225" t="n"/>
    </row>
    <row r="30" ht="15" customHeight="1">
      <c r="C30" s="229" t="n"/>
      <c r="D30" s="225" t="n"/>
      <c r="E30" s="225" t="n"/>
    </row>
    <row r="31" ht="15" customHeight="1">
      <c r="C31" s="229" t="n"/>
      <c r="D31" s="225" t="n"/>
      <c r="E31" s="225" t="n"/>
    </row>
    <row r="32" ht="15" customHeight="1">
      <c r="C32" s="229" t="n"/>
      <c r="D32" s="225" t="n"/>
      <c r="E32" s="225" t="n"/>
    </row>
    <row r="33" ht="15" customHeight="1">
      <c r="C33" s="229" t="n"/>
      <c r="D33" s="225" t="n"/>
      <c r="E33" s="225" t="n"/>
    </row>
    <row r="34" ht="15" customHeight="1">
      <c r="C34" s="229" t="n"/>
      <c r="D34" s="225" t="n"/>
      <c r="E34" s="225" t="n"/>
    </row>
    <row r="35" ht="15" customHeight="1">
      <c r="C35" s="229" t="n"/>
      <c r="D35" s="225" t="n"/>
      <c r="E35" s="225" t="n"/>
    </row>
    <row r="36" ht="15" customHeight="1">
      <c r="C36" s="229" t="n"/>
      <c r="D36" s="225" t="n"/>
      <c r="E36" s="225" t="n"/>
    </row>
    <row r="37" ht="15" customHeight="1">
      <c r="C37" s="229" t="n"/>
      <c r="D37" s="225" t="n"/>
      <c r="E37" s="225" t="n"/>
    </row>
    <row r="38" ht="15" customHeight="1">
      <c r="C38" s="229" t="n"/>
      <c r="D38" s="225" t="n"/>
      <c r="E38" s="225" t="n"/>
    </row>
    <row r="39" ht="15" customHeight="1">
      <c r="C39" s="229" t="n"/>
      <c r="D39" s="225" t="n"/>
      <c r="E39" s="225" t="n"/>
    </row>
    <row r="40" ht="15" customHeight="1">
      <c r="C40" s="229" t="n"/>
      <c r="D40" s="225" t="n"/>
      <c r="E40" s="225" t="n"/>
    </row>
    <row r="41" ht="15" customHeight="1">
      <c r="C41" s="229" t="n"/>
      <c r="D41" s="225" t="n"/>
      <c r="E41" s="225" t="n"/>
    </row>
    <row r="42" ht="15" customHeight="1">
      <c r="C42" s="229" t="n"/>
      <c r="D42" s="225" t="n"/>
      <c r="E42" s="225" t="n"/>
    </row>
    <row r="43" ht="15" customHeight="1">
      <c r="C43" s="229" t="n"/>
      <c r="D43" s="225" t="n"/>
      <c r="E43" s="225" t="n"/>
    </row>
    <row r="44" ht="15" customHeight="1">
      <c r="C44" s="229" t="n"/>
      <c r="D44" s="225" t="n"/>
      <c r="E44" s="225" t="n"/>
    </row>
    <row r="45" ht="15" customHeight="1">
      <c r="C45" s="229" t="n"/>
      <c r="D45" s="225" t="n"/>
      <c r="E45" s="225" t="n"/>
    </row>
  </sheetData>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Mohammad Meraj Nazar</dc:creator>
  <dc:title>Approved Manpower</dc:title>
  <dc:language>en-US</dc:language>
  <dcterms:created xsi:type="dcterms:W3CDTF">2026-05-29T23:24:34Z</dcterms:created>
  <dcterms:modified xsi:type="dcterms:W3CDTF">2026-09-07T13:04:16Z</dcterms:modified>
  <cp:lastModifiedBy>Syadehtesham Askari [QIDDIYA]</cp:lastModifiedBy>
  <cp:category>Contractual VS Actual</cp:category>
  <cp:revision>0</cp:revision>
  <cp:keywords>Qiddiya City</cp:keywords>
  <cp:lastPrinted>2026-09-06T14:41:42Z</cp:lastPrinted>
</cp:coreProperties>
</file>